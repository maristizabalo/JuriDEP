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hidePivotFieldList="1"/>
  <mc:AlternateContent xmlns:mc="http://schemas.openxmlformats.org/markup-compatibility/2006">
    <mc:Choice Requires="x15">
      <x15ac:absPath xmlns:x15ac="http://schemas.microsoft.com/office/spreadsheetml/2010/11/ac" url="D:\Usuarios\mjaristizabal\Downloads\"/>
    </mc:Choice>
  </mc:AlternateContent>
  <xr:revisionPtr revIDLastSave="0" documentId="13_ncr:1_{CA17ABD2-B08A-43D6-965C-6099444E1D36}" xr6:coauthVersionLast="36" xr6:coauthVersionMax="47" xr10:uidLastSave="{00000000-0000-0000-0000-000000000000}"/>
  <bookViews>
    <workbookView xWindow="0" yWindow="0" windowWidth="28800" windowHeight="11505" tabRatio="826" firstSheet="5" activeTab="14" xr2:uid="{00000000-000D-0000-FFFF-FFFF00000000}"/>
  </bookViews>
  <sheets>
    <sheet name="INFORME" sheetId="12" state="hidden" r:id="rId1"/>
    <sheet name="Consolidado" sheetId="14" state="hidden" r:id="rId2"/>
    <sheet name="REPRESENTACIÓN JUDICIAL DADEP" sheetId="3" state="hidden" r:id="rId3"/>
    <sheet name="REPRESENTACIÓN JUDICIAL SJD" sheetId="2" state="hidden" r:id="rId4"/>
    <sheet name="Tablas" sheetId="11" state="hidden" r:id="rId5"/>
    <sheet name="Laboral" sheetId="8" r:id="rId6"/>
    <sheet name="Hoja2" sheetId="17" r:id="rId7"/>
    <sheet name="MASC" sheetId="9" r:id="rId8"/>
    <sheet name="Civil" sheetId="5" r:id="rId9"/>
    <sheet name="Penal" sheetId="6" r:id="rId10"/>
    <sheet name="Constitucional" sheetId="7" r:id="rId11"/>
    <sheet name="Administrativo contencioso" sheetId="4" r:id="rId12"/>
    <sheet name="Terminados" sheetId="15" r:id="rId13"/>
    <sheet name="Control" sheetId="13" r:id="rId14"/>
    <sheet name="MERGE" sheetId="16" r:id="rId15"/>
  </sheets>
  <definedNames>
    <definedName name="_xlnm._FilterDatabase" localSheetId="8" hidden="1">Civil!$A$1:$AF$129</definedName>
    <definedName name="_xlnm._FilterDatabase" localSheetId="10" hidden="1">Constitucional!$A$1:$AE$150</definedName>
    <definedName name="_xlnm._FilterDatabase" localSheetId="9" hidden="1">Penal!$A$1:$AA$55</definedName>
    <definedName name="_xlnm._FilterDatabase" localSheetId="2" hidden="1">'REPRESENTACIÓN JUDICIAL DADEP'!$B$1:$AF$436</definedName>
    <definedName name="_xlnm._FilterDatabase" localSheetId="3" hidden="1">'REPRESENTACIÓN JUDICIAL SJD'!$A$1:$AF$121</definedName>
    <definedName name="_Hlk91669107">'REPRESENTACIÓN JUDICIAL DADEP'!$N$109</definedName>
    <definedName name="DatosExternos_1" localSheetId="1" hidden="1">Consolidado!$A$1:$K$429</definedName>
    <definedName name="NativeTimeline_Data.FECHA_DE_PRESENTACION_DE_DEMANDA">#N/A</definedName>
  </definedNames>
  <calcPr calcId="191028"/>
  <pivotCaches>
    <pivotCache cacheId="0" r:id="rId16"/>
    <pivotCache cacheId="1" r:id="rId17"/>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5" i="12" l="1"/>
  <c r="L2" i="13"/>
  <c r="L3" i="13"/>
  <c r="L4" i="13"/>
  <c r="L5" i="13"/>
  <c r="L6" i="13"/>
  <c r="L7" i="13"/>
  <c r="L8" i="13"/>
  <c r="L9" i="13"/>
  <c r="AK3" i="3" l="1"/>
  <c r="AK2" i="3"/>
  <c r="C5" i="11"/>
  <c r="C2" i="11"/>
  <c r="C6" i="11"/>
  <c r="C8" i="11"/>
  <c r="C4" i="11"/>
  <c r="C7" i="11"/>
  <c r="C3" i="11"/>
  <c r="C5" i="12" l="1"/>
  <c r="C11" i="12"/>
  <c r="C17" i="12"/>
  <c r="C23" i="12"/>
  <c r="C29" i="12"/>
  <c r="C35" i="12"/>
  <c r="C41" i="12"/>
  <c r="Q77" i="3"/>
  <c r="Y269" i="3"/>
  <c r="V92" i="3"/>
  <c r="U161" i="3"/>
  <c r="V96" i="3"/>
  <c r="V103" i="3"/>
  <c r="Q103" i="3" s="1"/>
  <c r="U122" i="3"/>
  <c r="U69" i="3"/>
  <c r="V78" i="3"/>
  <c r="X175" i="3"/>
  <c r="U183" i="3"/>
  <c r="U24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A28C1E-744C-4621-9DE7-D12BFF824393}" keepAlive="1" name="Consulta - Consolidado" description="Conexión a la consulta 'Consolidado' en el libro." type="5" refreshedVersion="6" background="1" saveData="1">
    <dbPr connection="Provider=Microsoft.Mashup.OleDb.1;Data Source=$Workbook$;Location=Consolidado;Extended Properties=&quot;&quot;" command="SELECT * FROM [Consolidado]"/>
  </connection>
</connections>
</file>

<file path=xl/sharedStrings.xml><?xml version="1.0" encoding="utf-8"?>
<sst xmlns="http://schemas.openxmlformats.org/spreadsheetml/2006/main" count="32067" uniqueCount="3948">
  <si>
    <t xml:space="preserve">    Representaciones Judiciales</t>
  </si>
  <si>
    <t>Name</t>
  </si>
  <si>
    <t>Data.ID</t>
  </si>
  <si>
    <t>Data.JURISDICCIÓN</t>
  </si>
  <si>
    <t>Data.TIPO DE PROCESO</t>
  </si>
  <si>
    <t>Data.FECHA DE PRESENTACION DE DEMANDA</t>
  </si>
  <si>
    <t xml:space="preserve">Data.ABOGADO A CARGO </t>
  </si>
  <si>
    <t xml:space="preserve">Data.TIPO DE REPRESENTACION 
DIRECTA - INDIRECTA </t>
  </si>
  <si>
    <t>Data.TIPO DE ZONA (CESIÓN, FISCALES, DOTACIONAL, PREDIO PÚBLICO DE NO CESIÓN, IN</t>
  </si>
  <si>
    <t>Data.LOCALIDAD</t>
  </si>
  <si>
    <t>Data.METROS CUADRADOS</t>
  </si>
  <si>
    <t>Data.EN CURSO - CON FALLO</t>
  </si>
  <si>
    <t>Tabla1</t>
  </si>
  <si>
    <t>LABORAL</t>
  </si>
  <si>
    <t>ORDINARIO LABORAL</t>
  </si>
  <si>
    <t>GENARO SALAZAR GONZALEZ</t>
  </si>
  <si>
    <t xml:space="preserve">DIRECTA </t>
  </si>
  <si>
    <t>N/A</t>
  </si>
  <si>
    <t>SAN CRISTOBAL</t>
  </si>
  <si>
    <t>EN CURSO</t>
  </si>
  <si>
    <t xml:space="preserve"> LABORAL </t>
  </si>
  <si>
    <t>CHAPINERO</t>
  </si>
  <si>
    <t>CON FALLO</t>
  </si>
  <si>
    <t>NA</t>
  </si>
  <si>
    <t xml:space="preserve">EN CURSO </t>
  </si>
  <si>
    <t>677535</t>
  </si>
  <si>
    <t>Tabla2</t>
  </si>
  <si>
    <t>MASC</t>
  </si>
  <si>
    <t>MEDIACIÓN</t>
  </si>
  <si>
    <t>JOAN SEBASTIAN MARQUEZ ROJAS</t>
  </si>
  <si>
    <t>Tabla3</t>
  </si>
  <si>
    <t>CONSTITUCIONAL</t>
  </si>
  <si>
    <t>ACCION DE GRUPO</t>
  </si>
  <si>
    <t>MARIA FERNANDA MADIEDO SANCHEZ</t>
  </si>
  <si>
    <t>INDIRECTA</t>
  </si>
  <si>
    <t>BIENES DE USO PUBLICO</t>
  </si>
  <si>
    <t>ACCION POPULAR</t>
  </si>
  <si>
    <t>VIAS PEATONALES - VIAS VEHICULARES - ZONA VERDE - ZONA COMUNAL</t>
  </si>
  <si>
    <t>KENNEDY</t>
  </si>
  <si>
    <t>SHIRLEY AVELLANEDA PEÑA</t>
  </si>
  <si>
    <t>RONDA - ZAMPA</t>
  </si>
  <si>
    <t>SUBA</t>
  </si>
  <si>
    <t>REMOCION EN MASA</t>
  </si>
  <si>
    <t>CIUDAD BOLIVAR</t>
  </si>
  <si>
    <t>CESION</t>
  </si>
  <si>
    <t>BIEN DE USO PUBLICO DE NO CESION</t>
  </si>
  <si>
    <t>SANTAFE</t>
  </si>
  <si>
    <t>ZONA DE CESION</t>
  </si>
  <si>
    <t>CERRO ORIENTAL</t>
  </si>
  <si>
    <t>VERDE</t>
  </si>
  <si>
    <t xml:space="preserve">BARRIOS UNIDOS </t>
  </si>
  <si>
    <t>RAFAEL URIBE</t>
  </si>
  <si>
    <t>MAGDA BOLENA ROJAS BALLESTEROS</t>
  </si>
  <si>
    <t>CESION - LOTE INSTITUCIONAL</t>
  </si>
  <si>
    <t>VIAS - ANDENES</t>
  </si>
  <si>
    <t>BOSA</t>
  </si>
  <si>
    <t xml:space="preserve">VIA VEHICULAR </t>
  </si>
  <si>
    <t>TEUSAQUILLO</t>
  </si>
  <si>
    <t>DOTACIONAL</t>
  </si>
  <si>
    <t>FONTIBON</t>
  </si>
  <si>
    <t>MARTIRES</t>
  </si>
  <si>
    <t xml:space="preserve"> SUBA </t>
  </si>
  <si>
    <t xml:space="preserve"> 3.182,00 </t>
  </si>
  <si>
    <t xml:space="preserve"> BIEN DE USO PUBLICO DE NO CESION </t>
  </si>
  <si>
    <t xml:space="preserve"> USAQUEN </t>
  </si>
  <si>
    <t xml:space="preserve"> NA </t>
  </si>
  <si>
    <t>ACCION DE CUMPLIMIENTO</t>
  </si>
  <si>
    <t xml:space="preserve"> CESION </t>
  </si>
  <si>
    <t>ENGATIVA</t>
  </si>
  <si>
    <t xml:space="preserve"> KENNEDY </t>
  </si>
  <si>
    <t xml:space="preserve"> 5.084,00 </t>
  </si>
  <si>
    <t xml:space="preserve">INDIRECTA </t>
  </si>
  <si>
    <t>PRIVADOS</t>
  </si>
  <si>
    <t>ESPACIO PUBLICO</t>
  </si>
  <si>
    <t>CANDELARIA</t>
  </si>
  <si>
    <t>BARRIOS UNIDOS</t>
  </si>
  <si>
    <t xml:space="preserve"> TEUSAQUILLO </t>
  </si>
  <si>
    <t xml:space="preserve"> CON FALLO </t>
  </si>
  <si>
    <t xml:space="preserve">ACCION POPULAR </t>
  </si>
  <si>
    <t>5267.87 según Acta de Recibo Número 35 del 25 de septiembre de
1997</t>
  </si>
  <si>
    <t>POR COMPLETAR</t>
  </si>
  <si>
    <t>ZONAS DE CESION</t>
  </si>
  <si>
    <t xml:space="preserve"> EN CURSO </t>
  </si>
  <si>
    <t>Kennedy</t>
  </si>
  <si>
    <t xml:space="preserve"> CHAPINERO </t>
  </si>
  <si>
    <t>PUENTE ARANDA</t>
  </si>
  <si>
    <t>ZONA DE CESIÓN</t>
  </si>
  <si>
    <t xml:space="preserve"> N/A </t>
  </si>
  <si>
    <t>CESION Y OTRAS</t>
  </si>
  <si>
    <t> </t>
  </si>
  <si>
    <t xml:space="preserve"> ANTEJARDIN </t>
  </si>
  <si>
    <t>ANTONIO NARIÑO</t>
  </si>
  <si>
    <t>CESION -ZONAS VIALES</t>
  </si>
  <si>
    <t>N/</t>
  </si>
  <si>
    <t xml:space="preserve"> N/ </t>
  </si>
  <si>
    <t xml:space="preserve"> PUENTE ARANDA </t>
  </si>
  <si>
    <t xml:space="preserve">ZONA DE CESIÓN </t>
  </si>
  <si>
    <t>FISCAL</t>
  </si>
  <si>
    <t xml:space="preserve">ZONAS DE CESION </t>
  </si>
  <si>
    <t>-</t>
  </si>
  <si>
    <t>713057</t>
  </si>
  <si>
    <t xml:space="preserve">CON FALLO </t>
  </si>
  <si>
    <t>PREDIO PUBLICO NO CESION</t>
  </si>
  <si>
    <t xml:space="preserve">765931	</t>
  </si>
  <si>
    <t xml:space="preserve">KENNEDY </t>
  </si>
  <si>
    <t xml:space="preserve">USO PÚBLICO DE CESIÓN </t>
  </si>
  <si>
    <t>CURSO</t>
  </si>
  <si>
    <t>ZONAS VIALES</t>
  </si>
  <si>
    <t xml:space="preserve">ZONAS  DE TRANCISIÓN DE APROVECHAMIENTOS AUTORIZADOS </t>
  </si>
  <si>
    <t>PROTECCION DERECHOS COLECTIVOS CASA DE LA CULTURA DE ENGATIVA</t>
  </si>
  <si>
    <t xml:space="preserve">796249	</t>
  </si>
  <si>
    <t> 813668</t>
  </si>
  <si>
    <t xml:space="preserve">CHAPINERO </t>
  </si>
  <si>
    <t>827714  </t>
  </si>
  <si>
    <t>827064</t>
  </si>
  <si>
    <t xml:space="preserve">831425	</t>
  </si>
  <si>
    <t>DIRECTA</t>
  </si>
  <si>
    <t>33.811.33 M2</t>
  </si>
  <si>
    <t>6.196.65</t>
  </si>
  <si>
    <t>TUNJUELITO</t>
  </si>
  <si>
    <t>11.239 MTS2</t>
  </si>
  <si>
    <t xml:space="preserve"> 1.486,00 </t>
  </si>
  <si>
    <t xml:space="preserve">CON FALLO  </t>
  </si>
  <si>
    <t>650373</t>
  </si>
  <si>
    <t>3.750.03M2</t>
  </si>
  <si>
    <t xml:space="preserve"> 46.078,00 </t>
  </si>
  <si>
    <t>POR DEFINIR</t>
  </si>
  <si>
    <t xml:space="preserve"> 2.183,00 </t>
  </si>
  <si>
    <t>18.361.39</t>
  </si>
  <si>
    <t>5,665,41</t>
  </si>
  <si>
    <t>12.280.61 MTS2</t>
  </si>
  <si>
    <t>14.360.822</t>
  </si>
  <si>
    <t xml:space="preserve"> 24.366,00 </t>
  </si>
  <si>
    <t>26.520.16</t>
  </si>
  <si>
    <t> 826211</t>
  </si>
  <si>
    <t xml:space="preserve">PUENTE ARANDA </t>
  </si>
  <si>
    <t>658739</t>
  </si>
  <si>
    <t>CONTENCIOSO ADMINISTRATIVA</t>
  </si>
  <si>
    <t xml:space="preserve">NULIDAD SIMPLE </t>
  </si>
  <si>
    <t>NULIDAD SIMPLE</t>
  </si>
  <si>
    <t xml:space="preserve">  N/A  </t>
  </si>
  <si>
    <t xml:space="preserve">  EN CURSO  </t>
  </si>
  <si>
    <t>Tabla4</t>
  </si>
  <si>
    <t>CIVIL</t>
  </si>
  <si>
    <t>NULIDAD DE ESCRITURA PÚBLICA</t>
  </si>
  <si>
    <t>MARIA FERNANDA CRUZ</t>
  </si>
  <si>
    <t>RESTITUCION DE INMUEBLE ARRENDADO</t>
  </si>
  <si>
    <t>JAMMER SAUL HERNANDEZ</t>
  </si>
  <si>
    <t>BIEN FISCAL</t>
  </si>
  <si>
    <t>PERTENENCIA</t>
  </si>
  <si>
    <t>84,50 mts2</t>
  </si>
  <si>
    <t>EJECUTIVO</t>
  </si>
  <si>
    <t xml:space="preserve">EJECUTIVO  </t>
  </si>
  <si>
    <t>1937,37 MTS2</t>
  </si>
  <si>
    <t>875.80 MTS2</t>
  </si>
  <si>
    <t>43 MTS2</t>
  </si>
  <si>
    <t>DESLINDE Y AMOJONAMIENTO</t>
  </si>
  <si>
    <t>USAQUEN</t>
  </si>
  <si>
    <t>872 MTS2</t>
  </si>
  <si>
    <t>REIVINDICATORIO</t>
  </si>
  <si>
    <t xml:space="preserve">DESLINDE Y AMOJONAMIENTO </t>
  </si>
  <si>
    <t>60MTS2</t>
  </si>
  <si>
    <t>RESTITUCIÓN DE TENENCIA</t>
  </si>
  <si>
    <t>BIEN DE USO PUBLICO</t>
  </si>
  <si>
    <t>111.926,68 M2 E</t>
  </si>
  <si>
    <t>111.926.68 MTS2</t>
  </si>
  <si>
    <t>DIVISORIO</t>
  </si>
  <si>
    <t xml:space="preserve"> SOACHA</t>
  </si>
  <si>
    <t>231.91 MTS2</t>
  </si>
  <si>
    <t>1395,93 MTS2</t>
  </si>
  <si>
    <t>MELGAR</t>
  </si>
  <si>
    <t>235,20</t>
  </si>
  <si>
    <t>1.678.86 MTS2</t>
  </si>
  <si>
    <t>EXPROPIACIÓN</t>
  </si>
  <si>
    <t>CAJICA</t>
  </si>
  <si>
    <t>664524</t>
  </si>
  <si>
    <t>320.40M2</t>
  </si>
  <si>
    <t>TENJO</t>
  </si>
  <si>
    <t>243,77</t>
  </si>
  <si>
    <t>Divisorio</t>
  </si>
  <si>
    <t>PRIVADO</t>
  </si>
  <si>
    <t>900 MS</t>
  </si>
  <si>
    <t>15,000 Mts2</t>
  </si>
  <si>
    <t>POR ESTABLECER</t>
  </si>
  <si>
    <t>653520</t>
  </si>
  <si>
    <t>VIA VEHICULAR</t>
  </si>
  <si>
    <t>SUCESORIO (LIQUIDATORIO)</t>
  </si>
  <si>
    <t xml:space="preserve"> SUESCA </t>
  </si>
  <si>
    <t xml:space="preserve">EN CURSO  </t>
  </si>
  <si>
    <t xml:space="preserve">PERTENENCIA </t>
  </si>
  <si>
    <t>11,423,77 M2</t>
  </si>
  <si>
    <t>HUMEDAL</t>
  </si>
  <si>
    <t>93,1 MTS</t>
  </si>
  <si>
    <t>30,2</t>
  </si>
  <si>
    <t>681657</t>
  </si>
  <si>
    <t>RECURSO EXTRAORDINARIO DE REVISION</t>
  </si>
  <si>
    <t>6.370.04M2</t>
  </si>
  <si>
    <t>5.810.26 Mts2</t>
  </si>
  <si>
    <t>784,35 M2</t>
  </si>
  <si>
    <t>EL PREDIO NO SE ENCUENTRA INCORPORADO.</t>
  </si>
  <si>
    <t>SIN ESTABLECER</t>
  </si>
  <si>
    <t>1301,8 M2</t>
  </si>
  <si>
    <t>PENDIENTE POR ESTABLECER</t>
  </si>
  <si>
    <t xml:space="preserve">POR  ESTABLECER </t>
  </si>
  <si>
    <t>ORDINARIO DECLARATIVO</t>
  </si>
  <si>
    <t>PTE</t>
  </si>
  <si>
    <t>4.903.18</t>
  </si>
  <si>
    <t>622592</t>
  </si>
  <si>
    <t>283.98 m²</t>
  </si>
  <si>
    <t>22828.45 m²</t>
  </si>
  <si>
    <t>226-45 MTS2</t>
  </si>
  <si>
    <t>VIA PEATONAL</t>
  </si>
  <si>
    <t>USME</t>
  </si>
  <si>
    <t>3560.14 m²</t>
  </si>
  <si>
    <t>25.45 m²</t>
  </si>
  <si>
    <t>248, 84</t>
  </si>
  <si>
    <t>1.999.4 M2</t>
  </si>
  <si>
    <t>3.931,25MTS2</t>
  </si>
  <si>
    <t xml:space="preserve">             3.248,00</t>
  </si>
  <si>
    <t xml:space="preserve">744074	</t>
  </si>
  <si>
    <t>4,868,65</t>
  </si>
  <si>
    <t>no se registra SIPROJhasta confirmar ubicación inmuebles</t>
  </si>
  <si>
    <t>NO SE REGISTRA EN SIPROJ HASTA ADMISIÓN DEMANDA</t>
  </si>
  <si>
    <t>FUSAGASUGA</t>
  </si>
  <si>
    <t xml:space="preserve">NO SE REGISTRA EN SIPROJ HASTA VERIFICACIÓN DEMANDA </t>
  </si>
  <si>
    <t>DECLARATIVO</t>
  </si>
  <si>
    <t>Tabla5</t>
  </si>
  <si>
    <t xml:space="preserve">PENAL </t>
  </si>
  <si>
    <t>PENAL</t>
  </si>
  <si>
    <t>JOSE AGUSTÍN AVENDAÑO</t>
  </si>
  <si>
    <t>747601</t>
  </si>
  <si>
    <t xml:space="preserve"> 715403</t>
  </si>
  <si>
    <t>765053</t>
  </si>
  <si>
    <t xml:space="preserve">21.000M2 </t>
  </si>
  <si>
    <t>14,057.64</t>
  </si>
  <si>
    <t>762205</t>
  </si>
  <si>
    <t>765056</t>
  </si>
  <si>
    <t>703995</t>
  </si>
  <si>
    <t>CAMEP</t>
  </si>
  <si>
    <t>Tabla6</t>
  </si>
  <si>
    <t xml:space="preserve">	432213</t>
  </si>
  <si>
    <t xml:space="preserve">164172	</t>
  </si>
  <si>
    <t>REPARACIÓN DIRECTA</t>
  </si>
  <si>
    <t>NULIDAD Y RESTABLECIMIENTO DEL DERECHO</t>
  </si>
  <si>
    <t xml:space="preserve">ZONAS DE CESIÓN   </t>
  </si>
  <si>
    <t>N/N</t>
  </si>
  <si>
    <t>ZONA COMUNAL</t>
  </si>
  <si>
    <t>EN FALLO</t>
  </si>
  <si>
    <t>CONTROVERSIA CONTRACTUAL</t>
  </si>
  <si>
    <t>69,80M2</t>
  </si>
  <si>
    <t>250.650.33</t>
  </si>
  <si>
    <t>650365</t>
  </si>
  <si>
    <t>SANTA FE</t>
  </si>
  <si>
    <t>30.08M2</t>
  </si>
  <si>
    <t>ZONAS DE CESIÓN</t>
  </si>
  <si>
    <t>2.420.87 M2</t>
  </si>
  <si>
    <t xml:space="preserve"> CAMEP </t>
  </si>
  <si>
    <t xml:space="preserve"> EN CURSO  </t>
  </si>
  <si>
    <t xml:space="preserve">EJECUTIVO </t>
  </si>
  <si>
    <t>CONTRATO</t>
  </si>
  <si>
    <t xml:space="preserve"> </t>
  </si>
  <si>
    <t>ID</t>
  </si>
  <si>
    <t>JURISDICCIÓN</t>
  </si>
  <si>
    <t xml:space="preserve">PROCESO </t>
  </si>
  <si>
    <t>TIPO DE PROCESO</t>
  </si>
  <si>
    <t>FECHA DE PRESENTACION DE DEMANDA</t>
  </si>
  <si>
    <t>DESPACHO QUE ACTUALMENTE CONOCE EL PROCESO</t>
  </si>
  <si>
    <t xml:space="preserve">ABOGADO A CARGO </t>
  </si>
  <si>
    <t>DEMANDANTE / DENUNCIANTE</t>
  </si>
  <si>
    <t>DEMANDADO / DENUNCIADO 
(APELLIDOS - NOMBRES)</t>
  </si>
  <si>
    <t xml:space="preserve">TIPO DE REPRESENTACION 
DIRECTA - INDIRECTA </t>
  </si>
  <si>
    <t>DADEP DTE - DDO - INTERVINIENTE - COMITÉ - DENUNCIANTE</t>
  </si>
  <si>
    <t>TEMA PROCESO</t>
  </si>
  <si>
    <t>DELITO
(PROCESOS PENALES)</t>
  </si>
  <si>
    <t>DESCRIPCION</t>
  </si>
  <si>
    <t>NOMBRE DE LA URBANIZACION</t>
  </si>
  <si>
    <t xml:space="preserve"> PRETENSIONES DE LA DEMANDA EN DINERO
(DADEP DEMANDANTE) </t>
  </si>
  <si>
    <t xml:space="preserve"> VALOR EFECTIVO RECAUDO (EJECUTIVO)
(DADEP DEMANDANTE) </t>
  </si>
  <si>
    <t>TIPO DE ZONA (CESIÓN, FISCALES, DOTACIONAL, PREDIO PÚBLICO DE NO CESIÓN, INSTITUCIONAL)</t>
  </si>
  <si>
    <t>RUPI</t>
  </si>
  <si>
    <t>LOCALIDAD</t>
  </si>
  <si>
    <t>METROS CUADRADOS</t>
  </si>
  <si>
    <t>AVALUO CATASTRAL - COMERCIAL PREDIO</t>
  </si>
  <si>
    <t>% DE LA CUOTA PARTE DEL DADEP (DIVISORIOS)</t>
  </si>
  <si>
    <t>CONDENAS O INDEMNIZACIONES QUE EN SENTENCIA EVITARÍA LA ENTIDAD EN METROS CUADRADOS</t>
  </si>
  <si>
    <t>CONDENAS O INDEMNIZACIONES QUE EN SENTENCIA EVITARÍA LA ENTIDAD EN DINERO</t>
  </si>
  <si>
    <t>FECHA DE SENTENCIA EN PRIMERA INSTANCIA</t>
  </si>
  <si>
    <t>FECHA DE SENTENCIA EN SEGUNDA INSTANCIA</t>
  </si>
  <si>
    <t>ORDENES AL DADEP EN SENTENCIA DEFINITIVA</t>
  </si>
  <si>
    <t>ACCIONES A SEGUIR</t>
  </si>
  <si>
    <t>EN CURSO - CON FALLO</t>
  </si>
  <si>
    <t>AREA RESPONSABLE DEL CUMPLIMIENTO</t>
  </si>
  <si>
    <t>ETAPA PROCESAL</t>
  </si>
  <si>
    <t>Datos Totales</t>
  </si>
  <si>
    <t>2013-02688(TRIB) - 
2015-00087 (CE) 11001032400020150008700</t>
  </si>
  <si>
    <t>CONSEJO DE ESTADO - SECCION PRIMERA</t>
  </si>
  <si>
    <t>DADEP</t>
  </si>
  <si>
    <t>SUPERINTENDENCIA DE NOTARIADO Y REGISTRO</t>
  </si>
  <si>
    <t>DEMANDADO</t>
  </si>
  <si>
    <t>DEMANDA RESOLUCIONES SUPERNOTARIADO QUE NIEGAN CIERRE DE FMI - EL CASTILLO</t>
  </si>
  <si>
    <t>EL CASTILLO</t>
  </si>
  <si>
    <t>FIJACIÓN DE FECHA DE AUDIENCIA INICIAL</t>
  </si>
  <si>
    <t>AL DESPACHO PARA FALLO</t>
  </si>
  <si>
    <t xml:space="preserve">Procesos </t>
  </si>
  <si>
    <t>2005-01587</t>
  </si>
  <si>
    <t>JUZGADO 72 CIVIL MUNICIPAL</t>
  </si>
  <si>
    <t>EDGAR GARZON HERREÑO - CARLOS EDUARDO PRIETO - ELIZABETH CERON - LOS CAMPOS</t>
  </si>
  <si>
    <t>NULIDAD DE EP POR OBJETO ILÍCITO</t>
  </si>
  <si>
    <t>LOS CAMPOS</t>
  </si>
  <si>
    <t>TRAMITAR OFICIOS ORIP Y NOTARIA</t>
  </si>
  <si>
    <t xml:space="preserve">TRAMITAR LOS OFICIOS CORRESPONDIENTES </t>
  </si>
  <si>
    <t xml:space="preserve">SE PRESENTÓ PROCESO EJCUTIVO PARA COBRO DE COSTAS.SE DECRETA  MEDIDAS CAUTELARES. 
</t>
  </si>
  <si>
    <t>Accion Popular</t>
  </si>
  <si>
    <t>2022-17968</t>
  </si>
  <si>
    <t>FISCALIA 136 INTERVENCIÓN TEMPRANA</t>
  </si>
  <si>
    <t>CONTEXTUS</t>
  </si>
  <si>
    <t>DENUNCIANTE</t>
  </si>
  <si>
    <t>Denuncia a Contextus SAS por conservar el bien antes entregado en contrato CAMEP</t>
  </si>
  <si>
    <t>ENRIQUECIMIENTO ILÍCITO DE PARTICUALRES - USURPACIÓN DE FUNCIONES PÚBLICAS - ACCESO ABUSIVO A SISTEMA INFORMÁTICO</t>
  </si>
  <si>
    <t>ARCHIVO PARCIAL DEL DELITO DE ACCESO ABUSIVO A SIST. INFORMÁTICO + AMPLIACIÓN DE DENUNCIA POR EL RESTO DE DELITOS- CORREO DE IMPULSO 26.09.22 Y SOLICITUD DE ACLARACIÓN DEL ARCHIVO DE AMPLIACIÓN DE DENUNCIA</t>
  </si>
  <si>
    <t xml:space="preserve">PARQUEADERO CENTRO COMERCIAL LA CASTELLANA </t>
  </si>
  <si>
    <t xml:space="preserve"> REVISION DE SOLICITUD DE DESARCHIVO </t>
  </si>
  <si>
    <t xml:space="preserve">ARCHIVADO </t>
  </si>
  <si>
    <t>1990-01429</t>
  </si>
  <si>
    <t>JUZGADO 46 - CIVIL DEL CIRCUITO</t>
  </si>
  <si>
    <t>SEC GRAL</t>
  </si>
  <si>
    <t>JULIO ROBERTO SILVA RUIZ Y OTRO</t>
  </si>
  <si>
    <t>INTERVINIENTE</t>
  </si>
  <si>
    <t>RESTITUIR BIEN FISCAL CALLE 12 5 63</t>
  </si>
  <si>
    <t>2-518</t>
  </si>
  <si>
    <t>EN FECHA 30-05-2023 SE EMITE SENTENCIA FAVORABLE DE PRIMERA INSTANCIA TERMINANDO EL CONTRATO DE ARRENDAMIENTO Y ORDENANDO SU RESTITUCIÓN, SE PRESENTA RECURSO DE APLEACIÓN QUE ES RESUELTO DE MANERA FAVORABLE AL DADEP EN FECHA 22-08-2023. DESPACHO COMISORIO EN LA ALCALDIA LOCAL DE SAN CRISTÓBAL FIJA FECHA PARA ENTREGA EL 28-10-2024</t>
  </si>
  <si>
    <t xml:space="preserve">SENTENCIA DE PRIMERA Y SEGUNDA INSTANCIA DEBIDAMENTE EJECUTORIADA. PENDIENTE POR DILIGENCIA DE ENTREGA DEL PREDIO POSTERIOR A LA COMISIÓN. </t>
  </si>
  <si>
    <t>2016-00748</t>
  </si>
  <si>
    <t>JUZGADO 50 ADMINISTRATIVO SECCION SEGUNDA DE BOGOTÁ</t>
  </si>
  <si>
    <t>CONJUNTO AVENIDA PARQUE PROPIEDAD HORIZONTAL</t>
  </si>
  <si>
    <t>ALCALDIA LOCAL DE TEUSAQUILLO, ALCALDIA MAYOR DE BOGOTÁ, DADEP Y SECRETARIA DE MOVILIDAD</t>
  </si>
  <si>
    <t xml:space="preserve">OCUPACION DE ESPACIO PÚBLICO </t>
  </si>
  <si>
    <t>SOLICITA ORDENAR A LOS DEMANDADOS EJECUTAR LAS ACCIONES TENDIENTES CON EL FIN DE EVITAR EL DAÑO CONTINGENTE Y HACER CESAR EL PELIGRO, LAS AMENAZAS Y AGRAVIO SOBRE LOS DERECHOS E INTERESES COLECTIVOS DEL GOCE DEL ESPACIO PUBLICO</t>
  </si>
  <si>
    <t>OCUPACION DE BIEN DE USO PUBLICO</t>
  </si>
  <si>
    <t xml:space="preserve"> POR DEFINIR</t>
  </si>
  <si>
    <t>2017-01-30 CONTESTACIÓN DE LA DEMANDA.- 2017-02-14	 AUTO QUE FIJA FECHA PARA PACTO DE CUMPLIMIENTO.- 2017-02-27 AUDIENCIA DE CONCILIACIÓN FALLIDA.- 2017-03-08	 AUTO QUE DECRETA PRUEBAS.- 2017-03-23	TRASLADO ALEGATOS DE CONCLUSIÓN 1ª INSTANCIA.- 2017-03-29	PRESENTACIÓN DE ALEGATOS.- 2017-06-13	COMUNICACIÓN DE LA SENTENCIA Fallo Desfavorable 1a Instancia. "Se protege el derecho colectivo al goce del espacio público y utilización y defensa de los bines de uso público, para lo cual la Alcaldía Mayor de Bogotá, ALcaldía Local de teusaquillo, el Departamento Administrativo de la Defensoría del Espacio Púlblico y la Secretaría de Movilidad, de una parte,por intermedio de la Policía Metropolitana de Bogotá, deberán realizar los operativos mínimo cada quince (15) días con el fín de erradicar el problema de invasión del espacio público; y de otro lado, de manera coordinada esas mismas entidades en el término máximo de seis (6) meses, contados a partir de la ejecutoria de la sentencia, adelanten y lleven a su culminación el procedimiento consagrado en el artículo 8 del decreto 098 de 2004, para la recuperación del espacio público de la zona comprendida en la Calle 24 A entre carreras 59 y 60, en la ciudad de Bogotá, ocupado indebidamente. (...).- 2017-06-21	 AUTO QUE ADMITE RECURSO DE APELACION. 2017-06-21	 	AUTO QUE ADMITE RECURSO DE APELACION Tribunal Administrativo de Cundinamarca profiere Sentencia Desfavorable en Segunda Instancia en contra de las entidades Distritales convocadas, estableciendo en la parte resolutiva del fallo : "PRIMERO. MODIFICAR el numeral tercero y ADICIONAR la Sentencia del 13 de Junio de 2017 proferida por el Juzgado Cincuenta (50) Administrativo de Bogotá, de conformidad con lo expuesto en la parte motiva de esta providencia, la cual quedará así: "(...) TERCERO: SE PROTEGE el derecho al goce del espacio público y utilización y defensa de los bienes de uso público , para lo cual la Alcaldía Mayor de Bogotá, la Alcaldía Local de Teusaquillo, el Departamento Administrativo de la Defensoría del Espacio Público y la Secretaría de Movilidad, de una parte, por intermedio de la Policía Metropolitana de Bogotá, deberán realizar operativos mínimo cada quince (15) días, por el término inicial de cuatro (4) meses y posteriormente con una menos frecuencia, con el fin de erradicar el problema de invasión del espacio público; y de otro, de manera coordinada esas mismas entidades en el término máximo de un (1) año, contado a partir de la ejecutoria de la sentencia, adelanten y lleven a su culminación el procedimiento consagrado en el artículo 8 del decreto 098 de 2004,para la recuperación del espacio público de la zona comprendida en la Calle 24 A entre carreras 59 y 60, en la ciudad de Bogotá, ocupado indebidamente. Una vez agotado el anterior procedimiento, sino no (sic) se ha podido recuperar el espacio público invadido, el Alcalde de la Localidad de Teusaquillo en uso de sus las facultades policivas consagradas en la Ley, deberá ordenar a la Policia Metropolitana de Bogotá, para que de manera insistente pero pacífica realice todas las gestiones necesarias para garantizar su restitución inmediata. Igualmente, se ordenará a las demás demandadas Alcaldía Mayor de Bogotá, DADEP y Secretaría Distrital de Movilidad, que en el marco de sus competencias, acompañen y colaboren activamente con el procedimiento administrativo para la recuperación del espacio público en la zona objeto de esta controversia, frente a los vendedores informales, así como ante los vehículos mal parqueados,. Así mismo, que cada una de las actividades que se realicen se deberá informar por escrito a este despacho. TERCERO A : INSTAR a la Alcaldía Mayor de Bogotá, la Alcaldía Local de Teusaquillo, el DADEP y la Secretaría De Movilidad para que realicen un estudio detallado de la de la problemática de la zona, y en consecuencia adopten las medidas educativas, de transito peatonal y vehicular que se analizaron en la sentencia y den solución a la situación particular de los vendedores informales, con el fin de lograr el amparo constitucional de los derechos colectivos protegidos. (...)"."2018-11-19	INFORMES. 2018-12-17	 	INFORMES. - 2019-04-02 INFORMES.- 2019-05-16 INFORMES.- 2019-05-24	AUTO QUE ORDENA REQUERIR.- 2019-07-18 INFORMES.- 2019-07-19 AUTO QUE ORDENA REQUERIR.- 2019-08-13 INFORMES.- 2019-09-03	 INFORMES.- 2019-09-03 INFORMES.- 2020-08-03 SEGUIMIENTO CUMPLIMIENTO SENTENCIAS.- 2020-11-11INFORMES.- 2021-08-12	 	INFORMES.- 2022-03-03 AUTO QUE ORDENA REQUERIR.- 2022-05-05 AUTO DE TRAMITE.- 2022-07-01	 	PRESENTACIÓN DE INFORMES.- 2022-10-21	AUTO QUE ORDENA REQUERIR.-  	2023-12-22 INFORMES.- 2024-02-28	 	INFORMES.- 2024-02-28 PRESENTACIÓN DE INFORMES. 23-04-2024  SE ABSTIENE DE ABRIR INCIDENTE DE DESACATO. ABRIL 24 DE 2024 NOTIFICACION POR CORREO ELECTRONICO DEL AUTO QUE PRIMERO: DECLARA EL CUMPLIMIENTO DE LA SENTENCIA DE FECHA DEL 13 DE JUNIO DE 2017- SEGUNDO:SE ABSTIENE DE CONTINUAR CON EL TRAMITE INCIDENTAL CONFORME A LA PARTE MOTIVA DEL PRESENTE AUTO. TERCERO: CONMINAR A LA ALCALDIA MAYOR DE BOGOTA , A LA ALCALDIA LOCAL DE TEUSAQUILLO, AL DEPARTAMENTO ADMINISTRATIVO DE LA DEFENSORÍA DEL ESPACIO PÚBLICO, A LA SECRETAIA DISTRITAL DE MOVILIDAD Y A LA POLICIA METROPOLITANA DE BOGOTA, PARA QUE REALICEN LAS ACTUACIONES POLICIVAS TENDIENTES A LA PROTECCION Y RESTITUCION DEL ESPACIO PUBLICO QUE SEAN NECESARIOS PARA CONSERVAR EL GOCE Y DISFRUTE DEL ESPACIO PUBLICO EN LA ZONA DE LA CALLE 24 A ENTRE CARRERAS 59 Y 60 Y OTRAS DISPOSICIONES.</t>
  </si>
  <si>
    <t>SGIEP</t>
  </si>
  <si>
    <t>SEGUIMIENTO CUMPLIMIENTO DE FALLO CONMINACION DEL JUEZ A SEGUIR REALIZANDO OPERATIVOS EN LA ZONA OBJETO DE ACCION POPULAR.</t>
  </si>
  <si>
    <t>2008-14456</t>
  </si>
  <si>
    <t>FISCALIA 119 SECCIONAL UNIDAD FE PUBLICA Y ORDEN ECONOMICO - TARDÍA ABREVIADO</t>
  </si>
  <si>
    <t xml:space="preserve">DADEP </t>
  </si>
  <si>
    <t>CARLOS ALBERTO LARA ACEVEDO</t>
  </si>
  <si>
    <t>SUPERCENTER FALSEDAD</t>
  </si>
  <si>
    <t>FALSEDAD EN DOCUMENTO PUBLICO - FRAUDE PROCESAL</t>
  </si>
  <si>
    <t>DENUNCIADO EN REPRESENTACION DE SUPERCENTER CONSTITUYE URBANIZACION SEÑALANDO QUE LAS OBRAS YA HABIAN SIDO EJECUTADAS Y QUE SE ENCONTRABA LIBRE DE EMBARGOS, NO OBSTANTE TENIA EMBARGO DE BBVA</t>
  </si>
  <si>
    <t>SUPERCENTER</t>
  </si>
  <si>
    <t xml:space="preserve">22/02/2016 CONDENA A 84 MESES DE PRISION </t>
  </si>
  <si>
    <t>7-3-17 CONFIRMAR PARCIALMENTE FALLO - DECLARA PRESCRIPCIÓN DELITO FALSEDAD</t>
  </si>
  <si>
    <t xml:space="preserve">SEGUIMIENTO PROCESAL - SEGUIMIENTO RECURSO DE CASACIÓN- CON OFICIO 44318 SE DEVUELVEN LAS DILIGENCIAS AL TRIBUNAL DEL BOGOTA EN 5 CDNOS Y 28 CD
</t>
  </si>
  <si>
    <t>CASACION</t>
  </si>
  <si>
    <t>No. 25000232400020120058100</t>
  </si>
  <si>
    <t>VICTOR EDUARDO DUARTE SAAVEDRA</t>
  </si>
  <si>
    <t>DADEP - ALCALDIA MAYOR</t>
  </si>
  <si>
    <t>NULIDAD CONTRA ACTA DE TOMA DE POSESION - ANTEJARDINES MADELENA</t>
  </si>
  <si>
    <t>MADELENA III Y IV SECTOR</t>
  </si>
  <si>
    <t>SEGUIMIENTO PROCESAL - ALEGATOS PRESENTADOS - PENDIENTE FALLO CONSEJO DE ESTADO. ENTRO AL DESPACHPO PARA FALLO EL 1/04/2019 - 12-08-2022 REMITEN CONSTANCIA DEL ESTADO DEL PROCESO</t>
  </si>
  <si>
    <t>2015-01376</t>
  </si>
  <si>
    <t>JUZGADO 42 CIVIL MUNICIPAL DE BOGOTÁ</t>
  </si>
  <si>
    <t>GABRIEL ROJAS HUERFANO</t>
  </si>
  <si>
    <t>ROBERTO RODRIGUEZ  ALDANA</t>
  </si>
  <si>
    <t>PRESCRIPCION INMUEBLE POR TENER LA POSESION POR MAS DE 10 AÑOS</t>
  </si>
  <si>
    <t>VILLA EL DORADO NORTE</t>
  </si>
  <si>
    <t xml:space="preserve">EL 1 DE OCTUBRE DE 2024, ME PRONUNCIÉ FRENTE AL RECURSO DE APELACIÓN. SIN EMBARGO, EL DESPACHO NO LO HA RESUELTO. </t>
  </si>
  <si>
    <t xml:space="preserve">APELACIÓN </t>
  </si>
  <si>
    <t>1988-01361
11001310302019880136100</t>
  </si>
  <si>
    <t>JUZGADO 5 CIVIL DE CIRCUITO DE EJECUCIÓN DE SENTENCIAS</t>
  </si>
  <si>
    <t>PILAR VANEGAS - CRISTIAN RODRIGUEZ</t>
  </si>
  <si>
    <t>GUILLERMO MARTINEZ - SOLEDAD RAMIREZ</t>
  </si>
  <si>
    <t>RINCON DE LOS ANGELES - EJECUTIVO CON EL CUAL SE REMATA Y ADJUDICA PREDIO</t>
  </si>
  <si>
    <t>RINCON DE LOS ANGELES</t>
  </si>
  <si>
    <t>1-4875; 1-4876</t>
  </si>
  <si>
    <t>SIN ORDENES AL DADEP - DADEP INTERVIENE PARA DEFENDER BIENES DEL DISTRITO</t>
  </si>
  <si>
    <t>INTERVENCIÓN - SE PRETENDE REVOCAR ACTA DE ENTREGA, EXISTE ACCION POPULAR Y NULIDAD DE ACTO ADMINISTRATIVO DE CATASTRO PENDIENTE POR RESOLVER PARA QUE CONTINUE EL TRAMITE PROCESAL.</t>
  </si>
  <si>
    <t>EN EJECUCIÓN - DADEP INTERVENCIÓN DEFENSA BIENES DEL DISTRITO CON OTRAS ACCIONES CONSTITUCIONALES Y JUDICIALES.</t>
  </si>
  <si>
    <t>1998-00939</t>
  </si>
  <si>
    <t>JUZGADO 40 - CIVIL DEL CIRCUITO</t>
  </si>
  <si>
    <t>MARIA EUGENIA MARTÍNEZ, HENRY GOMEZ RAMOS, ROSA HELENA GONZÁLEZ CUELLAR  Y OTROS.</t>
  </si>
  <si>
    <t>PERSONAS INDETERMINADAS</t>
  </si>
  <si>
    <t>PROCESO DE PERTENENCIA SOBRE UN PREDIO FISCAL</t>
  </si>
  <si>
    <t>NULIDAD DE LA SENTENCIA DE PERTENENCIA DE FECHA 26 DE MARZO DE 2004</t>
  </si>
  <si>
    <t>2-1250</t>
  </si>
  <si>
    <t>240,4</t>
  </si>
  <si>
    <t>26/03/2004</t>
  </si>
  <si>
    <t xml:space="preserve">SE PRESENTA NULIDAD DE LA SENTENCIA LA CUAL ES NEGADA EN PRIMERA Y SEGUNDA INSTANCIA </t>
  </si>
  <si>
    <t>SGC</t>
  </si>
  <si>
    <t>CON PRONUNCIAMIENTO EN SEGUNDA INSTANCIA NEGANDO LA SOLICITUD DE NULIDAD, PROCESO ARCHIVADO, SIN ACTUACIONES PENDIENTES.</t>
  </si>
  <si>
    <t>2001-00056</t>
  </si>
  <si>
    <t xml:space="preserve">JUZGADO 5 CIVIL DEL CIRCUITO DE EJECUCIÓN DE BOGOTÁ </t>
  </si>
  <si>
    <t>BANCO DE BOGOTÁ S.A.</t>
  </si>
  <si>
    <t xml:space="preserve">LUIS EDUARDO MOSQUERA-COOPERATIVA DEL VIVIENDA DEL MAGISTERIO </t>
  </si>
  <si>
    <t>PROCESO EJECUTIVO ENTRE PARTICULARES EN DONDE SE ORDENÓ EL EMBARGO DE LAS ZONA DE CESIÓN DE LA URABNIZACIÓN COOVIMAC LTDA</t>
  </si>
  <si>
    <t>SE PRETENDE LEVANTAR LA MEDIDA DE EMBARGO QUE PESA SOBRE EL INMUEBLE 50C-233951</t>
  </si>
  <si>
    <t>URBANIZACIÓN MULTIFAMILIAR  COOVIMAC LTDA</t>
  </si>
  <si>
    <t>1519-1, 1519-2, 1519-3</t>
  </si>
  <si>
    <t xml:space="preserve"> N/A</t>
  </si>
  <si>
    <t>EN FECHA 29 DE MARZO DE 2023, SE PROCEDE A ORDENAR LA TERMINACIÓN POR DESISTIMIENTO TÁCITO DEL PROCESO</t>
  </si>
  <si>
    <t xml:space="preserve">CON SENTENCIA DE PRIMERA Y SEGUNDA INSTANCIA EJECUTORIADAS EN EJECUCIÓN. CON SOLICITUD PARA CANCELAR LAS MEDIDAS CAUTELARES IMPUESTAS. SE ORDENA CANCELAR LA MEDIDA DE EMBARGO QUE PESABA SOBRE EL INMUEBLE Y SE INFORMA A LA SRI. SIN ACTUACIONES PENDIENTES. </t>
  </si>
  <si>
    <t>2019-00307
11001310300420190030700</t>
  </si>
  <si>
    <t>JUZGADO 4 CIVIL DEL CIRCUITO DE BOGOTÁ</t>
  </si>
  <si>
    <t>JOSE PABLO EMILIO YOPASA MUÑOZ</t>
  </si>
  <si>
    <t>NULIDAD DE ESCRITURA PÚBLICA - DONACIÓN</t>
  </si>
  <si>
    <t>JAVA II SECTOR</t>
  </si>
  <si>
    <t>NOTIFICACIONES DE LOS DEMANDADOS HEREDEROS Y JAC BARRIO JAVA II SECTOR</t>
  </si>
  <si>
    <t>EL JUZGADO REQUIERE A LA PARTE DEMANDANTE PARA INFORMAR NOTIFICACION 26-09-2024</t>
  </si>
  <si>
    <t>2005-01924</t>
  </si>
  <si>
    <t>JUZGADO 58 ADMINISTRATIVO DEL CIRCUITO DE BOGOTÁ</t>
  </si>
  <si>
    <t>FABIO ZAMORA CONTRERAS</t>
  </si>
  <si>
    <t>INCUMPLIMIENTO CONTRATO ARRENDAMIENTO 004-1993</t>
  </si>
  <si>
    <t>SEGUIMIENTO SECRETARÍA JURÍDICA - PROCESO DE REPRESENTACIÓN INDIRECTA</t>
  </si>
  <si>
    <t>ACREDITA TRAMITE EMBARGO DE CUENTAS -  SEGUIMIENTO A BIENES EN CABEZA DEL DEMANDADO PARA INFORMAR AL DESPACHO</t>
  </si>
  <si>
    <t xml:space="preserve">2022-69826 </t>
  </si>
  <si>
    <t>FISCALÍA 212 ADMÓN PÚBLICA</t>
  </si>
  <si>
    <t>FORJA S.A.</t>
  </si>
  <si>
    <t>FORJA</t>
  </si>
  <si>
    <t>ENRIQUECIMIENTO ILÍCITO DE PARTICULARES - USURPACIÓN DE FUNCIONES</t>
  </si>
  <si>
    <t>A RAIZ DE LA TERMINACIÓN DE UN CONTRATO CAMEP ENTRE FORJA Y EL DADEP, EL PRIMERO NO RESTITUYÓ EL BIEN Y GENERÓ FRUTOS SOBRE EL MISMO, CONSERVANDO EL BIEN PÚBLICO PESE A LOS DIVERSAS SOLICITUDES DE RESTITUCIÓN Y ACCIONES JURÍDICAS POR PARTE DEL DADEP</t>
  </si>
  <si>
    <t>CHICO NORTE - NUEVA URBANIZACIÓN SANTA BARBARA II SECTOR II ETAPA CENTRO COMERCIAL</t>
  </si>
  <si>
    <t xml:space="preserve">Transcurrido el mes que el despacho menciono, se asiste al mismo el dia 14/05/24 donde el fiscal indica que se encuentra en estudio el caso e indica volver dentro del mes siguiente. </t>
  </si>
  <si>
    <t>INDAGACIÓN</t>
  </si>
  <si>
    <t>2005-01928</t>
  </si>
  <si>
    <t>TRIBUNAL CONTENCIOSO ADMINISTRATIVO DE CUNDINAMARCA - SECCIÓN TERCERA</t>
  </si>
  <si>
    <t>LUZ MARINA ARROYAVE DE RAMIREZ</t>
  </si>
  <si>
    <t>INCUMPLIMIENTO CONTRATO ARRENDAMIENTO 0011-1993</t>
  </si>
  <si>
    <t>2-440</t>
  </si>
  <si>
    <t xml:space="preserve">INFORMAR QUE BIENES SE ENCUENTRAN EN CABEZA DE LA DEMANDADA.
A LA FECHA NO ME HAN RECONCIDO PERSONERÍA JURÍDICA </t>
  </si>
  <si>
    <t>SENTENCIA Y SE ESTA TRAMITANDO DE OBTENCION DEL DINERO ADEUDADO CON MEDIDAS CAUTALES</t>
  </si>
  <si>
    <t>2017-00693</t>
  </si>
  <si>
    <t>JUZGADO 13  CIVIL DEL CIRCUITO</t>
  </si>
  <si>
    <t>INVERSIONES ALCABAMA S.A., INVERSIONES DIPRECA S.A.</t>
  </si>
  <si>
    <t>ENTREGA DE ZONAS CE CESIÓN</t>
  </si>
  <si>
    <t xml:space="preserve">   ENTREGUE, FORMAL Y MATERIALMENTE, ESCRITURE Y DOTE LAS ZONAS DE CESION NGRATUITAS A FAVOR DEL DISTRITO CAPITAL  DE LA URBANIZACIÓN 
CAMINO VERDE</t>
  </si>
  <si>
    <t>LAS FLORES</t>
  </si>
  <si>
    <t>3167-3168</t>
  </si>
  <si>
    <t>2022-06-21 Se fija fecha para la celebración de audiencia de pacto para el 17 de agosto de 2022 a las 10:00AM 2022-08-17 Previo al inicio de la audiencia: 1. Se desiste de la solicitud de vinculación de máximo Beltrán RodrÍguez  2. Se desiste de la solicitud de desvinculación de Luis Hernán Noguera Garzón. 3. El juez resuelve aplazar la audiecia debido a la inasistencia de Luis Hernán Noguera Garzón y en atención al avance en el cumpimiento de la sociedad Alcabama S.A., quienes afirman haber suspendido el avance con ocasión de un oficio enviado por SRI por el cual la UAESP manifestó no darle continuidad al trámite. 4. Se acordó aclararle a la UAESP que podían continuar con el trámite y adelantar una mesa de trabajo con los urbanizadores para conocer los avances.
2022-09-16 Se adelanta mesa de trabajo con INVERSIONES ALCABAMA S.A., IDU, UAESP, IDRD y el JBJCM para conocer los avances. En desarrollo de la reunión se aclaró la inexistencia de impedimento alguno que obstaculizara continuar con el trámite de entrega ante la UAESP.
2022-09-28 Se envía oficio a la UAESP acalarando la inexistencia de impedimento alguno que obstaculizara continuar con el trámite de entrega ante la UAESP.2023-07-06 pendiente de aceptación de poder. 25/08/23. Se notificó por estado auto que ordenó requerir a la parte actora 3. El juez resuelve aplazar la audiecia debido a la inasistencia de Luis Hernán Noguera Garzón y en atención al avance en el cumpimiento de la sociedad Alcabama S.A., quienes afirman haber suspendido el avance con ocasión de un oficio enviado por SRI por el cual la UAESP manifestó no darle continuidad al trámite. 4. Se acordó aclararle a la UAESP que podían continuar con el trámite y adelantar una mesa de trabajo con los urbanizadores para conocer los avances. 2022-09-16 Se adelanta mesa de trabajo con INVERSIONES ALCABAMA S.A., IDU, UAESP, IDRD y el JBJCM para conocer los avances. En desarrollo de la reunión se aclaró la inexistencia de impedimento alguno que obstaculizara continuar con el trámite de entrega ante la UAESP. 2022-09-28 Se envía oficio a la UAESP acalarando la inexistencia de impedimento alguno que obstaculizara continuar con el trámite de entrega ante la UAESP. 2023-07-06 pendiente de aceptación de poder. 25/08/23. Se notificó por estado auto que requirió al DADEP para allegar comprobantes de notificación de la vinculación a la AP de la UAESP. 28/08/23. Se remite al despacho cumplimiento de la orden del auto del 25 de agosto de 2023. 12/09/2023. Contestación de la demanda. 25/10/2023. Traslado contestación de la demanda por el término de 5 días. 14/11/2023. Al Despacho. 31/01/2024. Se notificó por estado auto que citó a audiencia de pacto para el 13/03/24 a las 02:00 pm. 08/02/24. Con memorando 20241300012213 se solicitó a la SRI información sobre el estado actual de las zonas de cesión para efectos de la audiencia de pacto de cumplimiento (pendiente respuesta - fecha límite 26 de febrero de 2024). 14/02/2024. Memorando 20242010012973 de la SRI informando el estado actual de las áreas de cesión. 28/02/2024. Se radicó solicitud de nulidad. 29/02/2024. Al Despacho solicitud de nulidad. Pendiente de pronunciamiento despacho.04-08-2024 interposición de recurso contra  auto que rechaza nulidad interpuesto por ENEL. fija diligencia de paxcto para el 23 de julio de 2024  auto de fecha 19 marzo de 2024. auto de fecha 12 abril de 2024 Traslado Art. 326 Inciso 1° C.G.P.. 29/04/2024. Se notificó por estado auto que resolvió negar el recurso de apelación. 23/07/2024. Se asistió a la audiencia de pacto la cual fue reprogramada para el 29/07/24 a las 09:00 am, teniendo en cuenta los inconvenientes del juez para conectarse a la misma. 29/07/2024. Se llevó a cabo la audiencia de pacto, no obstante la misma fue suspendida con el fin de otorgar tiempo suficiente a las partes para que lleguen a un acuerdo teniendo en cuenta los avances en el trámite de la cesión de zonas comunes, por lo que la audiencia se reprogramó para el 4 de febrero a las 09:00 am. 29/07/2024. Con memorando 20241300037153 se solicitó a la SRI especial seguimiento al caso atendiendo a la solicitud del Juez de gestionar el asunto de entrega de cesión de zonas comunes. 28/11/24. Se notificó por estado auto que aceptó renuncia a poder  audiencia de pacto de cumplimiento el 4 de febrero de 2025 a las 9 am sin embargo  teniendo en cuenta que se programo una mesa de soluciones para el 17 de febrero de 2025 para solventar el tema de ENEL CODENSA, el juzgado suspende la diligencia y solicita se informe inmediatamente por ultima vez los resultados de la mesa de soluciones con las entidades</t>
  </si>
  <si>
    <t>SRI</t>
  </si>
  <si>
    <t xml:space="preserve">PARA AUDIENCIA DE PACTO DE CUMPLIMIENTO </t>
  </si>
  <si>
    <t>2015-00516</t>
  </si>
  <si>
    <t>JUZGADO 2 CIVIL DEL CIRCUITO  DE ORALIDAD DE BOGOTÁ</t>
  </si>
  <si>
    <t>FIDUCIARIA DE OCCIDENTE - BIENES Y COMERCIO - SADINSA</t>
  </si>
  <si>
    <t xml:space="preserve">ENTREGA ZONAS DE CESIÓN </t>
  </si>
  <si>
    <t>ENTREGA Y ESCRITURACION ZONAS DE CESION VILLA ALSACIA</t>
  </si>
  <si>
    <t>VILLA ALSACIA LOTE 1 SECTOR A</t>
  </si>
  <si>
    <t>SEGUIMIENTO PROCESAL - NOTIFICADO CURADOR ADLITEM QUIEN CONTESTÓ DEMANDA Y ENTRÓ AL DESPACHO - A LA ESPERA TRASLADO EXCEPCIONES. AUDIENCIA PACTO DE CUMPLIIMIENTO PARA EL 1 DE OCTUBRE DE 2019. AL DESPACHO PARA RESOLVER RECURSO DE REPOSICION  9-2-2024
EN SECRETARIA CON EL AUTO DEL 12 DE MARZO DE 2020 QUE PONE EN CONOCIMIENTO DE CONFORMIDAD CON LA SOLICITUD DE ACLARACION ELEVADA POR EL APODERADO DE LA PARTE ACTORA, TENGASE PARA TODOS LOS EFECTOS POR NO ESCRITO EL ACAPITE DICTAMEN PERICIAL POR NO HABERSE SOLICITADO CON LA ACCION POPULAR. POR SECRETARIA DESE CUMPLIMIENTO AL AUTO QUE DECRETO PRUEBAS.      A LA FECHA 10/05/2022  NO SE EVIDENCIA NINGUN ESTADO DIFERENTE AL DE PRUEBAS, POR LO CUAL SE REALIZARA EL RESPECTIVO //SEGUIMIENTO AL PROCESO. se consulta el proceso en la web de la rama  el 9 de agosto de 2022 y se encuentra al despacho desde el 26 Marzo de 2021. se llevo a cabo mesa de trabajo el dia 6 de julio de 2022 con SRI y el accionante. Sin embargo, se manifiesto que no se va hacer modificacion de las zonas de cesion que en su tiempo presuntamente el DADEP no quiso entregar, se atienen a las resultas del proceso. se remite poder el 20-10-2022 para revision y posterior envio al despacho a fin de dar impulso procesal. El dia 24-10-2022 se radica 20221100165361 poder  por correo electronico se reirera solicitud al despacho ya que no se registra la informacion en la web de la rama. se realiza consulta en la rama el 19-01-2023 ingresa al despacho con poder dadep. Auto de fecha 8-3-2023 requiere al accionado para que se pronuncie sobre el dictamen decretado a su solicitud. SE radica el 5-9-2023 solicitud de impulso procesal ya que el accionado no allega la prueba decretada. El 21-11-2023 se allega dictamen aportado por la demandada.El 27-12-2023 se solicito actualizacion estudio tecnico juridico. el 13-12-2023 se interpone recurso de reposicion contra auti de fecha 6-12-2023. a la espera de las resultas del recurso. Mediante oficio orfeo 20241300011381 de fecha 1 -2-2023  se remite estudio tecnico juridico actualizado del predio al juzgado para los fines que estime pertinentes.auto de fecha 9-10-2024 revoca parcialmente auto corre traslado a las partes sobre el estudio tecnico actualizado allegado por el DADEP a las partes.16/10/2024 APODERADA FIDUCIARIA DE OCCIDENTE S.A. / RECURSO DE REPOSICIÓN Y EN SUBSIDIO DE APELACIÓN. 28-10 -2024 Traslado Recurso Reposición Art. 319 C.G.P. al Despacho desde el 2024-11-05. una vez se resuelva recurso  radicar informe tecnico.</t>
  </si>
  <si>
    <t>PRUEBAS</t>
  </si>
  <si>
    <t>2006-00027
11001333103820060002700</t>
  </si>
  <si>
    <t>JUZGADO 59 ADMINISTRATIVO</t>
  </si>
  <si>
    <t>FRANCISCO JAVIER GOMEZ RAMIREZ</t>
  </si>
  <si>
    <t>INCUMPLIMIENTO CONTRATO ARRENDAMIENTO 0051-1993</t>
  </si>
  <si>
    <t>AUTO REQUIERE AL SECUESTRE 22-11-2022, EL VEHICULO EMBARGADO NO APARECE FISICAMENTE, ES UN MODELO BASTANTE ANTIGUO LO QUE VALE ES EL CUPO (TAXI) DE NO APARECER SE DEBE BUSCAR EL DESISTIMIENTO TACITO Y ARCHIVAR.</t>
  </si>
  <si>
    <t>AUTO REQUIERE A LOS DDOS 30-07-2024</t>
  </si>
  <si>
    <t>2019-00611
11001310303520190061100</t>
  </si>
  <si>
    <t>JUZGADO 35 CIVIL DEL CIRCUITO DE BOGOTÁ</t>
  </si>
  <si>
    <t>INVERSION Y DESARROLLO BARRANCO</t>
  </si>
  <si>
    <t>CONSTRUCTORA INCUMPLIO CON LA OBLIGACION DE ESCRITURAR  Y ENTREGAR LAS ZONAS DE CESIÓN.</t>
  </si>
  <si>
    <t>PANTANOS</t>
  </si>
  <si>
    <t>NO APLICA</t>
  </si>
  <si>
    <t>ESTA AL DESPACHO PARA SEÑALAR FECHA DE PACTO DE CUMPLIMIENTO 11-07-2023. Se notificó por estado auto que fijó fecha para audiencia de pacto el 21/02/2025 a las 09:00 am</t>
  </si>
  <si>
    <t xml:space="preserve"> EL JUZGADO DECIDE EL RECURSO 18-04-2024</t>
  </si>
  <si>
    <t>2018-00106</t>
  </si>
  <si>
    <t>JUZGADO 2  CIVIL DEL CIRCUITO</t>
  </si>
  <si>
    <t>KADAS</t>
  </si>
  <si>
    <t>SORATAMA</t>
  </si>
  <si>
    <t>ENTREGA Y ESCRITURACION ZONAS DE CESION URBANIZACION BOSQUES DE SORATAMA</t>
  </si>
  <si>
    <t>BOSQUES DE SORAMATA</t>
  </si>
  <si>
    <t>SEGUIMIENTO PROCESAL: CONTESTACIÓN DEMANDA Y ACTUACIONES PROCESALES. MEDIANTE RADICADO 20211100131541 MEMORIAL SOLICITANDO AL DESPACHO VINCULAR AL  LIQUIDADOR. DIFERENTES MESAS DE TRABAJO CON EL LIQUIDADOR Y LA SRI. 27-04-2022 PODER IDRD. 25-07-2022 LA SRI ESTA GESTIONANDO ACTA DE TOMA DE POSESIÓN DE ACUERDO CON LA MESA DE TRABAJO CELEBRADA ENTRE LA OAJ Y SRI. AUTO DEL 2 DE NOVIEMBRE DE 2022, FIJA FECHA DE PACTO DE CUMPLIMIENTO PARA EL 24 DE NOVIEMBRE DE 2022 A LAS 10:00 A.M. AUTO 30/05/2023 FIJA AUDIENCVIA PACTO DE CUMPLIMIENTO 22/06/2023 A LAS 10:00 A.M.  SE SUSPENDE DILIGENCIA DE PACTO DE CUMPLIMIENTO PARA EL 05-11-2023. MEDIANTE MEMORANDO ORFEO 2023130038133 SE SOLICITO A SRI INFORMACION DEL ESTADO DEL TRAMITE DE ESCRITURACI{ON. ORFEO 20232030039163 SE INFORMO ESTADO DE AVANCE DE LA ESCRITURACIÓN. RADICADO ORFEO 20231300166801 DEL 31-10-2023  SE SOLICITO AL DESPACHO FIJAR FECHA DE AUDIENCIA DE PACTO SUSPENDIDA. AL DESPACHO SIN ACTUACIÓN.22-01-2024 AL DESPACHO.</t>
  </si>
  <si>
    <t>FIJACION AUDIENCIA DE PACTO DE CUMPLIMIENTO</t>
  </si>
  <si>
    <t>2006-00063
11001333103320060006300</t>
  </si>
  <si>
    <t>JUZGADO 65 - ADMINISTRATIVO SECCIÓN TERCERA</t>
  </si>
  <si>
    <t>DORIS ROCIO VANEGAS OLGUIN</t>
  </si>
  <si>
    <t>INCUMPLIMIENTO CONTRATO ARRENDAMIENTO 0016-1999</t>
  </si>
  <si>
    <t>PROCESO CON SENTENCIA DEL EJECUTIVO, SE ENCUENTRA EMBARGADO LA CUOTA DE UN INMUEBLE DE DORIS ROCIO VANEGAS HOLGUIN</t>
  </si>
  <si>
    <t>SECUESTRO DEL BIEN INMUEBLE DECRETADO EL 23 DE MARZO DEL 2022, NO SE HA PODIDO CONCRETAR POR FALTA DE UBICACIÓN DEL PREDIO ESTA EN LA ALCALDIA DE BOSA.</t>
  </si>
  <si>
    <t>(2007-00240)
(11001310300220070024000)</t>
  </si>
  <si>
    <t xml:space="preserve">JUZGADO 47 CIVIL DEL CIRCUITO DE BOGOTÁ D.C.    </t>
  </si>
  <si>
    <t>ANA DOLORES SARMIENTO Y 2OTROS</t>
  </si>
  <si>
    <t>JOSE HECTOR BERMNUDEZ VARGAS Y OTROS</t>
  </si>
  <si>
    <t>TERCEROS SE APODERARON DE UNA ZONA DE CESION EN EL TRAMITE JUDICIAL DE PERTENENCIA</t>
  </si>
  <si>
    <t>VILLAS DEL  DORADO</t>
  </si>
  <si>
    <t>3103-7</t>
  </si>
  <si>
    <t>SE PRESENTO INCIDENTE DE NULIDAD PROCESAL POR LA AFECTACIÓN DE UN PREDIO DESTINADO AL USO PUBLICO, EL JUZGADO CORRIO TRASLADO DEL MISMO.</t>
  </si>
  <si>
    <t>DESPACHO 26-09-2024 PARA TENER POR NOTIFICADO Y CONTESTADA LA DEMANDA Y DECRETAR PRUEBAS</t>
  </si>
  <si>
    <t>2019-00473</t>
  </si>
  <si>
    <t>JUZGADO 21 CIVIL DEL CIRCUITO DE BOGOTÁ</t>
  </si>
  <si>
    <t>CONTRUCTORA LAS GALIAS S.A.</t>
  </si>
  <si>
    <t xml:space="preserve">ZONAS DE CESION URBANIZACION QUINTAS DE CASTILLA </t>
  </si>
  <si>
    <t xml:space="preserve">QUINTAS DE CASTILLA </t>
  </si>
  <si>
    <t>848-1 AL 848-10</t>
  </si>
  <si>
    <t>Audiencia de pacto de cumplimiento llevada a cabo el día 06 de abril de 2022, donde la apoderada judicial de la parte accionada manifiesta que la certificación emitida por la UAESP, se les refundió, por tal motivo no la han podido aportar y completar todos los documentos para seguir con el trámite correspondiente; se envía petición a la UAESP de la respectiva acta por parte del juzgado y del DADEP con Rad No. 20221100051721, la audiencia se suspende y continúa el 08 de junio de 2022 la cual se declara fallida, ingresa el proceso al despacho para decretar las pruebas a que haya lugar, mediante auto de pruebas de 26 de septiembre de 2022, se decretan como pruebas solicitadas por la sociedad constructora, se señala interrogatorio de parte del representante del DADEP, el día 23 de enero de 2023 a las 2:15 pm, se decreta los testimonios de los señores, Ricardo Sánchez, Fabian Leonardo Gutiérrez Leal, María Cristina Naranjo y Carlos Humberto Guzmán, el día 30 de enero de 2023, Prueba de oficio: Se decreta el interrogatorio de parte del representante legal o quien haga sus veces de la sociedad demandada, el día 23 de enero a las 04:00 pm. se requiere la elaboración de dictamen pericial y para su presentación conceden el termino de 20 días, se procede a hacer la solicitud a la SRI, mediante memorando con Radicado DADEP No. 20221100068823, el cual se remite al juzgado el día 24 de octubre de 2022 con Radicado DADEP No. 20221100167141. Se asiste a audiencia el dia 23 de Enero de 2023, para pruebas en la misma se solicita por parte del apoderado del demandado la suspension y se coadyuva la solicitud por parte del DADEP se suspende la audiencia hasta el 28 de abril de 2023 a las 10 am. el despacho dio un termino de 5 dias para que el accionado remitiera cuestionario por parte de las galias. Audiencia de fecha 28 de Abril se suspende por 2 meses, toda vez que ya se esta en la etapa de escrituracion de las zonas de cesion.  se solicita el dia 29 de Mayo de 2023 a SRI informe sobre el trámite de escrituración a fin de informar al despacho. se coadyuva solicitud de suspension de la diligencia programada para el 28 junio de 2023 para terminar los tramites administrativos, pendiente se radique por parte del urbanizador o notaria 15 la escritura publica para firma de la Directora. audiencia de continuacion 14-9-2023  a las 2:30 pm. se asiste a dligencia se presentan escrituras con transferencia zonas de cesion ingresa al despacho 25-9-2023 para sentencia.  el  15 -3-2024 se profiere sentencia que aprueba el pacto de cumplimiento al haberse cumplido con la transferencia de las zonas de cesion. archivar proceso fecha 3 abril de 2024.</t>
  </si>
  <si>
    <t>ARCHIVO</t>
  </si>
  <si>
    <t>2005-01927</t>
  </si>
  <si>
    <t>JUZGADO 61 - ADMINISTRATIVO SECCIÓN TERCERA</t>
  </si>
  <si>
    <t>EDDY ROCIO MELO CARRANZA</t>
  </si>
  <si>
    <t>INCUMPLIMIENTO CONTRATO ARRENDAMIENTO 0010-1994</t>
  </si>
  <si>
    <t>PENDIENTEGESTIÓN EMBARGO DE CUENTAS -  SEGUIMIENTO A BIENES EN CABEZA DEL DEMANDADO PARA INFORMAR AL DESPACHO</t>
  </si>
  <si>
    <t>2019-00730
11001310302220190073000</t>
  </si>
  <si>
    <t>JUZGADO 22 CIVIL DEL CIRCUITO DE BOGOTÁ</t>
  </si>
  <si>
    <t>FIDUCIARIA DE OCCIDENTE</t>
  </si>
  <si>
    <t>TINGUA</t>
  </si>
  <si>
    <t>EL DESPACHO NO REPUSO AUTO Y ORDENO VINJCULAR A COLSUBSIDIO Y CURADOR URBANO 3. 16/02/2024. Se notificó por estado auto que requirió al DADEP para que remita cumplimiento del auto so pena de desistimiento de la demanda. 27/02/2024. Cumplimiento del auto por parte del DADEP. 04/10/2024. Se notificó por estado auto que ordenó vincular a la Secretaría Distrital del Hábitat. 23/10/2024. Memorial de cumplimiento del auto del 3 de octubre de 2024 por parte del DADEP a través del cual se remitió constancia de notificación a la Secretaría Distrital del Hábitat. 12/11/2024. Contestación demanda Secretaría de Hábitat</t>
  </si>
  <si>
    <t>DESPACHO 23-04-2024 PARA SEÑALAR FECHA DE PACTO DE CUMPLIMIENTO</t>
  </si>
  <si>
    <t>2012-00546</t>
  </si>
  <si>
    <t>CONSTRUCTORA NORMANDIA</t>
  </si>
  <si>
    <t>ENTREGA Y ESCRITURACION BOSQUES DE SALAMANCA</t>
  </si>
  <si>
    <t>BOSQUES DE SALAMANCA</t>
  </si>
  <si>
    <t>SEGUIMIENTO PROCESAL - SE ADELANTA GESTIONES TENDIENTES A ENTREGA ZONAS CESIÓN DE MANERA DIRECTA CON URBANIZADOR - PENDIENTE ESCRITURACIÓN. RADICARON SOLICITUD DEL 545 PERO AL PARECER SRI DETERMINA QUE NO ES VIABLE, SE CONTINUA CON PROCESO JUDICIAL. Se decretan pruebas y se señala para practicarlas 19/04/2024 10 A.M.26-01-2024 NO SE TIENE EN CUENTA CONTESTACION DE IDRD. SE CONVOCA PARA AUDIENCIA DE PACTO DE CUMPLIMEINTO EL DIA 9 DE DICIEMBRE DE 2019 A LAS 2:30 PM. 26-09-2022 FIJACION ESTADO AUTO RECONOCE PERSONERIA Y CONTESTACION DEMANDA Y CONCEDE TERMINO PARA APORTAR CERTIFICADO DE TRADICION ACTUALIZADO DEL BIEN OBJETO DE ACCION. 24-10-2023 AUTO DE PRUEBAS FIJA FECHA DE AUDIENCIA DE TESTIMONIOS ABRIL 13 DE 2024.
EN DILIGENCIA LLEVADA A CABO EL 24 DE FEBRERO, LA JUEZA ORDENO HACER UN LEVANTAMIENTO TOPORAFICO, ESTUDIO DE TÍTULOS Y VISITA PARA PODER TENER CLARA LA FÓRMULA DE PACTO. POR LO ANTERIOR, SE SUSPENDE LA DILIGENCIA PARA QUE EL DADEP REALICE ESTOS ESTUDIOS. MEDIANTE OFICIO 20211100113181  01/10/2021 SE ALLEGARON AL DESPACHO ESTUDIO DE TITULOS Y LEVANTAMIENTO TOPOGRAFICO. 2022-05-27 REQUERIMIENTO JUZGADO PARTE ACTORA ALLEGAR OFICIOS A JARDIN BOTANICO, IDRD, SDP.  22-06-2022 MEDIANTE ORFEO 20221100089111 SE REMITIERON LOS OFICIOS SOLICITADOS POR EL DESPACHO. AL DESPACHO CON DILIGENCIAMIENTO OFICIO PARTE ACTORA Y PODER DE LA UAESP.  26-09-2022: AUTO RECONOCE PERSONERIA Y CONTESTACION DEMANDA JARDIN BOTANICO Y SOLICITUD DE CERTIFICADOS DE TRADICIÒN Y LIBERTAD. 19-10-2022 REMISION DE CERTIFICADOS DE TRADICION Y LIBERTAD. 27-02-2023 AUTO FIJA AUDIENCIA DE PACTO DE CUMPLIMIENTO. 28-07-2023 SE LLEVO A CABO AUDIENCIA DE PACTO DE CUMPLIMIENTO. AUDIENCIA DE PRUEBAS 19-04-2024. AUTO ALEGATOS DE CONCLUSION 05-06-2024. 12-06-2024 PRESENTACION ALEGATOS DE CONCLUSION. 18-12-2024 SENTENCIA DESFAVORABLE.14-01-2025 PRESENTACION RECURSO DE APELACIÓN.</t>
  </si>
  <si>
    <t>SENTENCIA DE PRIMERA INSTANCIA</t>
  </si>
  <si>
    <t>(2023-00357)
11001310301320230035700</t>
  </si>
  <si>
    <t>JUZGADO 13 CIVIL DEL CIRCUITO</t>
  </si>
  <si>
    <t>NAMASTE S.A.</t>
  </si>
  <si>
    <t>NULIDAD DE ESCRITURA PUBICA</t>
  </si>
  <si>
    <t>El representante legal de la Asociación Provivienda de Trabajadores en su calidad de urbanizador responsable de hacer entrega de las zonas de cesión al Distrito Capital, incumplió con sus obligaciones urbanísticas señaladas en la mencionada Resolución 085 que aprobó los planos urbanísticos B16/4-18 al B16/4-29, y por el contrario, realizó un negocio jurídico de compraventa con la sociedad INVERSIONES NEMASTE S.A., con domicilio principal en la ciudad de Bogotá, identificado con el NIT 9001450807 representada legalmente por el señor LUIS DARIO DIAZ AGUIRRE mayor de edad, identificado con la cédula de ciudadanía Nro. 79.514.492, domiciliado y residenciado en la ciudad de Bogotá, sobre el bien inmueble ubicado actualmente en la calle 37B sur Nro. 72J-87 denominado lote 2 de la manzana 124 de la Urbanización Carvajal, con la suscripción de la Escritura Pública 1299 del 11 de junio del 2010 de la Notaria 44 del Círculo de Bogotá, sobre el cual se originó el Folio de Matrícula Inmobiliaria 050S-40534648 Carvajal con fecha de apertura el 19 de septiembre del 2009.</t>
  </si>
  <si>
    <t>CARVAJAL</t>
  </si>
  <si>
    <t>ESTA EN TRAMITE DE ADMISION DE LA DEMANDA</t>
  </si>
  <si>
    <t>DESPACHO PARA RESOLVER RECURSO DE NAMASTE 
08-04-2024</t>
  </si>
  <si>
    <t>2016-00311</t>
  </si>
  <si>
    <t>TRIBUNAL ADMINISTRATIVO DE CUNDINAMARCA SECCIÓN TERCERA</t>
  </si>
  <si>
    <t>JOSE GABRIEL BOSSA MARTINEZ</t>
  </si>
  <si>
    <t>DADEP - PLANEACIÓN - GOBIERNO - ALC USAQUEN - PLANEACIÓN - CATASTRO</t>
  </si>
  <si>
    <t xml:space="preserve">REF SOLICITA SE DECLARE LA NATURALEZA JURIDICA PRIVADA DE LOS INMUEBLES HEXAGONALES CON NOMECLATURA N CARRERA 5 BIS N 127 A 09 Y OTROS , EN RAZON A QUE NO CONSTITUYEN BUP NI EP NI ZUP POR NO POSEER DICHO CARACTER.
</t>
  </si>
  <si>
    <t>221,586,057,70</t>
  </si>
  <si>
    <t>25/07/2024</t>
  </si>
  <si>
    <t>Apelación de Sentencia de primera instancia del 25 de julio de 2024 - Pronunciamiento al recurso de apelación.</t>
  </si>
  <si>
    <t>EN APELACIÓN DE SENTENCIA - PRONUNCIAMIENTO.</t>
  </si>
  <si>
    <t>2021-55466</t>
  </si>
  <si>
    <t>FISCALIA 96 SECCIONALUNIDAD FE PUBLICA Y ORDEN ECONOMICO - ORDINARIO</t>
  </si>
  <si>
    <t>INDETERMINADO/ FRANCISCO DANIEL GOMEZ ZULUAGA</t>
  </si>
  <si>
    <t>FALSIFICACION FIRMA NADIME AMPARO YAVER LICHT</t>
  </si>
  <si>
    <t>FALSEDAD MATERIAL EN DOCUMENTO PÚBLICO, OBTENCIÓN DE DOCUMENTO PÚBLICO FALSO, FRAUDE PROCESAL</t>
  </si>
  <si>
    <t>FALSIFICACION FIRMA NADIME AMPARO YAVER LICHT EN LA NOTARIA 58 DE BOGOTÁ</t>
  </si>
  <si>
    <t xml:space="preserve">BARRIO LA MERCED </t>
  </si>
  <si>
    <t xml:space="preserve"> 2-1817</t>
  </si>
  <si>
    <t xml:space="preserve">EL DÍA 4 DE MAYO LA FISCALÍA 96 SECCIONAL DRA. MARÍA SARMIENTO, EMITE ÓRDENES A PJ, Y UN OFICIO CON DESTINO A LA OFICINA DE
INSTRUMENTOS PÚBLICOS INFORMANDO QUE EL PREDIO CON MATRÍCULA INMOBILIARIA 50C-1791850 ES UN PREDIO DEL DISTRITO EN EL CUAL CURSA INVESTIGACION,  EL DÍA 19 DE FEBRERO DE 2024  SE ASISTE A LA FISCALÍA 96 SECCIONAL DE BOGOTÁ, INFORMA EL DESPACHO QUE SE CONTINUA CON LA EVACUACIÓN DE ÓRDENES A PJ DE LO CUAL SE AGENDA REUNIÓN PARA EL DÍA  28 DE FEBRERO A LAS 3 PM,   SE SOLICITO AUDIENCIA ANTE JUEZ PENAL DE CONTROL DE GARANTÍAS RESPECTO A LA SUSPENSIÓN DEL PODER DISPOSITIVO DEL INMUEBLE CON MATRÍCULA INMOBILIARIA 50C-1791850, AUDIENCIA FIJADA  EL DÍA 19 DE MARZO A LAS 11 AM 
</t>
  </si>
  <si>
    <t xml:space="preserve">INDAGACIÓN PRELIMINAR </t>
  </si>
  <si>
    <t xml:space="preserve">2010-00522 </t>
  </si>
  <si>
    <t>JUZGADO 6 CIVIL DEL CIRCUITO DE BOGOTÁ</t>
  </si>
  <si>
    <t>CONSTRUCTORA AMG SA - CONSTRUCTORA BOLIVAR - INVERSIONES MAZUERA - HOSPITAL SAN CARLOS</t>
  </si>
  <si>
    <t>ENTREGA Y ESCRITURACION ZONAS DE CESION SAN CARLOS</t>
  </si>
  <si>
    <t>BOSQUE SAN CARLOS</t>
  </si>
  <si>
    <t>667 y 477-26</t>
  </si>
  <si>
    <t>SIN ORDENES - DADEP EXIGIR DEMANDADO ENTREGA Y ESCRITURACION</t>
  </si>
  <si>
    <t>Las ultimas actuaciones en el proceso por parte del  juzgado sexto civil del circuito corresponde a que mediante auto del  14 de diciembre de 2021 manifiesta  "Requerir a los intervinientes para que manifiesten lo que consideren  correspondiente sobre la solicitud efectuada por la Fundación Hospital San Carlos  y puesta en conocimiento en providencia del pasado 15 de julio. De otra parte, se requiere nuevamente al DADEP conforme lo ordenado en  providencia del 26 de febrero de 2020 para que indique si ya dio cumplimiento total  al fallo emitido dentro de esta acción que lleve a la finalización de este trámite".  Tambien se evidencia en la rama judicial que el juzgado en la actuaciones del proceso publico  que emitio un  oficio requiriendo al DADEP con fecha 21 de febrero de 2022, pero se esta a la espera de la notificaciòn . Las acciones a seguir corresponde a elaborar memorando solicitando informaciòn a la Subdirecciòn de registro inmobiliario para saber en que estado se encuentra la RESTITUIR Y ESCRITURAR LAS ZONAS DE CESION. el dia 2-05-2022 se profiere un auto en donde se requiere a la sociedad de arquitectos por 10 dias para que informen sobre el adelantamiento dela entrega de las obras y/o informen sobre el plan de trabajo cronologico. se fija estado de fecha 2 de mayo de 2022, el 20 de Mayo de 2022 ingresa al despacho. auto de fecha 22 junio de 2022 pone en conocimiento el informe presentado por el urbanizador sobre el adelantamiento de las obras junto con el plan de trabajo cronologico con etapas y actvidades verificables, se cito a reunion por teams para seguimiento el dia 11 de agosto de 2022 de 4:00 a 5:00 pm. se remite informe de cumplimiento del fallo mediante orfeo 20221100152371 el dia 28 septiembre de 2022. auto de fecha 12-10-2022 despacho requiere se informe sobre gestiones adelantadas para la entrega de las zonas de cesion.  mediante correo electronico de fecha 16-11 -2022  se solicita al despacho dar cumplimiento al auto de fecha 12-10-2022. Radicado orfeo  20222010165251 20-10-2022 SRI da anuencia sobre licencia de saneamiento, se solicita al urbanizador remitir copia de la licencia. El 26-1-2023 se remite correo a la apodera de CIGESA solicitando remitir lo solicitando mediante oficio  20222010165251 y se solicita informar de la situacion al despacho. EL 10 de marzo de 2023 se radica memorial al despacho informando sobre el cumplimiento de la accion popular, el proceso ingreso al despacho con esta solicitud desde el 14-3-2023. Mediante orfeo 20234000157102 aia informa sobre la radicacion ante la curaduria 5° de la licencia de  urbanismo. se consulta web de la rama 27-7-2023 se emite respuesta juzgado 6 administrativo. Mediante correo de fecha 2-8-2023 se solicito informacion al apoyo técnico SRI sobre copia de la licencia de urbanismo y/o estado del tramite. el 24-8-2023 SRI remite oficio 20232010129071 al urbanizador. AUTO 15 NOVIEMBRE DE 2023 JUZGADO REQUIERE 5 DIAS PARA INFORME DE CUMPLIMIENTO. el 16-11-2023 mediante memorando 20231300041523 se solicita informe de cumplimiento a SRI. 21-11-2023  se descorre traslado al auto de fecha 15-11-2023. 01-02-2024 al despacho. 4-4-2024 IMPULSO PROCESAL, SEC ambiente da respuesta al urbanizador se remite copia al dadep. se revisa el proceso el 30-1-2025 proceso sin novedad procesal.</t>
  </si>
  <si>
    <t>CUMPLIMIENTO DE FALLO</t>
  </si>
  <si>
    <t>2009-00462</t>
  </si>
  <si>
    <t>JUZGADO 11 CIVIL DEL CIRCUITO DE BOGOTA</t>
  </si>
  <si>
    <t>ALIANZA FIDUCIARIA - NEGOCIACION BUENAVISTA</t>
  </si>
  <si>
    <t>ESCRITURACION ENTREGA ZONAS DE CESION LA ESTANCIA ETAPA I</t>
  </si>
  <si>
    <t>ENTREGA DE LAS ZONAS DE CESION LA ESTANCIA ETAPA I</t>
  </si>
  <si>
    <t>LA ESTANCIA ETAPA I</t>
  </si>
  <si>
    <t>SEGUIMIENTO PROCESAL CUMPLIMIENTO DE FALLO, SENTENCIA DEL 20 DE OCTUBRE DE 2020, SE SOLICITO INICIAR INCIDENTE DESACATO MEDIANTE RADICADO DEL 16 DE DICIEMBRE DE 2021. MEDIANTE RADICADO 20221100049491 DEL 19-04-2022. 17-05-2022 Al despacho. 01-08-2022.12-12-2023 OFICOS IDRD Y ALCALDIA DE FONTIBON.
SRI ESTUDIO TECNICO PARA EVALUAR APLICACIÓN DEL 545.DADEP RESPONDE INCIDENTE. RADICADO 2022110049491 19-04-2022, SOLICITUD VIGILANCIA ESPECIAL. PRONUNCIAMIENTO PROCURADURIA RADICADO 20224000106962.17-05-2022 AL DESPACHO. MEDIANTE RADICADO 2022110047081 DEL 28-09-2022 SE RADICO REITERACION DE INCIDENTE DE DESACATO. 27-04-2023. INICIO INCIDENTE DESACATO. 07-08-2023 AUTO ORDENA REQUERIR COMITE VERIFICADOR. 10-08-2023 MESA DE TRABAJO COMITE VERIFICADOR. 11-08-2023 ENVIO INFORME IDU Y MESA DE TRABAJO COMITE VERIFICADOR CUMPLIMIENTO DE FALLO. 20-11-2023 AUTO DENIEGA SOLICITUD DE ACLARACIÓN DE SENTENCIA POR EXTEMPORANEA Y REQUIERE A IDRD Y A ALCALDIA LOCAL DE FONTIBÓN INFORME POR TERMINO DE 5 DÍAS Y AL DADEP PARA REMITIR LINK DE GRABACION COMITE VERIFICADOR. 06-12-2023 ENVIO OFICIOS IDRD Y ALCALDIA LOCAL DE FONTIBON. 23-01-2024 AL DESPACHO. 12-02-2024 PRESENTACION MEMORIAL ALIANZA FIDUCIARIA. 29-02-2024 CONTESTACION ALIANZA FIDUCIARIA, HACER SEGUIMIENTO EL 22-03-2024. MESAS DE TRABAJO CON ALIANZA FIDUCIARIA . 2024-12-13	PRESENTACIÓN DE INFORMES. 26-12-2024 INFORMACION ESTADO DE ZONAS ALIANZA FIDUCIARIA. 27-01-2025 MESA DE TRABAJO ALCALDIA LOCAL DE FONTIBON.</t>
  </si>
  <si>
    <t>PRIMERA INSTANCIA - DEFINIR  INCIDENTE DESACATO POR EL DESPACHO JUDICIAL.</t>
  </si>
  <si>
    <t>2021-00142
(1100131030041 20210014200)</t>
  </si>
  <si>
    <t xml:space="preserve">JUZGADO 41 CIVIL DEL CIRCUITO DE BOGOTÁ D.C.    </t>
  </si>
  <si>
    <t>JAC VENECIA          
PARROQUIA SANTA CAGALINA
       COLEGIO VENECIA</t>
  </si>
  <si>
    <t>TERCEROS SE APODERARON DE UNA ZONA DE CESION EN EL PREDIO LAGUNA</t>
  </si>
  <si>
    <t>LAGUNA AZUL</t>
  </si>
  <si>
    <t>1062-94</t>
  </si>
  <si>
    <t>27/05/2024. Se notificó por estado auto que corrió traslado para alegatos de conclusión. 05/06/2024. Al despacho para sentencia de primera instancia</t>
  </si>
  <si>
    <t xml:space="preserve">AL DESPACHO PARA SENTENCIA DE PRIMERA INSTANCIA </t>
  </si>
  <si>
    <t xml:space="preserve">(2022-00308)
11001310301020220030800
</t>
  </si>
  <si>
    <t>JUZGADO 10 CIVIL DEL CIRCUITO</t>
  </si>
  <si>
    <t>MARIA ALEJANDRA CARDENAS RICO
LUZ DIANA CARDENAS RICO</t>
  </si>
  <si>
    <t>DEPARTAMENTO ADMINISTRATIVO DE LA DEFENSORIA DEL ESPACIO PUBLICO;  ALVARO LOPEZ FONSECA</t>
  </si>
  <si>
    <t>LINDEROS COLINDANTES ENTRE PREDIOS PRIVADOS CON ZONAS PUBLICAS</t>
  </si>
  <si>
    <t xml:space="preserve">SE REQUIERE ADELANTAR EN ESTE PROCESO PARA DETERMINAR LA LÍNEA DIVISORIA, FIJAR MOJONES, DETERMINAR LINDEROS Y ÁREA DEL PREDIO.CUARTO. LAS DEMANDANTES MARIA ALEJANDRA ARDENAS RICO Y LUZ DIANA CARDENAS RICO  SON PROPIETARIAS DE PLENO DOMINIO DEL INMUEBLE INMUEBLE OBJETO DEL DESLINDE Y AMOJONAMIENTO UBICADO EN LA KR5B BIS 127 A 29 Y/O KR5B BIS 127 A 31 Y CHIP 0101ORZE TAL Y COMO SE REGISTRA EN LA ANOTACIÓN 3 DEL FOLIO DE MATRÍCULA INMOBILIARIA NO. 50N 585880. DEMANDADO DISTRITO CAPITAL – DEPARTAMENTO ADMINISTRATIVO DE LA DEFENSORIA DEL ESPACIO PÚBLICO, ES PROPIETARIO DE LAS ZONA DE CESIÓN (ZONA VIALES) KR 6 – CALLE 127B/MANZANA IDENTIFICADA CON EL RUPI 1102-4 Y ZONA DE CESIÓN (ZONA VIALES) KR 5B BIS – KR 5B/MANZANA IDENTIFICADA CON EL RUPI 1102-16,  LOS DEMANDADOS MARIA OFELIA RODRIGUEZ DE QUINTERO  Y JOSÉ BERNARDO PEDRAZA CHACÓN </t>
  </si>
  <si>
    <t>DELICIAS DEL CARMEN</t>
  </si>
  <si>
    <t>1102-4 Y 1102-16</t>
  </si>
  <si>
    <t>EN TRAMITE DE NOTIFICACION</t>
  </si>
  <si>
    <t>SE CONTESTO LA DEMANDA, ESTAR PENDIENTE LA CONTESTACION DE LOS DEMAS DEMANDADOS E INGRESO AL DESPACHO PARA FECHA DE AUDIENCIA</t>
  </si>
  <si>
    <t>AUTO DE TRAMITE 14-11-2024</t>
  </si>
  <si>
    <t>2007-07760</t>
  </si>
  <si>
    <t xml:space="preserve">FISCALIA 105 SECCIONAL UNIDAD DE PATRIMONIO ECONOMICO  </t>
  </si>
  <si>
    <t>CARLA PATRICIA OSPINA RAMIREZ</t>
  </si>
  <si>
    <t>ANGELICA ESTHER TERNERA CASTAÑEDA</t>
  </si>
  <si>
    <t>VENTA BIEN USO PUBLICO MODELIA SECTOR E</t>
  </si>
  <si>
    <t>FALSEDAD DOCUMENTO PUBLICO - FRAUDE PROCESAL</t>
  </si>
  <si>
    <t>VENTA POR ESCRITURA PUBLICA DE BIEN DE USO PUBLICO URBANIZACION MODELIA SECTOR E</t>
  </si>
  <si>
    <t>MODELIA SECTOR E</t>
  </si>
  <si>
    <t>1108-24</t>
  </si>
  <si>
    <r>
      <rPr>
        <i/>
        <sz val="9"/>
        <color rgb="FF000000"/>
        <rFont val="Century Gothic"/>
        <family val="2"/>
      </rPr>
      <t xml:space="preserve"> </t>
    </r>
    <r>
      <rPr>
        <sz val="9"/>
        <color rgb="FF000000"/>
        <rFont val="Century Gothic"/>
        <family val="2"/>
      </rPr>
      <t xml:space="preserve"> SE ENVÍA MEMORIAL DE SEGUIMIENTO CON RADICADO ORFEO DADEP No. 20221100146741, POSTERIORMENTE  RESPONDEN QUE:
ATENTAMENTE ME PERMITO INFORMARLE QUE LA ORDEN 8112096, SE REFIERE A LA PRACTICA DE EXPERTICIOSTECNICOS DE LOFOSCOPIA Y GRAFOLOGIA, ENTRE ELLOS, LA CONFRONTACION DE LA FIRMA DE GERMAN DARIORODRIGUEZ QUIEN EN LA ESCRITURA 1923, ACTUO COMO DIRECTOR DE ESE DEPARTAMENTO, POR ESO SESOLICITA SU COLABORACIÓN PARA EL APORTE Y TOMA DE TALES MUESTRAS Y EL SUMINISTRO DE INFORMACIONSOBRE LA UBICACIÓN DE LUZ DARY ESPINOSA NEUTA. CORDIALMENTE. HECTOR A. RODRIGUEZ H.- ASISTENTEFISCALIA 105 SECCIONAL.(...)" </t>
    </r>
  </si>
  <si>
    <t>2015-11119</t>
  </si>
  <si>
    <t>FISCALIA 365 SUB UNIDAD DE TIERRAS</t>
  </si>
  <si>
    <t>NESTOR BELLO GARZON - HECTOR JOSE BUITRAGO - JOSE ANTONIO AVILA COLLAZOS</t>
  </si>
  <si>
    <t>COLEGIO RODRIGO TRIANA</t>
  </si>
  <si>
    <t>FRAUDE PROCESAL - OBTENCION DOCUMENTO PUBLICO FALSO</t>
  </si>
  <si>
    <t>PARTICULARES INICIAN PROCESO REINVINDICATORIO SOBRE BIENES CESION CON DOCUMENTOS FALSOS</t>
  </si>
  <si>
    <t>1141</t>
  </si>
  <si>
    <t>El día 14 de mayo de 2024, se realiza visita de manera presencial al despacho de la fiscal de conocimiento, la cual indica que el proceso de referencia tiene órdenes a policía judicial pendientes por cumplir ya que el policía judicial despacho se encuentra en curso de acenso y están a la espera de que se les asigne uno nuevo.</t>
  </si>
  <si>
    <t>2009-00483</t>
  </si>
  <si>
    <t>JUZGADO 9 CIVIL DEL CIRCUITO</t>
  </si>
  <si>
    <t>INVESIONES SANTANA Y CIA</t>
  </si>
  <si>
    <t>ZONAS DE CESION LA ESTANCIA ETAPA III A Y III B</t>
  </si>
  <si>
    <t>ENTREGA DE LAS ZONAS DE CESION LA ESTANCIA ETAPA III A Y B</t>
  </si>
  <si>
    <t>LA ESTANCIA 3A Y 3B</t>
  </si>
  <si>
    <t>ORDENES AL DEMANDADO PARA ENTREGAR - DOTAR - EQUIPAR ZONAS CESION</t>
  </si>
  <si>
    <t>EL DADEP SOLICITO APERTURA DE INCIDENTE DESACATO EL 15 DE AGOSTO DE 2014. 02-06-2022 AUTO DE TRAMITE ORDENA LIBRAR MANDAMIENTO DE PAGO. SE SOLICITO AL DESPACHO LIBRAR MANDAMIENTO DE PAGO TENIENDO EN CUENTA EL INCUMPLIMIENTO DEL URBANIZADOR.RADICADO 2022110049441 19-04-2022, SOLICITUD VIGILANCIA ESPECIAL MEDIANTE RADICADO 20221100049441 19-04-2022. PRONUNCIAMIENTO PROCURADURIA RADICADO UIS 67364-2009 2022 DEL 05/04/2022. 02-06-2022, AUTO DE TRAMITE SUBSANACIÒN PROCESO. 10-06-2022: MEMORIAL RETIRO PROCESO EJECUTIVO. MEMORANDO 20221100038613 DEL 16-06-2022 SOLICITUD A SRI ESTUDIO DE TITULOS. 07-10-2022 AUTO FIJA FECHA DE AUDIENCIA PARA EL 26-01-2023 A LAS 2:00 P.M. TENIENDO EN CUENTA LA DECISION DE LA JUEZ DE OTORGA SEIS MESES PARA DAR APERTURA A FOLIO DE MATRICULA. MENSUALMENTE SE HAN PRESENTADO LOS INFORMES DE AVANCE ANTE LA SUPERINTENDENCIA DE REGISTRO DE INSTRUMENTOS PUBLICOS Y CONTINUAR CON EL TRAMITE DE LA DECLARATORIA DE PROPIEDAD PUBLICA. SE HAN PRESENTADO INFORMES MENSUALES. MEDIANTE EL RADICADO. 14-11-2023 AUTO CONCEDE TERMINO DE 10 DIAS ENVIANDO INFORMES DEL DADEP PARA CUMPLIMIENTO DE FALLO. 27-11-2023 RESPUESTA APODERADO INFORMANDO QUE LAS GESTIONES DEBEN SER REALIZADAS POR EL DADEP. 01-15-2024 AUTO REQUIERE.20241300015303 SOLICITUD A SRI INFORME DECLARATORIA DE PROPIEDAD PUBLICA.08-11-2024  Presentación memorial a Juzgado avance y solicitud de oficiar a propietario de las zonas de cesión para poder continuar con declaratoria de propiedad publica, mediante correo electrónico se informa avance de cumplimiento de fallo a Secretaria Jurídica Distrital. 28-01-2025 solicitud de avance declararotia de propiedad publica SRI.</t>
  </si>
  <si>
    <t>CUMPLIIMIENTO FALLO</t>
  </si>
  <si>
    <t>2012-00158</t>
  </si>
  <si>
    <t>JORGE ENRIQUE CORTES ROJAS</t>
  </si>
  <si>
    <t>SUPERNOTARIADO - DADEP</t>
  </si>
  <si>
    <t>NULIDAD DE RESOLUCION SNR MEDIANTE LA CUAL NEGO SOLICITUD REVOCATORIA DIRECTA DE INSCRIPCIONES FMI DADEP - JABOQUE</t>
  </si>
  <si>
    <t>HUMEDAL JABOQUE</t>
  </si>
  <si>
    <t>1-1623 - 1-4138</t>
  </si>
  <si>
    <t>SEGUIMIENTO PROCESAL - SE PRESENTAN ALEGATOS DE CONCLUSIÓN EL 26 DE OCTUBRE DE 2020, ENTRA AL DESPACHO PARA PROFERIR FALLO. DE SEGUNDA INSTANCIA</t>
  </si>
  <si>
    <t>2017-01068</t>
  </si>
  <si>
    <t>JUZGADO 26 CIVIL MUNICIPAL DE BOGOTÁ</t>
  </si>
  <si>
    <t>LUIS CRISTANCHO RUBIO AVILA</t>
  </si>
  <si>
    <t>PRESCRIPCIÓN ADQUISITIVA DE DOMINIO</t>
  </si>
  <si>
    <t>EL SEÑOR LUIS CRISANTO RUBI AVILA SEÑALA HABER POSEISO EL INMUEBLE TV 56 A 76 15 POR MAS DE 10 AÑOS, AL ESTAR TRASLAPADO SOBRE EL RUPI 1269-15 SE PIDIO TERMINACIÓN PROCESO</t>
  </si>
  <si>
    <t>1269-15</t>
  </si>
  <si>
    <t>EL DESPACHO PROFIRIÓ RENTENCIA ANTICIPADA Y EL DEMANDANTE APELÓ, SIN EMBARGO, NO SUSTENTÓ EL RECURSO EN EL TÉRMINO CORRESPONDIENTE.</t>
  </si>
  <si>
    <t>2005-01930</t>
  </si>
  <si>
    <t>JUZGADO 60 - ADMINISTRATIVO SECCIÓN TERCERA</t>
  </si>
  <si>
    <t>MARIO ENRIQUE VILLALBA GUTIERREZ</t>
  </si>
  <si>
    <t>INCUMPLIMIENTO CONTRATO ARRENDAMIENTO 0036-1994</t>
  </si>
  <si>
    <t>SEGUIMIENTO SECRETARÍA JURÍDICA - PROCESO DE REPRESENTACIÓN INDIRECTA.
RECONOCEN PERSONERIA AL APODERADO DEL DADEP</t>
  </si>
  <si>
    <t xml:space="preserve">ACREDITA TRAMITE EMBARGO DE CUENTAS - SEGUIMIENTO DE BIENES EN CABEZA DEL DEMANDADO PARA EMBARGO DE LOS MISMOS. </t>
  </si>
  <si>
    <t>2006-00181</t>
  </si>
  <si>
    <t>JUZGADO 17 CIVIL DEL CIRCUITO</t>
  </si>
  <si>
    <t>JUAN DE JESUS LARA</t>
  </si>
  <si>
    <t>REINVINDICAR BIEN FISCAL 2-987 (JUAN DE JESUS)</t>
  </si>
  <si>
    <t>2-987</t>
  </si>
  <si>
    <t xml:space="preserve">SEGUIMIENTO PROCESAL - PENDIENTE REPROGRAMACION DILIGENCIA DE ENTREGA.
ACTUALIZACIÓN DE LINDEROS DEL PREDIO. FIJA FECHA PARA AUDIENCIA DE ENTREGA PARA EL PRÓXIMO CINCO (5) DE MARZO DE 2024, A LAS 9:00 AM. EN FECHA 05 DE MARZO DE 2024, SE PROCEDE A REPROGRAMAR LA AUDIENCIA PARA EL PROXIMO 31-05-2024 A LAS 8:00 AM.
</t>
  </si>
  <si>
    <t xml:space="preserve">SENTENCIA DE PRIMERA INSTANCIA-GESTIONES PARA ACTUALIZAR LINDEROS DEL PREDIO Y ENTREGA DEL MISMO. </t>
  </si>
  <si>
    <t>2014-11942</t>
  </si>
  <si>
    <t>JUZGADO 29 PENAL DEL CIRCUITO CON FUNCIÓN DE CONOCIMIENTO</t>
  </si>
  <si>
    <t xml:space="preserve">JORGE ENRIQUE CORTES ROJAS </t>
  </si>
  <si>
    <t>JABOQUE</t>
  </si>
  <si>
    <t>TRASLAPE BIEN PRIVADO SOBRE BIEN PUBLICO</t>
  </si>
  <si>
    <t>1-4138</t>
  </si>
  <si>
    <t>SE ASISTE A AUDIENCIA PREPARATORIA Y SE SE PROGRAMA CONTINUACION  DE LA MISMA PARA EL 24 DE MAYO DEL 2024 A PARTIR DE LAS 2PM a partir de las 2pm.</t>
  </si>
  <si>
    <t xml:space="preserve">AUDIENCIA PREPARATORIA </t>
  </si>
  <si>
    <t>2015-20028</t>
  </si>
  <si>
    <t>FISCALIA 79 SUB UNIDAD DE TIERRAS</t>
  </si>
  <si>
    <t xml:space="preserve">SECRETARIA DE GOBIERNO </t>
  </si>
  <si>
    <t>LUIS CARLOS MORALES Y OTROS</t>
  </si>
  <si>
    <t>INVASIÓN DE PREDIOS QUIBA BAJA (EN ESTUDIO SI SE INVOLUCRARON BIENES DE USO PÚBLICO)</t>
  </si>
  <si>
    <t>INVASION A TIERRAS</t>
  </si>
  <si>
    <t>INVASIÓN DE PREDIOS QUIBA NAJA (EN ESTUDIO SI SE INVOLUCRARON BIENES DE USO PÚBLICO)</t>
  </si>
  <si>
    <t>QUIBA LA BAJA</t>
  </si>
  <si>
    <t xml:space="preserve">1-4572 </t>
  </si>
  <si>
    <t>SEGUIMIENTO PROCESAL - EXPEDIDAS ORDENES A POLICÍA JUDICIAL EN SEGUIMIENTO A SU EJECUCIÓN.</t>
  </si>
  <si>
    <t>2019-00624</t>
  </si>
  <si>
    <t>JUZGADO 15 CIVIL DEL CIRCUITO</t>
  </si>
  <si>
    <t>MARA BELEN GUATAQUI DE RUIZ</t>
  </si>
  <si>
    <t>DADEP
CONJUNTO RESIDENCIAL EL MEREY
LUIS ALFONSO PATIÑO</t>
  </si>
  <si>
    <t>FIJACIÓN LINDEROS Y MOJONES Y ENTREGA POSESIÓN</t>
  </si>
  <si>
    <t>1465-5</t>
  </si>
  <si>
    <t>SE ESPERA FIJACIÓN DILIGENCIA DESLINDE Y AMOJONAMIENTO</t>
  </si>
  <si>
    <t>CONTESTACIÓN DEMANDA</t>
  </si>
  <si>
    <t>2017-00651
11001310304020170065100</t>
  </si>
  <si>
    <t>JUZGADO 40 CIVIL DEL CIRCUITO</t>
  </si>
  <si>
    <t>URBANIZADORA  SANTA FE DE BOGOTA -URBANSA S.A.; COMPAÑÍA SURAMERICANA DE CONSTRUCCIONES S.A.; NUEVO MUNDO COMPAÑÍA GENERAL S.A.; INVERSIONES REACOL S.A.</t>
  </si>
  <si>
    <t xml:space="preserve">   ENTREGA, FORMAL Y MATERIALMENTE  LAS ZONAS DE CESION NGRATUITAS A FAVOR DEL DISTRITO CAPITAL  
CAMINO VERDE</t>
  </si>
  <si>
    <t>CAMINO VERDE</t>
  </si>
  <si>
    <t>Se tiene por notificada a la demandada Compañía Suramericana de Construcciones S.A., en los términos previstos por el Decreto 806 de 2020, quien dentro del término legal de traslado guardó silencio. Se convocó a mesa de trabajo con SRI para el 8 de marzo de 2022 según por solicitud de URBANSA S.A. quienes manifestaron interés de arreglo directo.
 Se fija fecha de audiencia de pacto para el 26 DE ENERO DE 2022 A LAS 11:00 A.M. al despacho desde el 10-8-2023, auto de fecha 7 diciembre de 2023 reconoce peronseria para actuar por secretaria se orden notificacion a los accionados faltantes del libelo inicial. 12-2-2024 ingresa al despacho .
La sociedad accionada interpone recurso de apelación contra el auto que fija fecha el cual fue descorrido en oportunidad por lo cual que no se da apertura a la audiencia.
El 29 de julio de 2022, por solicitud del DADEP se profiere auto que VINCULA al Instituto Distrital de Recreación y Deporte – IDRD, el Jardín Botánico de Bogotá José Celestino Mutis, la empresa Codensa S.A. y a la Empresa de Acueducto y Alcantarillado de Bogotá EAAB.
El 16 de septiembre de 2022 se allega contestación de la demanda de SOLUCIONES ESTRATEGICAS S.A.S., no se remitió al correo institucional ni se ha fijado en lista para descorrer excepciones, el memorial se ubicó en SIPROJ al ser cargado por el IDRD. 2023-07-06 no acepto renuncia de poder del anterior abogado  pese a que se envio poder, 10-8-2023 al despacho auto 7-12-2023 se ordena por secretaria notificar a los accionados; reconoce personeria.2024-02-12	Al despacho. 2024-03-22	Auto ordena notificar	ordena que por secretaria se notifique a la Alcaldía local de suba; Jardín botanico; codensa; acueducto y alcantarillado de Bogotá. Se realizan notificaciones a los vinculados conforme lo ordenado mediante auto de fecha 7 y 29 julio de 2022, se remiten coforme articulo 8 ley 2213 de 2022 el dia 4 de Abril de 2024 , los 10 dias fenecen el  19 de abril de 2024, se remiten constancia al juez de conocimiento.  el 4-8-2024 se radica en secretaria memorial solicitanco aclaracion auto vinculacion apoderado enel colombia. 2-5-2024 INGRESA CONTESACION DE LA DEMANDA ALCALDIA LOCAL Y ACUEDUCTO. proceso al despacho desde el 2  julio de 2024. Orfeo 20242010143861 de fecha 8-10-2024 se programo visita. SRI informa que  se realizó visita de inspección el pasado 9 de octubre a las zonas de cesión con destino a vías de las ETAPAS 2,3, y 4  de la Urbanización camino verde, encontrandose  de conformidad con el procedimiento de entrega simplificada del Decreto 072 del 2023. Por consiguiente, se encuentra en elaboracion el acta de recibo para dichas zonas. Quedaron pendientes los controles ambientales , los parques  de las etapas  2, 3 y 4. No se encontró viable el recibo de las zonas de cesión de la ETAPA 5. Se solicito informacion a la arq nodierth sobre el estado de la firma del acta de recibo parcial .El 04/02/2025 auto resuelve aclaración providencia, fija fecha audiencia  para el 8 de junio del 2025 a las 9:00am para llevar a cabo audiencia especial de pacto de cumplimiento.</t>
  </si>
  <si>
    <t>PACTO DE CUMPLIMIENTO</t>
  </si>
  <si>
    <t>2016-17038</t>
  </si>
  <si>
    <t>FISCALIA 365 SUBUNIDAD DE TIERRAS</t>
  </si>
  <si>
    <t>JULIAN ALIRIO MARTINEZ Y OTROS</t>
  </si>
  <si>
    <t>APROPIACION BIENES DE USO PUBLICO COLINDANTES CON BIEN PRIVADO ADJUDICADO EN REMATE</t>
  </si>
  <si>
    <t>RINCON DE LOS ANGELES - CASTILLA</t>
  </si>
  <si>
    <t>1-4875 - 1-4876</t>
  </si>
  <si>
    <t>2016-00329
11001333400220160032900</t>
  </si>
  <si>
    <t>TRIBUNAL ADMINISTRATIVO DE CUNDINAMARCA SECCION PRIMERA MIXTA ORAL</t>
  </si>
  <si>
    <t>UNIDAD ADMINISTRATIVA ESPECIAL DE CATASTRO DISTRITAL</t>
  </si>
  <si>
    <t xml:space="preserve"> COADYUVANTE</t>
  </si>
  <si>
    <t>NULIDAD ACTO ADMINISTRAIVO PROFERIDO POR UAECD RESOLUCIONES 2010-110519</t>
  </si>
  <si>
    <t>NULIDAD DEL ACTO ADMINISTRATIVO QUE AFECTÓ BIENES DE USO PÚBLICO -RINCON DE LOS ÁNGELES-,</t>
  </si>
  <si>
    <t>1-4875: 1-4876</t>
  </si>
  <si>
    <t>26/02/2021</t>
  </si>
  <si>
    <t>SENTENCIA DE PRIMERA INSTANCIA LA CUAL FUE APELADA POR EL TERCERO INTERVINIENTE ESTA AL DESPACHO DEL TAC DESDE EL 21-06-2023</t>
  </si>
  <si>
    <t>AL DESPACHO PARA ADMISIÓN DEL RECURSO DE APELACIÓN</t>
  </si>
  <si>
    <t>2013-00545</t>
  </si>
  <si>
    <t>JUZGADO 2 CIVIL DEL CIRCUITO DE BOGOTÁ</t>
  </si>
  <si>
    <t>ORGANIZACIÓN LUIS CARLOS SARMIENTO ANGULO</t>
  </si>
  <si>
    <t>ZONAS DE CESION IGLESIA SAN CARLOS BORROMEO</t>
  </si>
  <si>
    <t>VILLA LUZ VI ETAPA</t>
  </si>
  <si>
    <t>EL PROCESO SE ENCUENTRA AL DESPACHO PARA SENTENCIA CON FECHA DEL 01 DE SEPTIEMBRE DE 2021 DE ACUERDO A LO QUE SE EVIDENCIA EN LA RAMA JUDICIAL, POR LO CUAL SE REALIZARA SEGUIMIENTO PROCESAL, SIENDO LA UTIMA REVISION EL  16/11/2022 se revisa el 21-12-2022 y continua al despacho para sentencia. Se consulta el proceso el 15-6-2023 y sigue en el despacho para sentencia. sentencia  niega pretensiones el 16-6-2023. se interpone recurso de apelacion el  11 de julio de 2023 se remite al  Tribunal superior por recurso de apelacion- 27-11-2023 ingresa al despacho, se radica memorial impulso. auto de fecha 2024-05-07	Auto obedézcase y cúmplase	LO RESUELTO POR EL SUPERIOR.</t>
  </si>
  <si>
    <t>2009-01098</t>
  </si>
  <si>
    <t>JUZGADO 3 DE EJECUCIÓN DE PENAS</t>
  </si>
  <si>
    <t>DADEP COADYUVANTE 
ASESOR JURIDICO NOTARIA 68 BOGOTA</t>
  </si>
  <si>
    <t xml:space="preserve">SERGIO ALBERTO BERNAL BELLO </t>
  </si>
  <si>
    <t>QUINTAS DE SOTAVENTO FRAUDE</t>
  </si>
  <si>
    <t>FALSEDAD EN DOCUMENTO PUBLICO - OBTENCIO DOCUMENTO PUBLICO FALSO - ESTAFA</t>
  </si>
  <si>
    <t>REGISTRO ORIP FALLO DE PERTENENCIA FALSO</t>
  </si>
  <si>
    <t>SOTAVENTO</t>
  </si>
  <si>
    <t xml:space="preserve">
Mediante orfeo 20204000014332 del 29/01/2020  Juzgado de EJECUCIÓN DE SENTENCIAS DE ACACIAS META INFORMA REDUCCIÓN DE PENA DE 2 MESES
Se allega comunicación del Juzgado  de Ejecución de Penas de Acacias Meta, manifestando que se concedió la libertad condicional a Sergio Bernal se envía memorial y copia el 10 de diciembre de 2020, </t>
  </si>
  <si>
    <t>EJECUCIÓN Y PENAS</t>
  </si>
  <si>
    <t>2014-23132</t>
  </si>
  <si>
    <t>FISCALIA 60 ESPECIALIZADO - UNIDAD DE FE PUBLICA Y ORDEN ECONÓMICO - TARDÍA ORDINARIO</t>
  </si>
  <si>
    <t>ISABEL SEGOVIA OSPINA</t>
  </si>
  <si>
    <t>COMPARTIR BOCHICA</t>
  </si>
  <si>
    <t>OBTENCION DE DOCUMENTO PUBLICO FALSO</t>
  </si>
  <si>
    <t>ESCRITURA PUBLICA DE MEJORAS SOBRE PREDIO PUBLICO</t>
  </si>
  <si>
    <t>BOCHICA</t>
  </si>
  <si>
    <t>1539-3</t>
  </si>
  <si>
    <t>SE ASISTE DE MANERA PRESENCIAL AL DESPACHO DE LA FISCAL DE CONOCIMIENTO E INDICA QUE PARA LA REVISIÓN DEL EXPEDIENTE DEBERÁ ASISTIRSE EL 14 DE MAYO DE 2024 A LAS 9:30AM, QUEDANDO PROGRAMADO EL TURNO PARA VERIFICACIÓN DEL ESTADO PROCESAL, INDICACIÓN DEL ESTADO ACTUAL DE LAS ORDENES EMITIDAS HASTA EL MOMENTO Y EL RESPECTIVO IMPULSO PROCESAL.</t>
  </si>
  <si>
    <t>INDAGACION</t>
  </si>
  <si>
    <t>2015-01062</t>
  </si>
  <si>
    <t>JUZGADO 31 CIVIL DEL CIRCUITO DE BOGOTÁ</t>
  </si>
  <si>
    <t>ASOCIACION DE VIVIENDA CAMINOS DE LA ESPERANZA - PROTECHO DE COLOMBIA - INVERSIONES CONCIVILES LTDA - SOCIEDAD FIDUCIARIA</t>
  </si>
  <si>
    <t>ENTREGA Y ESCRITURACION CIUDADELA EL PORVENIR SUBA I ETAPA</t>
  </si>
  <si>
    <t>CIUDADELA EL PORVENIR ETAPA I SUBA</t>
  </si>
  <si>
    <t xml:space="preserve">SENTENCIA PRIMERA INSTANCIA NIEGA PRETENSIONES " Así las cosas, se negarán las pretensiones de la demanda en contra de la ASOCIACIÓN PROTECHO DE COLOMBIA y la ASOCIACIÓN DE VIVIENDA CAMINOS DE ESPERANZA EN LIQUIDACIÓN, por cuánto no se probó que aquellas estén vulnerando el derecho colectivo al goce del espacio público, en tanto, ni siquiera existe certeza de cuál es ese espacio público (áreas, ubicación, mojones, etc.) que aquellas supuestamente están reteniendo, usurpando o se encuentran en mora de titularizar a favor del Distrito. MEMORANDO 20221100047843 DEL 19-07-2022 SRI SOLICITANDO ACTUALIZACIÒN INFORME TECNICO PARA ESTABLECER ESTRATEGIA JURIDICA. 2022-10-26 ARCHIVO DEFINITIVO.
</t>
  </si>
  <si>
    <t>ARCHIVO DEFINITIVO</t>
  </si>
  <si>
    <t>2012-00060</t>
  </si>
  <si>
    <t>TRIBUNAL ADMINISTRATIVO DE CUNDINAMARCA SECCION TERCERA ORAL</t>
  </si>
  <si>
    <t>JOSE ALVARO BELTRAN URREGO</t>
  </si>
  <si>
    <t>DADEP - IDPAC - JUNTA DE ACCION COMUNAL CHUNIZA</t>
  </si>
  <si>
    <t>ACCIDENTE EN SALON COMUNAL - CHUNIZA - HERIDO</t>
  </si>
  <si>
    <t>CHUNIZA</t>
  </si>
  <si>
    <t>1660-49</t>
  </si>
  <si>
    <t>20/05/2020</t>
  </si>
  <si>
    <t xml:space="preserve">FALLO CONFIRMATORIO DE SEGUNDA INSTANCIA </t>
  </si>
  <si>
    <t>FALLO CONFIRMATORIO DE SEGUNDA INSTANCIA</t>
  </si>
  <si>
    <t>2007-00102</t>
  </si>
  <si>
    <t xml:space="preserve">JUZGADO 61 ADMINISTRATIVO </t>
  </si>
  <si>
    <t>VICTOR HUGO PANESSO GOMEZ</t>
  </si>
  <si>
    <t>INCUMPLIMIENTO CONTRATO ARRENDAMIENTO 0062-1993</t>
  </si>
  <si>
    <t xml:space="preserve">CON SEGUIMIENTO CONSTANTE A LOS BIENES EN CABEZA DEL DEMANDADO PARA EL POSIBLE EMBARGO DE LOS MISMOS. </t>
  </si>
  <si>
    <t>2015-01859</t>
  </si>
  <si>
    <t>TRIBUNAL ADMINISTRATIVO DE CUNDINAMARCA - SECCION TERCERA</t>
  </si>
  <si>
    <t>LUIS EDUARDO RODRIGUEZ</t>
  </si>
  <si>
    <t>ALCALDIA MAYOR - ALCALDIA LOCAL DE CIUDAD BOLIVAR - DADEP</t>
  </si>
  <si>
    <t>OCUPACION DE PROPIEDAD PRIVADA CON SALON COMUNAL</t>
  </si>
  <si>
    <t>1683-53</t>
  </si>
  <si>
    <t>22/05/2024</t>
  </si>
  <si>
    <t>CONDÉNASE en costas de esta instancia a la parte demandante, que
serán liquidadas de manera concentrada por el Tribunal Administrativo de
Cundinamarca de acuerdo con el artículo 366 del Código General del Proceso,
teniéndose en cuenta la fijación de agencias en derecho a favor de la parte
demandada por la suma de 0.1% del valor total de las pretensiones negadas.
hacer seguimiento a la liquidación de las costas en el tribunal, con el auto iniciar cobro persuasivo</t>
  </si>
  <si>
    <t>SENTENCIA DE SEGUNDA INSTANCIA.</t>
  </si>
  <si>
    <t>2021-00299</t>
  </si>
  <si>
    <t>JUZGADO 36 CIVIL DEL CIRCUITO DE BOGOTA</t>
  </si>
  <si>
    <t>JESUS ANTONIO MARTINEZ RIAÑO</t>
  </si>
  <si>
    <t>JOSEFINA CORREDOR DE CORREDOR</t>
  </si>
  <si>
    <t>PRESCRIPCIÓN ADQUISITIVA DE DOMINIO arrera 7 B No. 9 – 22 Barrio Egipto,
CHIP AAA0144RNKC</t>
  </si>
  <si>
    <t>1693-11</t>
  </si>
  <si>
    <t>VINCULACIÓN PROCESO</t>
  </si>
  <si>
    <t>NOTIFICACIONES, se espera notificaión remisión link proceso</t>
  </si>
  <si>
    <t>2019-31233</t>
  </si>
  <si>
    <t>FISCALÍA 103 SECIONAL 
UNIDAD FE PÚBLICA Y ORDEN ECONCÓMICO</t>
  </si>
  <si>
    <t>MARIA STELLA ALVAREZ
MARIELA GÓMEZ</t>
  </si>
  <si>
    <t>BARRIO SAN FRANCISCO RURAL</t>
  </si>
  <si>
    <t>FRAUDE PROCESAL
FALSEDAD DOCUMENTO PÚBLICO
OBTENCIÓN DOCUMENTO PÚBLICO FALSO</t>
  </si>
  <si>
    <t>Fiscal se encuentra revisando el expediente para tomar decisiones de ordenes a PJ o en su defecto evaluando una posible prescripción</t>
  </si>
  <si>
    <t>1693-37</t>
  </si>
  <si>
    <t xml:space="preserve">SEGUIMIENTO A ORDENES A PJ, SE TRASLADA PROCESO A FISCALÍA 277 SECCIONAL , A QUIEN SE LE SOLICITARA LA SUSPENSIÓN DEL PODER DISPOSITIVO DEL BIEN DEL DISTRITO </t>
  </si>
  <si>
    <t xml:space="preserve">INDAGACIÓN </t>
  </si>
  <si>
    <t>2015-00428
 11001333603120150042800</t>
  </si>
  <si>
    <t>JUZGADO 31 - ADMINISTRATIVO DE ORALIDAD</t>
  </si>
  <si>
    <t>MARIA ARACELY FORERO</t>
  </si>
  <si>
    <t>TERMINACION CTO ARRENDAMIENTO SOBRE PREDIO UBICADO CALLE 23 1 70</t>
  </si>
  <si>
    <t>PAZ CCENTRO</t>
  </si>
  <si>
    <t>1699-35</t>
  </si>
  <si>
    <t>FUERON NOTIFICADOS LOS DEMANDADOS</t>
  </si>
  <si>
    <t>SENTENCIA  A FAVOR DEL DADEP 6-11-2024</t>
  </si>
  <si>
    <t>2017-00742</t>
  </si>
  <si>
    <t>JUZGADO 6 CIVIL CIRCUITO DE BOGOTA</t>
  </si>
  <si>
    <t>JULIAN JARAMILLO CORTES</t>
  </si>
  <si>
    <t>DISTRITO CAPITAL - DADEP</t>
  </si>
  <si>
    <t>FIJACIÓN MOJONES SEÑALAMIENTO DE LINDEROS</t>
  </si>
  <si>
    <t>FIJACIÓN MOJONES SEÑALAMIENTO DE LINDEROS- COLINDA CON PREDIO PÚBLICO</t>
  </si>
  <si>
    <t xml:space="preserve">DDESARROLLO LEGALIZADO EL CARMEN </t>
  </si>
  <si>
    <t>1743-4</t>
  </si>
  <si>
    <t>SE CONTESTO LA DEMANDA EL 13 DE ABRIL DEL 2022 , SE ESPERA PRONUNCIAMIENTO DEL JUZGADO FRENTE A EXCEPCIONES PRESENTADOS POR UAECD</t>
  </si>
  <si>
    <t>NOTIFICACIONES</t>
  </si>
  <si>
    <t>2007-00242</t>
  </si>
  <si>
    <t>JUZGADO 51 CIVIL DEL CIRCUITO DE BOGOTA</t>
  </si>
  <si>
    <t>JULIO ENRIQUE RAMOS HERNANDEZ Y OTROS</t>
  </si>
  <si>
    <t>DADEP Y OTROS</t>
  </si>
  <si>
    <t>REIVINDICAR PREDIO DONDE FUNCIONA COLEGIO DISTRITAL ESTRELLA DEL SUR</t>
  </si>
  <si>
    <t>1683-51</t>
  </si>
  <si>
    <t>AUTO DEL 06-05-2024 DECLARA DESIERTO EL RECURSO DE APELACIÓN</t>
  </si>
  <si>
    <t xml:space="preserve">CON SENTENCIA DE PRIMERA INSTANCIA FAVORABLE  DEL 07-02-2023 EJECUTORIADO PENDIENTE REGISTRO DE LA SENTENCIA. </t>
  </si>
  <si>
    <t>2019-00107
11001333400120190010700</t>
  </si>
  <si>
    <t>JUZGADO 1 ADMINISTRATIVO DEL CIRCUITO DE BOGOTÁ</t>
  </si>
  <si>
    <t>ROBIERTTH ANDRÉS REYES GÓMEZ</t>
  </si>
  <si>
    <t>ALCALDÍA LOCAL DE USAQUÉN - DADEP</t>
  </si>
  <si>
    <t>VINCULADO</t>
  </si>
  <si>
    <t xml:space="preserve">NULIDAD DE LA RESOLUCIÓN NO 3684 DE FECHA 27 12 2010 PROFERIDA POR LA ALCALDÍA LOCAL DE USAQUEN </t>
  </si>
  <si>
    <t>SE DECLARE LA NULIDAD DE LA RESOLUCIÓN NO 3684 DE FECHA 27-12-2010 MEDIANTE EL CUAL LA ALCALDÍA LOCAL DE USAQUEN REGISTRÓ LA PERSONERÍA JURÍDICA DE LA UNIDAD INMOBILIARIA CERRADA MARANTÁ SECTOR 6 ENTIDAD SIN ANIMO DE LUCRO UBICADA EN LA CALLE 189 NO 20-18</t>
  </si>
  <si>
    <t>UNIDAD INMOBILIARIA CERRADA MARANTÁ SECTOR 6</t>
  </si>
  <si>
    <t>176-59
176-20
176-47
176-8
176-4
176-3</t>
  </si>
  <si>
    <t>FIJACIÓN DE AUDIENCIA INICIAL</t>
  </si>
  <si>
    <t>AUDIENCIA INICIAL</t>
  </si>
  <si>
    <t>2014-00280</t>
  </si>
  <si>
    <t>JUZGADO 36 CIVIL DEL CIRCUITO DE BOGOTÁ</t>
  </si>
  <si>
    <t>COOPERATIVA MULTIACTIVA DEL CENTRO INTERNACIONAL DE LA UNION COOPCILDUN</t>
  </si>
  <si>
    <t>ENTREGA Y ESCRITURACION ZONAS DE CESION URBANIZACION YERREYON</t>
  </si>
  <si>
    <t>YERREYON</t>
  </si>
  <si>
    <t>1771-1
1771-2</t>
  </si>
  <si>
    <t xml:space="preserve"> PACTO DE CUMPLIMIENTO 28-5-15 </t>
  </si>
  <si>
    <t xml:space="preserve"> DEMANDADO ENTREGAR Y ESCRITURAR </t>
  </si>
  <si>
    <t xml:space="preserve"> A PARTIR DE PACTO DE CUMPLIMIENTO INCUMPLIDO SE SOLICITÓ DESARCHIVO DEL PROCESO E INCIDENTE DE DESACATO - PREVIO ABRIR INCIDENTE, JUEZ REQUIRIÓ AL URBANIZADOR.
En tramite de cumplimiento del pacto de cumplimiento por parte de los urbanizadores condenados.  2023-07-06 en rama judicial sigue sin movientos </t>
  </si>
  <si>
    <t>INCIDENTE DESACATO FRENTE A PACTO DE CUMPLIMIENTO</t>
  </si>
  <si>
    <t>2007-00354</t>
  </si>
  <si>
    <t>JUZGADO 7 CIVIL DEL CIRCUITO  DE ORALIDAD DE BOGOTÁ</t>
  </si>
  <si>
    <t>José Hernando Jiménez - Inversiones J&amp;N Pineda - Bertha Ligia López Rivera - Claudia Esperanza Calderón Villamil</t>
  </si>
  <si>
    <t xml:space="preserve">Fundación Empresa Privada Compartir - Personas Indeterminadas </t>
  </si>
  <si>
    <t>Declaración de PERTENENCIA a favor de unos particulares por prescripción adquisitiva de dominio del inmueble ubicado entre las Calles 89A a la Calle 90 A y entre las carreras 103C y AK 95 y 96 - ESPACIO PUBLICO - ALO BACHUE</t>
  </si>
  <si>
    <t xml:space="preserve">BACHUE  </t>
  </si>
  <si>
    <t>20/10/2017</t>
  </si>
  <si>
    <t>NOTIFICACION DE MANDAMIENTO DE PAGO COSTAS PROCESALES.
SE RADICARON OFICIOS DE EMBARGO UNA VEZ DECTRETADAS MEDIDAS CAUTELARES. SE RADICAN OFICIOS CON EMBARGO DE CUENTAS.</t>
  </si>
  <si>
    <t>LIBRA MANDAMIENTO DE PAGO POR 750.000 DE COSTAS -NOTIFICACIÓN DE EMBARGOS.</t>
  </si>
  <si>
    <t>2022-01199
11001400302920220119900</t>
  </si>
  <si>
    <t>JUZGADO 29 CIVIL MUNICIPAL</t>
  </si>
  <si>
    <t>CHENQUE MEYER AREVALO HERRERA</t>
  </si>
  <si>
    <t>ARMANDO ACUÑA HERNANDEZ
- PERSONAS INDETERMINADAS</t>
  </si>
  <si>
    <t>Consultado el mapa digital de la Defensoría del Espacio Público – SIGDEP y el Sistema
de Información de la Defensoría del Espacio Público-SIDEP, por la nomenclatura CL
63A SUR 75J 00 y el CHIP AAA0148ASLF, el predio se traslapa con áreas que se
encuentran incluidas como bienes destinados al uso público en el Inventario General de
Espacio Público y Bienes Fiscales del Sector Central del Distrito Capital, a cargo del
Departamento Administrativo de la Defensoría del Espacio Público y se identifican con
los RUPI 184-2, 184-6, 3036-16 y 3036-65, de los cuales se adjuntan las certificaciones
correspondientes</t>
  </si>
  <si>
    <t>Consultado el mapa digital de la Defensoría del Espacio Público – SIGDEP y el Sistema de Información de la Defensoría del Espacio Público-SIDEP, por la nomenclatura CL 63A SUR 75J 00 y el CHIP AAA0148ASLF, el predio se traslapa con áreas que se encuentran incluidas como bienes destinados al uso público en el Inventario General de Espacio Público y Bienes Fiscales del Sector Central del Distrito Capital, a cargo del Departamento Administrativo de la Defensoría del Espacio Público y se identifican con los RUPI 184-2, 184-6, 3036-16 y 3036-65, de los cuales se adjuntan las certificaciones
correspondientes</t>
  </si>
  <si>
    <t>LOS TRES REYES</t>
  </si>
  <si>
    <t>184-2; 184-6; 3036-16; 3036-65</t>
  </si>
  <si>
    <t>ADMISION DE LA INTERVENCION COMO TERCEROS INTERESADOS ARTÍCULO 63 CGP</t>
  </si>
  <si>
    <t>VINCULACION DE LOS SUJETOS PROCESALES</t>
  </si>
  <si>
    <t>2020-00911</t>
  </si>
  <si>
    <t>JUZGADO 47 CIVIL MUNICIPAL DE BOGOTA</t>
  </si>
  <si>
    <t>PROYECTOS Y CONSTRUCCIONES PROURBYCON Y OTROS</t>
  </si>
  <si>
    <t>NULIDAD ESCRITURA PÚBLICA No. 4494 DEL 13 DE DICIEMBRE DEL 1993, 816 DEL 4 DE MARZO DEL 1994, 4234 DEL 3 DE NOVIMEBRE DE 199, 5961 DEL 23 DE DICIEMBRE D 1996, 4615 DEL 10 DE NOVIEMBRE DE 1998 DE LA NOTARIA 13 DEL CIRCULO DE BOGOTÁ</t>
  </si>
  <si>
    <t>OBTENER LA NULIDAD POR OBJETO ILICITO DE LAS ESCRITURAS PÚBLICAS</t>
  </si>
  <si>
    <t>NOGALES DE SUBA</t>
  </si>
  <si>
    <t>1928</t>
  </si>
  <si>
    <t>ADMISIÓN DEMANDA, NOTIFICACIONES</t>
  </si>
  <si>
    <t>2014-00869</t>
  </si>
  <si>
    <t>MANUEL PARRA PATIÑO</t>
  </si>
  <si>
    <t>VENTA DE ZONA VERDE POR PARTE DE PROURBYCON</t>
  </si>
  <si>
    <t>1928-14</t>
  </si>
  <si>
    <t>2018-00471</t>
  </si>
  <si>
    <t>JUZGADO 3 CIVIL DEL CIRCUITO  DE ORALIDAD DE BOGOTÁ</t>
  </si>
  <si>
    <t>AGRUPACION PRADERA DE SUBA II ETAPA PH</t>
  </si>
  <si>
    <t>DISTRITO CAPITAL</t>
  </si>
  <si>
    <t>LA AGRUPACION DE VIVIENDA PRADERA DE SUBA ETAPA I P.H. PRESENTA DEMANDA PARA OBTENER LA NULIDAD DE LAS ESCRITURAS PUBLICAS 3541 DEL 7 DE NOVIEMBRE DE 1990 NOT. 30 DE BOGOTA, 0511 DE 09 DE ABRIL DE 2004 , ESC 1618 DEL 16 DE JUNIO DE 2004 AMBAS DE NOT 59 DE BOGOTA, ESC 5525 DEL 29 DE OCTUBRE DE 1992 NOT 7 DE BOGOTA Y LA CANCELACION DE LOS FMI 50N 20067981, 50N-936549, EN VIRTUD QUE EL CONSTRUCTOR VENDIÓ UNA ZONA COMUN DE PROPIEDAD DE LA AGRUPACION</t>
  </si>
  <si>
    <t>PRADERA DE SUBA II ETAPA P.H</t>
  </si>
  <si>
    <t>1953-1 AL 5</t>
  </si>
  <si>
    <t>N</t>
  </si>
  <si>
    <t>SE ESPERA SE FIJE FECHA PRIMERA AUDIENCIA DE TRÁMITE</t>
  </si>
  <si>
    <t>2007-00359</t>
  </si>
  <si>
    <t>JUZGADO 29 CIVIL DEL CIRCUITO DE BOGOTÁ</t>
  </si>
  <si>
    <t>HECTOR JOSE BUITRAGO Y OTRO</t>
  </si>
  <si>
    <t>DADEP - SEC EDUCACION</t>
  </si>
  <si>
    <t>COBRO DE COSTAS - PROCESO INICIAL PRETENDIA REIVINDICAR PREDIO DONDE FUNCIONA COLEGIO RODRIGO TRIANA</t>
  </si>
  <si>
    <t>3012-9</t>
  </si>
  <si>
    <t xml:space="preserve">SEGUIMIENTO AL COBRO DE COSTAS, REALIZAR CONSULTA DE BIENES PARA INFORMAR AL DESPACHO JUDICIAL DE HALLARSE. </t>
  </si>
  <si>
    <t xml:space="preserve">COSTAS POR 10 MILLONES DE PESOS-SE TRAMITAN OFICIOS DE EMBARGO. </t>
  </si>
  <si>
    <t>2023-00622</t>
  </si>
  <si>
    <t>TRIBUNAL ADMINISTRATIVO DE CUNDINAMARCA</t>
  </si>
  <si>
    <t>MINISTERIO DE VIVIENDA Y FONDO ROTATORIO REGISTRADURIA</t>
  </si>
  <si>
    <t>AFECTACION DE DERECHOS COLECTIVOS-BIEN DE USO PUBLICO-FISCAL</t>
  </si>
  <si>
    <t>CON LA ESCRITURA PÚBLICA 959 DEL 31 DE MARZO DE 1995 DE LA NOTARIA 22 SE REALIZÓ UNA VENTA DE UN INMUEBLE ENTRE EL INSTITUTO NACIONAL DE VIVIENDA DE INTERÉS Y REFORMA URBANA “INURBE” Y EL FONDO ROTATORIO DE LA REGISTRADURÍA NACIONAL DEL ESTADO CIVIL UBICADO EN LA CIUDAD DE BOGOTÁ, CALLE 40 SUR NÚMERO 77-53/51 Y CARRERA 77B NÚMERO 40-06/08 CON UN ÁREA TOTAL DE 1.026.60 MTS2 DE LA URBANIZACIÓN CIUDAD KENNEDY, LA SUBDIRECCIÓN DE REGISTRO INMOBILIARIO DE ESTE DEPARTAMENTO ADMINISTRATIVO DE LA DEFENSORÍA DEL ESPACIO MEDIANTE EL MEMORANDO 20232030025933 PROCEDIÓ A REALIZAR UN ESTUDIO TÉCNICO-JURÍDICO DEL PREDIO IDENTIFICADO CON EL CHIP AAA0043XLKC Y EL FOLIO DE MATRÍCULA INMOBILIARIA 50S-40233691. EN DICHO ESTUDIO SE ENCONTRÓ QUE ESTE PREDIO FUE ADQUIRIDO POR EL FONDO ROTATORIO DE LA REGISTRADURÍA NACIONAL MEDIANTE LA ESCRITURA PÚBLICA NO. 959 DE MARZO 31 DE 1995, OTORGADA EN LA NOTARÍA VEINTIDÓS (22) DE BOGOTÁ. COMO SE CONCLUYE EN EL ESTUDIO TÉCNICO JURÍDICO QUE SE ADJUNTA, SE PRESENTA DOBLE TITULARIDAD RESPECTO A LOS PREDIOS RELACIONADOS EN EL MISMO, SIENDO TRANSFERIDOS EN EL AÑO 1967 A FAVOR DEL DISTRITO Y EN EL AÑO 1995 SE TRANSFIRIERON NUEVAMENTE AL FONDO ROTATORIO DE LA REGISTRADURÍA NACIONAL. EN EL ESTUDIO TÉCNICO QUE SE ADELANTÓ SE EVIDENCIÓ QUE EXISTE UN TRASLAPE ENTRE LAS ÁREAS ADQUIRIDAS POR MEDIO DE LA ESCRITURA NO. 5206 DE 15 DE NOVIEMBRE DE 1967 (RUPIS 2- 72, 2-923, 2-924, 2-925, 2-926, 2-927 Y 2-928), Y EL ÁREA DE COMPRA EN EL ARIO DE 1995 POR PARTE DEL FONDO ROTATORIO DE LA REGISTRADURÍA NACIONAL.</t>
  </si>
  <si>
    <t>CIUDAD KENNEDY CENTRAL</t>
  </si>
  <si>
    <t>2-.72</t>
  </si>
  <si>
    <t>EN TRAMITE</t>
  </si>
  <si>
    <t>EL 27 DE SEPTIEMBRE DE 2024, SE DESCORRE TRASLADO DE EXCEPCIONES POR PARTE DEL DADEP</t>
  </si>
  <si>
    <t>PRONUNCIAMIENTO SOBRE LAS EXCEPCIONES Y FIJACIÓN DE AUDIENCIA INICIAL.</t>
  </si>
  <si>
    <t>2013-00517
11001310303820130051700</t>
  </si>
  <si>
    <t>JUZGADO 38 CIVIL DEL CIRCUITO DE BOGOTÁ</t>
  </si>
  <si>
    <t>LUS DIANA REYES ALONSO</t>
  </si>
  <si>
    <t xml:space="preserve">ZONAS DE CESION SAN FELIPE EL DORADO </t>
  </si>
  <si>
    <t>SAN FELIPE EL DORADO</t>
  </si>
  <si>
    <t>2086-18 
2086-19</t>
  </si>
  <si>
    <t xml:space="preserve">NA </t>
  </si>
  <si>
    <t>SEGUIMIENTO PROCESAL - ALEGATOS DE CONCLUSIÓN PRESENTADOS - A LA ESPERA DE FALLO DE PRIMERA INSTANCIA.
SUSPENDIDO POR PREJUDICIALIDAD POR EL PROCESO 2013-01962  2023-07-06 al despacho desde el 2020 Se consulto el proceso en el Consejo de Estado donde surte recurso de apelacion, el cual ingreso al despacho el 29 de mayo de 2023, este estado se verifico en rama el 15-11-2023. se revisa estado 23-1-2024 sin novedad. al despacho 26-2-2024 se consulta el 11 -3-2024. 26-2-2024 al despacho para sentencia en el - CONSEJO DE ESTADO - SECCIÓN PRIMERA - BOGOTÁ SIN NOEVEDAD PROCESAL 29-5-2024- se revisa proceso 3-2-2025 proceso sin novedad procesal,</t>
  </si>
  <si>
    <t>SUSPENDIDO POR PREJUDICIALIDAD</t>
  </si>
  <si>
    <t>2002-01056
 11001310303420020105601</t>
  </si>
  <si>
    <t>JUZGADO 41 - CIVIL DEL CIRCUITO DE ORALIDAD</t>
  </si>
  <si>
    <t>Juan de Jesús Gaitán Mora - María Leonilde Torres Gaitán - Luz Diana Reyes Alonso (Cesionaria)</t>
  </si>
  <si>
    <t xml:space="preserve">Urbanizadora San Felipe Ltda - Personas Indeterminadas </t>
  </si>
  <si>
    <t>PERTENENCIA BIENES SAN FELIPE EL DORADO</t>
  </si>
  <si>
    <t>2086-19</t>
  </si>
  <si>
    <t>SE PRESENTO DEMANDA AD EXCLUYENTE POR PARTE DEL DADEP EL 15 DE NOVIEMBRE DEL 2022</t>
  </si>
  <si>
    <t>AUTO ORDENA EMPLAZA 09-09-2024 A CARGO DEL DEMANDANTE</t>
  </si>
  <si>
    <t>No. 25000234100020130196200</t>
  </si>
  <si>
    <t xml:space="preserve">LUZ DIANA REYES </t>
  </si>
  <si>
    <t>SEC PLANEACION - CONTRALORIA DE BOGOTA - DADEP</t>
  </si>
  <si>
    <t>NULIDAD RESOLUCIONES SEC PLANEACION POR PRESUNTA VIOLACION DEBIDO PROCESO - SAN FELIPE EL DORADO</t>
  </si>
  <si>
    <t>SENTENCIA DE SEGUNDA INSTANCIA</t>
  </si>
  <si>
    <t>2007-00381</t>
  </si>
  <si>
    <t>JUZGADO 46 CIVIL DEL CIRCUITO</t>
  </si>
  <si>
    <t>JOSE RAFAEL GARZON GUTIERREZ Y OTRO</t>
  </si>
  <si>
    <t>RESTITUCION DE BIEN FISCAL2-76 OCUPADO BARRIO CALVO SUR</t>
  </si>
  <si>
    <t>2-76</t>
  </si>
  <si>
    <t>SENTENCIA DE PRIMERA Y SEGUNDA INSTANCIA FAVORABLE A ESPERA DE COMISORIO PARA ENTREGA DE PREDIO</t>
  </si>
  <si>
    <t>SE RADICA SOLICITUD DE DESPACHO COMISORIO AL JUZGADO 87 CIVIL MUNICIPAL AUDIENCIA PARA EL 11-12-2024.</t>
  </si>
  <si>
    <t xml:space="preserve">2016-00430
11001400304620160043000 </t>
  </si>
  <si>
    <t>JUZGADO 46 CIVIL MUNICIPAL</t>
  </si>
  <si>
    <t xml:space="preserve">CARMEN ROSA BARON Y ROGELIO MORALES </t>
  </si>
  <si>
    <t>RESTITRUCION INMUEBLE SANTA FE CARRERA 3 CON CALLE 26</t>
  </si>
  <si>
    <t>RESTITUCIÓN INMUEBLE SANTA FE CARRERA 3 CON CALLE 26</t>
  </si>
  <si>
    <t>2-1013</t>
  </si>
  <si>
    <t>EL PROCESO FUE ENVIADO AL JUZGADO 46 CIVIL MUNICIPAL</t>
  </si>
  <si>
    <t>SENTENCIA A FAVOR DE LA ENTIDAD 30-09-2024</t>
  </si>
  <si>
    <t>2018-00406
11001310303620180040600.</t>
  </si>
  <si>
    <t>JUZGADO 36 CIVIL DEL CIRCUITO</t>
  </si>
  <si>
    <t>ALFREDO MATTOS HURTADO</t>
  </si>
  <si>
    <t>ANIBAL TORRES RIOS, MARIA FERNANDA RODRIGUEZ CUERVO</t>
  </si>
  <si>
    <t>INTERVENCION EXCLUYENTE DE DECLARATIVO DE NULIDAD ABSOLUTA DE ESCRITURAS PUBLICAS CONFORME A LOS TÉRMINOS SEÑALADOS EN EL ARTÍCULO 1740 Y S.S. DEL CÓDIGO CIVIL, EN CONTRA DE LOS SEÑORES ALFREDO MATTOS HURTADO Y OTROS, POR LAS IRREGULARIDADES PRESENTADAS EN LA SUSCRIPCIÓN DE LAS ESCRITURAS PÚBLICAS 313 DEL 21 DE MAYO DEL 2014 OTORGADA EN LA NOTARIA ÚNICA DE TABIO CUNDINAMARCA; 310 DEL 4 DE AGOSTO DEL 2014 OTORGADA EN LA NOTARIA ÚNICA DE TENJO CUNDINAMARCA; 362 DEL 9 DE SEPTIEMBRE DEL 2014 OTORGADA EN LA NOTARIA ÚNICA DE TENJO CUNDINAMARCA Y 443 DEL 12 DE JULIO DEL 2016 OTORGADA EN LA NOTARIA ÚNICA DE SUBACHOQUE, CON LO CUAL SE AFECTÓ UN PREDIO FISCAL DEL DISTRITO CAPITAL IDENTIFICADO CON AL RUPI 2-1049 DENOMINADO EL REFUGIO QUE CUENTA CON UNA EXTENSIÓN DE 111.926,68 M2 E IDENTIFICADO CON EL FOLIO DE MATRÍCULA INMOBILIARIA 050C-1810573.</t>
  </si>
  <si>
    <t>EL REFUGIO</t>
  </si>
  <si>
    <t>2-1049</t>
  </si>
  <si>
    <t>SE PRESENTO DEMANDA AD EXCLUDENDUM ART 63 CGP, PROCESO RELACIONADO CON EL DE NULIDAD DE E.P. 2023-00016</t>
  </si>
  <si>
    <t>DESPACHO 16-07-2024 PARA REPROGRAMAR AUDIENCIA</t>
  </si>
  <si>
    <t>2023-00016
11001310305120230001600</t>
  </si>
  <si>
    <t>JUZGADO 51 CIVIL DEL CIRCUITO</t>
  </si>
  <si>
    <t>DEPARTAMENTO ADMINISTRATIVO DE LA DEFENSORIA DEL ESPACIO PUBLICO</t>
  </si>
  <si>
    <t>SECRETARIA DE AMBIENTE/ ALFREDO MATTOS Y OTROS</t>
  </si>
  <si>
    <t>NULIDAD DE ESCRITURA PUBLICA</t>
  </si>
  <si>
    <t>MEDIANTE LA ESCRITURA PÚBLICA 1687 DEL 24 DE JUNIO DEL 2004 DE LA NOTARIA 36 DEL CÍRCULO DE BOGOTÁ EL ENTONCES DEPARTAMENTO ADMINISTRATIVO DEL MEDIO AMBIENTE (DAMA) HOY SECRETARÍA DISTRITAL DE AMBIENTE DECIDIÓ SEGREGAR MATERIALMENTE EL PREDIO DENOMINADO LA PONDEROSA REGISTRADO EN EL FOLIO DE MATRÍCULA INMOBILIARIA 50C-1322137 DANDO ORIGEN A TRES PREDIOS. A FAVOR DE MATTOS HURTADO ALFREDO ADQUIRIDO MEDIANTE LE ESCRITURA PÚBLICA NRO. 1687 DEL 24 DE JUNIO DEL 2004 OTORGADA EN LA NOTARIA 36 DEL CÍRCULO DE BOGOTÁ CON UN ÁREA DE 11.926.68 MTS2 Y REGISTRADO EN EL FOLIO DE MATRÍCULA INMOBILIARIA 050C-1810573 PREDIO DENOMINADO EL REFUGIO, CON UN ÁREA DE CIENTO ONCE MIL NOVECIENTOS VEINTISÉIS CON SESENTA Y OCHO DECÍMETROS CUADRADOS (111.926.68 MTS2). QUEDANDO UN REMANENTE DE DOSCIENTOS NOVENTA Y SEIS MIL DOSCIENTOS VEINTISIETE METROS CUADRADOS CON CUARENTA Y NUEVE DECÍMETROS (296.227.49MTS2).</t>
  </si>
  <si>
    <t>REFUJIO LA PONDEROSA</t>
  </si>
  <si>
    <t>NOTIFICACION DE LOS DEMANDADOS</t>
  </si>
  <si>
    <t>DESIGNA CURADOR 13-08-2024</t>
  </si>
  <si>
    <t>2009-00567</t>
  </si>
  <si>
    <t>JUZGADO 16 CIVIL DEL CIRCUITO</t>
  </si>
  <si>
    <t>INVERSIONES UISSAN</t>
  </si>
  <si>
    <t>ENTREGA DE ZONAS DE CESIÓN URBANIZACION MUISCA</t>
  </si>
  <si>
    <t>ENTREGA Y ESCRITURACION DE LAS ZONAS DE CESION</t>
  </si>
  <si>
    <t>MUISCA I</t>
  </si>
  <si>
    <t xml:space="preserve">SENTENCIA FAVORABLE PRIMERA INSTANCIA SE DEBE REALIZAR LA ENTREGA DE LAS ZONAS DE CESIÓN DE LA URBANIZACIÓN MUISCAS. MEMORIAL AL JUZGADO RADICADO 20201100122391 DEL 17-11-2020 SOLICITANDO MODULACION DE FALLO. MEDIANTE MEMORIAL 20221100020741 DEL 28-08-2022 SE REITERO SOLITITUD AL DESPACHO SOLICITANDO MODULACION DE FALLO DE ACUERDO CON LA RESPUESTA DADA POR LA SRI REFERENTE AL PLANO QUE CORRESPONDE A LA ZONA DE CESIÓN. EL JUZGADO MEDIANTE AUTO DE FECHA 27-05-2022 MODULO EL FALLO JUDICIAL. MEDIANTE MEMORANDO 20221100031623 DEL 01-06-2022 SE REMITIO A LA SRI AUTO DE MODULACION DE FALLO Y SOLICITUD DE TRAMITE DE ACTA DE TOMA DE POSESION. MEDIANTE RADICADO ORFEO 20231300179511 SE SOLICITO AL DESPACHO LIQUIDACION DE COSTAS.14-12-2024 FIJACION ESTADO APRUEBA COSTAS, EN TRAMITE DE COBRO.
</t>
  </si>
  <si>
    <t xml:space="preserve">SENTENCIA DE PRIMERA INSTANCIA </t>
  </si>
  <si>
    <t>2015-00782</t>
  </si>
  <si>
    <t>CENTRAL DE INVERSIONES SA</t>
  </si>
  <si>
    <t>DADEP ETB</t>
  </si>
  <si>
    <t>PARTICION Y VENTA INMUEBLE RUPI 2-1203</t>
  </si>
  <si>
    <t>2-1203</t>
  </si>
  <si>
    <t>SEGUIMIENTO PROCESAL - SEGUIMIENTO QUE SE EXPIDA AUTO QUE ORDENA DIVISIÓN MATERIAL DEL INMUEBLE AVALUO Y REMATE</t>
  </si>
  <si>
    <t>SEGUIMIENTO PROCESAL - SEGUIMIENTO QUE SE EXPIDA AUTO QUE ORDENA DIVISIÓN MATERIAL DEL INMUEBLE AVALUO Y REMATE.
POR PARTE DEL DESPCHO SE SOLCIITÓ CONCILIACIÓN, A LA ESPERA DE DECISIÓN EN FIRME</t>
  </si>
  <si>
    <t>2011-00083</t>
  </si>
  <si>
    <t>JUZGADO 1 CIVIL DEL CIRCUITO DE SOACHA</t>
  </si>
  <si>
    <t>ICBF</t>
  </si>
  <si>
    <t>DISTRITO CAPITAL Y OTROS</t>
  </si>
  <si>
    <t>PARTICION Y VENTA INMUEBLE 2-1230</t>
  </si>
  <si>
    <t>2-1230</t>
  </si>
  <si>
    <t>SEGUIMIENTO PROCESAL - PRIMERA DILIGENCIA DE REMATE FRACAZADA - SEGUIMIENTO FIJACIÓN NUEVA FECHA DILIGENCIA REMATE</t>
  </si>
  <si>
    <t>SEGUIMIENTO PROCESAL - PRIMERA DILIGENCIA DE REMATE FRACAZADA - SEGUIMIENTO FIJACIÓN NUEVA FECHA DILIGENCIA REMATE  , pendiente presentar avaluo auto fecha 24 de mayo de 2024</t>
  </si>
  <si>
    <t>2009-00254</t>
  </si>
  <si>
    <t>JUZGADO 10 CIVIL DEL CIRCUITO DE BOGOTÁ</t>
  </si>
  <si>
    <t xml:space="preserve">JOSE DEL CARMEN AYALA </t>
  </si>
  <si>
    <t>REIVINDICACION PREDIO DONDE FUNCIONA JAC SAN CIPRIANO NORTE</t>
  </si>
  <si>
    <t>SAN CIPRIANO</t>
  </si>
  <si>
    <t>2277-1</t>
  </si>
  <si>
    <t xml:space="preserve">SEGUIMIENTO PROCESAL - CON SENTENCIA DE SEGUNDA INSTANCIA .
PENDIENTE LIQUIDACION DE COSTAS.
En el Marco del proceso reivindicatorio 2009-00254 el juzgado 16 Civil del Circuito de Bogotá D.C., procedió en fecha 10 de mayo de 2018 a dictar fallo de primera instancia el cual fuera favorable al DADEP, pues desestimó la petición del particular de reclamar el predio público. Cabe señalar que frente a la anterior decisión el demandante promovió recurso de apelación ante el Tribunal Superior de Bogotá, recurso que fuera resuelto en fecha 22 de noviembre confirmando en su integridad el fallo de primera instancia el cual es preciso recordar fuera favorable al Distrito. Con lo anterior se protegieron 123.57 Mts2 de espacio correspondiente al predio identificado con el RUPI 2277-3, salvaguardando el salón comunal del Barrio San Cipriano Norte. </t>
  </si>
  <si>
    <t>COBRO COSTAS MEDIANTE PROCESO DE EJECUCIÓN-SE APRUEBA LIQUIDACIÓN DEL CRÉDITO- SE SOLICITAN MEDIDAS CAUTELARES</t>
  </si>
  <si>
    <t xml:space="preserve">                  (2024-00118)
11001310301920240011800</t>
  </si>
  <si>
    <t>JUZGADO 19 CIVIL DEL CIRCUITO</t>
  </si>
  <si>
    <t>ALIANZA FIDUCIARIA</t>
  </si>
  <si>
    <t>OCUPACION DE ESPACIO PUBLICO</t>
  </si>
  <si>
    <t>GOCE DEL ESPACIO PUBLICO</t>
  </si>
  <si>
    <t>LA MERCED</t>
  </si>
  <si>
    <t>2-1274</t>
  </si>
  <si>
    <t>SEGUIMIENTO POR CALIFICACION A LA DEMANDA</t>
  </si>
  <si>
    <t>DEMANDA ADMITIDA, ESTA AL DESPACHO DESDE EL 07-08-2024 PARA RESOLVER RECURSO DE REPOSICION.</t>
  </si>
  <si>
    <t xml:space="preserve"> 2007-31060</t>
  </si>
  <si>
    <t>FISCAL 66 SECCIONAL UNIDAD DELITOS LEY 600 DE 2000</t>
  </si>
  <si>
    <t>HERNANDO RAMIREZ</t>
  </si>
  <si>
    <t>MARICELA MILKE OSSA</t>
  </si>
  <si>
    <t>CEMENTERIO CENTRAL</t>
  </si>
  <si>
    <t>ESTAFA AGRAVADA</t>
  </si>
  <si>
    <t>ADQUISICION DADEP-UAESP PREDIOS CEMENTERIO CENTRAL TITULO FALSO</t>
  </si>
  <si>
    <t>2-1300</t>
  </si>
  <si>
    <t>La Fiscalía 103 decide mantener en firme la resolución dada en primera instancia en la cual resuelve precluir la acción penal por los delitos de estafa agravada respecto de los procesados MARCELLA MILKE OSSA, ALEXANDER GOMEZ SOLER y CLAUDIA GUERRERO MATEUS, estamos a la espera de actuar dentro del trámite de incidental en el cual la Fiscalía tomara decisiones de fondo.</t>
  </si>
  <si>
    <t xml:space="preserve">PRECLUSION DE LA INVESTIGACION </t>
  </si>
  <si>
    <t>2022-01104</t>
  </si>
  <si>
    <t>JUZGADO 36 CIVIL MUNICIPAL</t>
  </si>
  <si>
    <t>FRANCISCO JAVIER BALLESTEROS MILLAN - NANCY BALLESTEROS MILLAN</t>
  </si>
  <si>
    <t>ALBERTO HERRERA
- JAIME NIETO CANO</t>
  </si>
  <si>
    <t xml:space="preserve">Consultado el mapa digital de la Defensoría del Espacio Público – SIGDEP y el Sistema
de Información de la Defensoría del Espacio Público-SIDEP, se estableció que el
inmueble con nomenclatura KR 20 164B 14 MJ, se encuentra construido sobre un
predio que a la fecha se encuentra incluido como bien fiscal en el Inventario General de
Espacio Público y Bienes Fiscales del Sector Central del Distrito Capital, a cargo del
Departamento Administrativo de la Defensoría del Espacio Público y se identifica con el
RUPI 2-1307, del cual se adjunta la certificación correspondiente.
</t>
  </si>
  <si>
    <t xml:space="preserve">Consultado el mapa digital de la Defensoría del Espacio Público – SIGDEP y el Sistema de Información de la Defensoría del Espacio Público-SIDEP, se estableció que el inmueble con nomenclatura KR 20 164B 14 MJ, se encuentra construido sobre un predio que a la fecha se encuentra incluido como bien fiscal en el Inventario General de Espacio Público y Bienes Fiscales del Sector Central del Distrito Capital, a cargo del Departamento Administrativo de la Defensoría del Espacio Público y se identifica con el RUPI 2-1307, del cual se adjunta la certificación correspondiente.
</t>
  </si>
  <si>
    <t>EL TOBERIN</t>
  </si>
  <si>
    <t>2-1307</t>
  </si>
  <si>
    <t>EN AUDIENCIA DE INSPECCIÓN JUDICIAL EL JUZGADO 36 CM ADJUDICO ILEGALMENTE UN BIEN FISCAL, SE CORRE EL TRASLADO DE LA NULIDAD INVOCADA POR EL DADEP 21-11-2024</t>
  </si>
  <si>
    <t>2010-00474</t>
  </si>
  <si>
    <t xml:space="preserve">JUZGADO 19 CIVIL DEL CIRCUITO DE EJECUCIÓN DE BOGOTÁ </t>
  </si>
  <si>
    <t>LUIS HERNANDO MORALES</t>
  </si>
  <si>
    <t>PROCESO DE PERTENENCIA SOBRE PREDIO PÚBLICO</t>
  </si>
  <si>
    <t>SE PRETENDE LA NULIDAD DE LA SENTENCIA DE FECHA 09 DE MARZO DE 2012 POR MEDIO DEL CUAL SE PRESCRIBIÓ UNA ZONA PÚBLICA</t>
  </si>
  <si>
    <t>URBANIZACIÓN FRANCO</t>
  </si>
  <si>
    <t>994-2</t>
  </si>
  <si>
    <t>SEGUIMIENTO A SOLICITUD DE RECONSTRUCCIÓN DEL EXPEDIENTE</t>
  </si>
  <si>
    <t>CON OFICIOS A LOS DEMANDANTES Y ENTIDADES PARA LA RECONSTRUCCIÓN DEL EXPEDIENTE.</t>
  </si>
  <si>
    <t>2019-00104
73449310300120190010400</t>
  </si>
  <si>
    <t>JUZGADO 1 CIVIL DEL CIRCUITO DE MELGAR - TOLIMA-</t>
  </si>
  <si>
    <t>INVERSIONES SAJUC &amp; CIA S EN C</t>
  </si>
  <si>
    <t xml:space="preserve">DISTRITO CAPITAL BOOTA; COLPENSIONES; DIAN; MUNICIPIO DE MELGAR; BANCO UNIÓN PACÍFICO; ANTONIO VANEGAS SANTORO; GUILLERMO LEÓN CORRAL; JAIME PINILLA MONROY; MARIA LUISA CARRIZOSA; MARIA CRIATINA TAMAYO </t>
  </si>
  <si>
    <t>DIVISION Y ENTREGA DE PORCENTAJE ADJUDICADO EN SUCESION CON FIN ESPECIFICO DE PREMIO</t>
  </si>
  <si>
    <t>2-1391</t>
  </si>
  <si>
    <t>POR DETERMINAR</t>
  </si>
  <si>
    <t>SE ESPERA SE REALICE LA DIVISION Y ORDENE REMANTE</t>
  </si>
  <si>
    <t>(2016-00274)
11001310303320160027400</t>
  </si>
  <si>
    <t>JUZGADO 34 CIVIL DEL CIRCUITO</t>
  </si>
  <si>
    <t xml:space="preserve"> Libardo Melo Vega</t>
  </si>
  <si>
    <t>C.C. Sorpresas</t>
  </si>
  <si>
    <t>VULNERACION DERECHO A LA INFORMACION DE LOS CONSUMIDORES</t>
  </si>
  <si>
    <t xml:space="preserve">
El accionante manifiesta la vulneración a los derechos e intereses colectivos de recibir información suficiente, clara, oportuna, verificable, comprensible, precisa e idónea respecto del uso de los parqueaderos.</t>
  </si>
  <si>
    <t>Centro Comercial Sorpresas</t>
  </si>
  <si>
    <t>214-20</t>
  </si>
  <si>
    <t>A la espera de fijación de audiencia de pacto de cumplimiento en atención a la vinculación del HUB DE MOVILIDAD CALLE 136 notificados el 6 de junio de 2022.
Con ocasión de recurso interpuesto el 13 de junio de 2022 por el HUB DE MOVILIDAD CALLE 136 nos encontramos a la espera de que sea resuelto y posteriormente fijada la fecha de audiencia de pacto de cumplimiento.     2023-07-06 fija fecha para audiencia de testimonio el 17 de julio  el 28 -7-2023 se reporgrama diligencia para el  25 DE AGOSTO DE 2023 HORA 10:00 A.M. No se llevo a cabo diligencia el 25 de agosto de 2023 teniendo en cuenta que no compareció el testigo. FIJA FECHA AUDIENCIA (20 DE NOVIEMBRE DE 2023 HORA 10:00 A.M, el dia de la diligencia no comparecio el testigo. proceso ingresa al despacho 01-02-2024  para resolver traslado alegatos de conclusión. alegatos de conclusion 20241300098181 de fecha 17-7-2024.28-8-2024 ingresa al despacho con escritos de alegatos de conclusion. se revisa el 31-01-2025 proceso sin novedad procesal.</t>
  </si>
  <si>
    <t>ALEGATOS DE CONCLUSION</t>
  </si>
  <si>
    <t>2015-01192</t>
  </si>
  <si>
    <t>JUZGADO 34 CIVIL CIRCUITO DE BOGOTA</t>
  </si>
  <si>
    <t>CISA</t>
  </si>
  <si>
    <t>PARTICION Y VENTA INMUEBLE 2-1503</t>
  </si>
  <si>
    <t>2-1503</t>
  </si>
  <si>
    <t xml:space="preserve">SEGUIMIENTO PROCESAL: PREUBAS </t>
  </si>
  <si>
    <t>FECHA INTERROGATORIO PARA EL 6 DE FEBRERO DE 2019 A LAS 9:30 AL REPRESENTANTE LEGAL DE LA ENTIDAD DEMANDANTE (ICBF).</t>
  </si>
  <si>
    <t>2010-00001</t>
  </si>
  <si>
    <t>JUZGADO 8 CIVIL DEL CIRCUITO DE BOGOTÁ</t>
  </si>
  <si>
    <t>TRANSPORTES PANAMERICANOS</t>
  </si>
  <si>
    <t xml:space="preserve">ENTREGA  ZONAS DE CESIÓN </t>
  </si>
  <si>
    <t>ENTREGAY ESCRITURACIÓN DE ZONAS DE CESIÓN ESTACIÓN DE SERVICIO SAN ANTONIO</t>
  </si>
  <si>
    <t>ESTACION DE SERVICIO PANAMERICANO</t>
  </si>
  <si>
    <t>ORDEN A DEMANDADO DE ENTREGAR Y ESCRITURAR</t>
  </si>
  <si>
    <t>SEGUIMIENTO CUMPLIMIENTO DEL FALLO.                                                                                                                                                                                                                  
En la rama judicial la ultima actuaciòn respuesta auto requere de fecha 6-6-2022 lo anterior en respuesta al auto de fecha 2 -6-2022 en donde  el juzgado requirió  al urbanzador informe del cumplimiento del fallo. se radica memorial por parte de CIGESA S.A.S informando sobre las gestiones adelantadas y en el cual se informa que  se esta a la espera de la expedicion de la constania de cumplimiento de obras del proyecto San antonio norte conforme solicitud radicado ante el IDU el dia 27 de Mayo de 2022, mediante auto de fecha 22 de junio el despacho tiene en cuenta la informacion radicada y dispone hacer seguimiento por secretaria cada 30 dias, el dia 7 de julio de 2022 se radica solicitud por parte se CIGESA S.A.S dirigida al despacho a fin de requerir se de respuesta por parte del IDU, mediante estado de fecha 3 de agosto de 2022 mediante auto se incopora la documentacion y se retiera el seguimiento por secretaria conforme auto de fecha 22 junio de 2022.  Auto de fecha 7-10-2022 requiriendo dentro del termino de 8 dias a CIGESA informe sobre gestiones adelantadas para entrega de zonas de cesion. el 01 de noviembre de 2022 mediante radicado orfeo 20221100172111  se remite informe sobre el cumplimiento del fallo, el dia 8-11-2022 se emite auto corriendo traslado a cigesa sobre lo informado por el dadep, se fija en estado el 9-11-2022. consultada la web de la rama el14-12-2022 cigesa allega poliza de cumplimiento. Radicado orfeo 20234060008082 de fecha 16/01/2022  se allega documentacion para entrega de zonas de Cesion se encuentra en estudio por parte de SRI. Mediante orfeo 20234000013472 se allega por parte del accionado la documentacion requerida para continuar con el tramite de entrega de zonas de cesion. El día diez (10) de febrero de 2023, se realizo la visita por parte del DADEP  al sitio de las obras para verificar que el cerramiento perimetral de la zona verde se había retirado en su totalidad. Se adelanto el acta de recibo con los documentos y la información anexada por el urbanizador , no obstante, estamos pendiente que se allegue por parte de estos , una certificación de la EAAB en donde se determine que sobre CARRERA 16, no se realizaron obras de acueducto y alcantarillado. Se remite memorando  20231300024243 a SRI solictando informe sobre estado actual del proceso de entrega de zonas de cesion a fin de informar al despacho. SRI da respuesta 20232010026213 informando que se dará proyeccion al acta de recibo zonas de cesion. Mediante memorando a SRI 20231300036163 de fecha 27-9-2023 se solicito informacion sobre estado de entrega y proyeccion acta de recibo. proceso ingresa al despacho el 26-9-2023. ACTA DE RECIBO 045 DEL 12/09/2023 pendiente que SRI ejecute las actividades pertinentes para la incorporacion cartografica y alfanumerica de los sistemas de informacion del DADEP y al inventario general de espacio publico y bienes fiscales. de lo anterior se informa al despacho mediante memorial de fecha 12/10/2023. 25-10-23 Agréguese a los autos, la documental allegada por la parte actora – Departamento Administrativo de la Defensoría del Espacio Público, descorriendo el traslado ordenado en auto adiado 2 de octubre del corriente. Pendiente auto archivo juzgado por cumplimiento de ordenes.Auto de fecha 9 de Mayo Auto ordena correr traslado accionado allega escrituración a favor del Departamento Administrativo de la Defensoría del Espacio Público – DADEP, de las zonas de cesión a la urbanización Montijo, vista en la anotación No. 18 del folio de matrícula inmobiliaria No. 50N455390- Fls. 1055 a 1063, de la cual se corre traslado a la parte actora por el término de ejecutoria de este proveído. AUTO DE FECHA 5-6-2024 Secretaría, procédase archivar las presentes diligencias.
Una vez se tenga esta certificación continuaremos con el tramite de recibo.</t>
  </si>
  <si>
    <t>2017-00795</t>
  </si>
  <si>
    <t>JUZGADO 27 CIVIL DEL CIRCUITO</t>
  </si>
  <si>
    <t>INSTITUTO COLOMBIANO DE BIENESTAR FAMILIAR -ICBF-</t>
  </si>
  <si>
    <t xml:space="preserve">DIVISORIO - PARTICION Y ENTREGA RUPI  </t>
  </si>
  <si>
    <t>CARRERA 33 No. 39-20 SUR</t>
  </si>
  <si>
    <t>2-1561</t>
  </si>
  <si>
    <t>DETERMINAR</t>
  </si>
  <si>
    <t>SEGUIMIENTO PROCESAL - SEGUIMIENTO NOTIFICACION POR AVISO</t>
  </si>
  <si>
    <t>SEGUIMIENTO PROCESAL - SE CONTESTO DEMANDA</t>
  </si>
  <si>
    <t>2023-67085</t>
  </si>
  <si>
    <t>FISCALIA 80 - ESPECIALIZADA</t>
  </si>
  <si>
    <t>INDETERMINADO</t>
  </si>
  <si>
    <t xml:space="preserve">DENUNCIANTE </t>
  </si>
  <si>
    <t>DENUNCIA PENAL - FRAUDE PROCESAL</t>
  </si>
  <si>
    <t>FRAUDE PROCESAL</t>
  </si>
  <si>
    <t xml:space="preserve">
FALSIFICACION DOCUMENTO PUBLICO </t>
  </si>
  <si>
    <t>2-1564</t>
  </si>
  <si>
    <t>SSE RECIBE CORREO ELECTRÓNICO POR PARTE DE LA FISCALÍA 80 ESPECIALIZADA EL DÍA 26 DE JUNIO, EN EL CUAL EL SR. FISCAL MENCIONA LA GRAN CARGA LABORAL QUE TIENE EL DESPACHO, MOTIVO POR EL CUAL, EN ORDEN DE LLEGADA DE CADA DENUNCIA, SE ANALIZARA CADA CASO.</t>
  </si>
  <si>
    <t>INVESTIGACION</t>
  </si>
  <si>
    <t xml:space="preserve">                  (2024-00120)
11001310301820240012000</t>
  </si>
  <si>
    <t>JUZGADO 18 CIVIL DEL CIRCUITO</t>
  </si>
  <si>
    <t>MARTHA RUTH ARDILA HERRERA</t>
  </si>
  <si>
    <t>RENANIA URAPANES</t>
  </si>
  <si>
    <t>ADMITE DEMANDA 08-05-2024, SE NOTIFICO DEMANDADOS PENDIENTE INGRESO AL DESPACHO</t>
  </si>
  <si>
    <t>2016-00168- 2023-000030</t>
  </si>
  <si>
    <t>JUZGADO 3 CIVIL CIRCUITO DE ZIPAQUIRA</t>
  </si>
  <si>
    <t>AGENCIA NACIONAL DE INFRAESTRUCTURA</t>
  </si>
  <si>
    <t>FONDO NACIONAL DE GARANTÍAS - DISTRITO CAPITAL (HACIENDA)</t>
  </si>
  <si>
    <t>EXPROPIACIÓN CAJICA ANI</t>
  </si>
  <si>
    <t xml:space="preserve">EXPROPIACIÓN JUDICIAL ANI </t>
  </si>
  <si>
    <t>2-1580</t>
  </si>
  <si>
    <t>2.556.432.000</t>
  </si>
  <si>
    <t>SEGUIMIENTO AL PROCESO: VERIFICAR AUTO QUE FIJA FECHA PARA AUDIENCIA DE OPOSICION DE AVALUO</t>
  </si>
  <si>
    <t>SEGUIMIENTO AL PROCESO. VERIFICAR AUTO QUE FIJA FECHA PARA AUDIENCIA DE OPOSICION DE AVALUO</t>
  </si>
  <si>
    <t>2015-00746</t>
  </si>
  <si>
    <t>JUZGADO 4 CIVIL CIRCUITO DE BOGOTA</t>
  </si>
  <si>
    <t>PARTICION Y VENTA INMUEBLE 2-1581</t>
  </si>
  <si>
    <t>2-1581</t>
  </si>
  <si>
    <t>2020-00410
(11001310301620200041000)</t>
  </si>
  <si>
    <t>NADIME AMPARO YAVER LICHT</t>
  </si>
  <si>
    <t>NULIDAD DE ESCRITUA PUBLICA</t>
  </si>
  <si>
    <t>FALSEDAD EN DOCUMENTO PUBLICO</t>
  </si>
  <si>
    <t>MEDIANTE ESCRITURA PÚBLICA 1385 DEL 10 DE JULIO DEL 2019 DE LA NOTARIA CINCUENTA Y OCHO (58) DEL CÍRCULO DE BOGOTÁ, BOGOTÁ D.C., DEPARTAMENTO ADMINISTRATIVO DE LA DEFENSORIA DEL ESPACIO PUBLICO, ENTIDAD PÚBLICA EN SU CALIDAD DE VENDEDORA POR INTERMEDIO DE SU DIRECTORA Y ARQUITECTA NADIME AMPARO YAVER LICH TRANSFIERE A TÍTULO DE VENTA AL SEÑOR FRANCISCO DANIEL GOMEZ ZULUAGA, MAYOR DE EDAD, DOMICILIADO Y RESIDENCIADO EN LA CIUDAD DE BOGOTÁ, IDENTIFICADO CON LA CÉDULA DE CIUDADANÍA NRO.80.229.739, EL PREDIO CON NOMENCLATURA URBANA ACTUAL NUMERO SETENTA -SETENTA Y UNO (70-71) DE LA CARRERA VEINTINUEVE C (29C) Y RUPI 2-1817.</t>
  </si>
  <si>
    <t>LOS ALCAZARES</t>
  </si>
  <si>
    <t>2-1817</t>
  </si>
  <si>
    <t>NO</t>
  </si>
  <si>
    <t xml:space="preserve">LOS DEMANDADOS CONTESTARON LA REFORMA DE LA DEMANDA CON EXCEPCIONES PREVIAS Y DE FONDO, SE DESCORRIO EL TRASLADO DE CADA UNA DE LAS RESPUESTAS EL 15 DE JUNIO DEL 2022 </t>
  </si>
  <si>
    <t>EL JUZGADO ENVIO EL PROCESO AL 68 ADMINISTRATIVO POR JURISDICCIÓN, PENDIENTE CALIFICACION DEL JDO.</t>
  </si>
  <si>
    <t>2010-01004</t>
  </si>
  <si>
    <t>BERTHA LIGIA LOPEZ RIVERA</t>
  </si>
  <si>
    <t>CIUDAD BACHUE - DEFRAUDACION DE LA PROPIEDAD</t>
  </si>
  <si>
    <t>FALSEDAD EN DOCUMENTO PUBLICO - ESTAFA  - ALO</t>
  </si>
  <si>
    <t>EN EL MARCO DE QUERELLA POLICIVA SE HACE VALER FMI FALSO - ALO</t>
  </si>
  <si>
    <t>BOCHICA COMPARTIR</t>
  </si>
  <si>
    <t>SEGUIMIENTO A ORDENES A PJ</t>
  </si>
  <si>
    <t>2016-00556</t>
  </si>
  <si>
    <t>JUZGADO 41 CIVIL DEL CIRCUITO</t>
  </si>
  <si>
    <t>EDUARDO PATARROYO CORDOBA</t>
  </si>
  <si>
    <t>DADEP - DISTRITO CAPITAL Y OTROS</t>
  </si>
  <si>
    <t>DIVISORIO - PARTICION Y ENTREGA RUPI 2-1858</t>
  </si>
  <si>
    <t>2-1858</t>
  </si>
  <si>
    <t>2015-00570</t>
  </si>
  <si>
    <t>JUZGADO 1 CIVIL DEL CIRCUITO DE FUNZA</t>
  </si>
  <si>
    <t>PARTICION Y VENTA INMUEBLE 2-1958 TENJO</t>
  </si>
  <si>
    <t>2-1958</t>
  </si>
  <si>
    <t>SE ESPERA AUTO QUE ORDENE LA DIVISIÓN CUANDO SE TERMINE DE NOTIFICAR POR PARTE DE LOS DEMANDANTES</t>
  </si>
  <si>
    <t>A LA ESPERA DE AUTO QUE ORDENE PARTICIÓN INMUBLE, DIVISIÓN, NOMBRAMIENTO AUXILIAR PAR AVALUO Y POSTERIOR REMATE</t>
  </si>
  <si>
    <t>2018-00399</t>
  </si>
  <si>
    <t>JUZGADO 20 CIVIL CIRCUITO DE BOGOTA</t>
  </si>
  <si>
    <t>JORGE ABELLO</t>
  </si>
  <si>
    <t>DIVISION Y SUBASTA</t>
  </si>
  <si>
    <t xml:space="preserve">POR PARTE DEL DEMANDANTE SE PRETENDE QUE SE SUBASTE EL INMUEBLE Y SEA REPARTIDO EL DINERO DE ACUERDO A LOS PORCENTAJES DE PROPIEDAD CRA 92 No. 150 - 56 INT 2 </t>
  </si>
  <si>
    <t>2-1960</t>
  </si>
  <si>
    <t>SEGUIMIENTO PROCESAL - NOTIFICCIONES Y VINCULACIÓN</t>
  </si>
  <si>
    <t>2022-00013
11001310302820220001300,</t>
  </si>
  <si>
    <t>JUZGADO 28 CIVIL DEL CIRCUITO DE BOGOTÁ</t>
  </si>
  <si>
    <t>JOSELYN LOPEZ</t>
  </si>
  <si>
    <t>RECUPERAR BIEN FISCAL 2-1975</t>
  </si>
  <si>
    <t>Se interpone demanda DECLARATIVA REIVINDICATORIA, en contra del señor  JOSELYN LOPEZ, mayor de edad, domiciliado y residenciado en la ciudad de Bogotá, identificado con la cédula de ciudadanía Nro. 79.837.355 de Bogotá y de su núcleo familiar, por la indebida ocupación del predio Fiscal ubicado en la calle 34 Nro. 17-44, con folio de matrícula inmobiliaria 050C-464111 CHIP AAA0083HOCX y Registro Único de Patrimonio Inmobiliario (RUPI) 2-1975.</t>
  </si>
  <si>
    <t>TEUSAQ</t>
  </si>
  <si>
    <t>2-1975.</t>
  </si>
  <si>
    <t>AUTO ADMISORIO DE LA DEMANDA, ESTA EN NOTIFICACION DE LA MISMA AL DEMANDADO</t>
  </si>
  <si>
    <t>RELEVA CURADOR 14-06-2024</t>
  </si>
  <si>
    <t>2021-00030</t>
  </si>
  <si>
    <t>JUZGADO 16 CIVIL DEL CIRCUITO DE BOGOTA</t>
  </si>
  <si>
    <t xml:space="preserve">CENTRAL DE INVERSIONES S.A. - CISA </t>
  </si>
  <si>
    <t>SECRETARIA DE HACIENDA DE BOGOTA</t>
  </si>
  <si>
    <t>EL DEMANDANTE SOLICITA LA VENTA DEL INMUEBLE IDENTIFICADO CON EL NÚMERO DE MATRÍCULA INMOBILIARIA NO. 50N-20227124 DE LA OFICINA DE REGISTRO DE INSTRUMENTOS PÚBLICOS DE BOGOTÁ, UBICADO EN LA DIRECCIÓN AK 45 106B 28 AP 503 EDIFICIO LANCASTER HOUSE, BOGOTÁ, TENIENDO EN CUENTA QUE EL 23 DE SEPTIEMBRE DE 2013 CISA ADQUIRIÓ EL 61.8% DEL INMUEBLE MEDIANTE TRANSFERENCIA DE DOMINIO DE BIENES FISCALES A TÍTULO GRATUITO CONFORME RESOLUCIÓN NO. 8027 DEL 23 DE SEPTIEMBRE DE 2013 DE LA DIRECCIÓN DE IMPUESTOS Y ADUANAS NACIONALES – DIAN Y EL 22 DE FEBRERO DE 2012 MEDIANTE SENTENCIA PROFERIDA POR EL JUZGADO PRIMERO CIVIL DEL CIRCUITO DE BOGOTÁ LA SECRETARÍA DE HACIENDA DE BOGOTÁ ADQUIRIÓ, MEDIANTE DACIÓN EN PAGO, EL 38.2% DEL INMUEBLE</t>
  </si>
  <si>
    <t>DIVISION VENTA EN SUBASTA PÚBLICA INMUEBLE AK 45 No. 106B – 28 apto 503 Barrio San Patricio   identificado con el folio de Matricula Inmobiliaria No. 50N-20227124</t>
  </si>
  <si>
    <t>2-2042</t>
  </si>
  <si>
    <t>SE ENCUENTRA PENDIENTE AVALUO</t>
  </si>
  <si>
    <t>Por parte de la Secretaría de Hacienda Distrital en la contestación de la demanda solicitud la vinculación de la entidad, se espera pronunciamiento por parte del juzgado y se requirio avaluo para cuando se deba dar contestación de la demanda</t>
  </si>
  <si>
    <t>Notificaciones</t>
  </si>
  <si>
    <t>FISCALIA 106 SECCIONAL UNIDAD PRIMERA DE FE PUBLICA</t>
  </si>
  <si>
    <t>GUSTAVO VIVAS MONCADA - GUSTAVO LEON ZAMBRANO - AYDE RODIRGUEZ MORALES</t>
  </si>
  <si>
    <t>VENTA ZONAS CESION ZULIA</t>
  </si>
  <si>
    <t>FRAUDE PROCESAL - FALSEDAD DOCUMENTO PUBLICO - OBTENCION FRAUDULENTA DOCUMENTO PUBLICO</t>
  </si>
  <si>
    <t xml:space="preserve">URBANIZADOR LOTEA Y ENAJENA ZONAS DE CESION URBANIZACION ZULIA </t>
  </si>
  <si>
    <t>ZULIA</t>
  </si>
  <si>
    <t>2207</t>
  </si>
  <si>
    <t>SE ASISTE DE MANERA PRESENCIAL AL DESPACHO 02/04/24, EN LA QUE SE INFORMA QUE SE ESTAN ADELANTANDO LAS ACTUACIONES PERTINENTES PARA LA VINCULACIÓN DE LOS INDICIADOS MEDIANTE PERSONA AUSENTE POR QUÉ YA SE HIZO BÚSQUEDA SE ENVIARON TELEGRAMAS A RENDIR DECLARATORIA, POR ELLO SE VOLVERA AL DESPACHO AL CABO DE UN MES PARA REVISAR EL ESTADO</t>
  </si>
  <si>
    <t xml:space="preserve">INDAGACION </t>
  </si>
  <si>
    <t>2008-00307</t>
  </si>
  <si>
    <t>JUZGADO 70 CIVIL MUNICIPAL</t>
  </si>
  <si>
    <t>AIDE RODRIGUEZ MORALES - JOSE JAIRO ACOSTA BONILLA - CONSTRUCTORA ZULYA</t>
  </si>
  <si>
    <t>ZULYA</t>
  </si>
  <si>
    <t>PAGO GASTOS DE ESCRITURAS PARA REGISTRO EN NOTARIA. 
SEGUIMIENTO MANDAMIENTO EJECUTIVO Y EMBARGO Y SECUEBTRO</t>
  </si>
  <si>
    <t>SENTENCIA DEFINITIVA - EN PROCESO VERIFICACIÓN DEL REGISTRO DEL FALLO EN FMI.
MEDIANTE AUTO DEL 21/09/2018, EL JUZGADO LIBRA MANDAMIENTO EJECUTIVO POR LA SUMA DE $761.955. ASI MISMO EMBARGO Y POSTERIOR SECUETRO DEL INMUEBLE 50S-40329201.NOTIFICACION PROCESO EJECUTIVO PARA COBRO DE COSTAS - SE FIJA DILIGENCIA SECUESTRO PARA EL 23/01/2023</t>
  </si>
  <si>
    <t>2020-00345</t>
  </si>
  <si>
    <t>JUZGADO 24 CIVIL CIRCUITO DE BOGOTA</t>
  </si>
  <si>
    <t xml:space="preserve">DISTRITO CAPITAL - DADEP </t>
  </si>
  <si>
    <t>DIVISION Y SUBASTA PUBLICA</t>
  </si>
  <si>
    <t>POR PARTE DEL DEMANDTE SE PRETENDE QUE SE SUBASTE EL INMUEBLE Y SEA REPARTIDO EL DINERO DE ACUERDO A LOS PORCENTAJES DE PROPIEDAD</t>
  </si>
  <si>
    <t>2-2094</t>
  </si>
  <si>
    <t>SEGUIMIENTO PROCESAL - DIVISION Y SUBASTA</t>
  </si>
  <si>
    <t>NOTIFICACIONES, SE CONTESTO LA DEMANDA  EL 11 DE OCTUBRE DE 2021, SE ENCUENTRA PENDIENTE TERMINAR DE INTEGRAR EL LITIS CONSORCIO NECESARIO DE LOS DEMÁS DEMANDADOS</t>
  </si>
  <si>
    <t>2014-00336</t>
  </si>
  <si>
    <t>JUZGADO 50 CIVIL CIRCUITO DE BOGOTA</t>
  </si>
  <si>
    <t>PARTICION Y VENTA INMUEBLE 2-2106</t>
  </si>
  <si>
    <t>2-2106</t>
  </si>
  <si>
    <t xml:space="preserve">SEGUIMIENTO PROCESAL  </t>
  </si>
  <si>
    <t>2020-00163</t>
  </si>
  <si>
    <t>JUZGADO 33 CIVIL DEL CIRCUITO DE BOGOTA</t>
  </si>
  <si>
    <t>CARLOS ALFONSO RUIZ CAMARGO</t>
  </si>
  <si>
    <t>SECRETARIA DE HACIENDA- SECRETARIA DEL HABITAD</t>
  </si>
  <si>
    <t>DIVISIÓN INMUEBLE VENTA EN SUBASTA PÚBLICA</t>
  </si>
  <si>
    <t>SE QUIERE LA VENTA DEL INMUEBLE No. 50C-654816</t>
  </si>
  <si>
    <t>2-2158</t>
  </si>
  <si>
    <t>$2.157.707.580</t>
  </si>
  <si>
    <t>VINCULACIÓN PROCESO, CONTESTACIÓN DEMANDA</t>
  </si>
  <si>
    <t>2011-00126</t>
  </si>
  <si>
    <t>JUZGADO 46 CIVIL DEL CIRCUITO DE BOGOTÁ</t>
  </si>
  <si>
    <t>LUIS HUMBERTO ARIZA TELLEZ</t>
  </si>
  <si>
    <t>INDETERMINADOS</t>
  </si>
  <si>
    <t>PREDIOS PRIVADOS SE SOLCITA DESVINCULACIÓN</t>
  </si>
  <si>
    <t>N/A BIEN PRIVADO</t>
  </si>
  <si>
    <t>24/102019</t>
  </si>
  <si>
    <t>30/11/2020</t>
  </si>
  <si>
    <t xml:space="preserve">EN EJECUCIÓN DE COSTAS, SE LICRÓ MANDAMIENTO DE PAGO Y SE PROCEDIÓ A NOTIFICAR A LOS DEMANDADOS. </t>
  </si>
  <si>
    <t xml:space="preserve"> EJECUCIÓN DE COSTAS</t>
  </si>
  <si>
    <t xml:space="preserve">2020-00249
(11001334306520200024900) </t>
  </si>
  <si>
    <t>JUZGADO 65 ADMINISTRATIVO DE BOGOTÁ</t>
  </si>
  <si>
    <t>ERASMO CONTRERAS SILVA</t>
  </si>
  <si>
    <t>TERMINACION DEL CONTRATO DE ARRENDAMIENTO Y RESTITUCION DEL BIEN INMUEBLE</t>
  </si>
  <si>
    <t>RESTITUCION DE BIEN INMUEBLE</t>
  </si>
  <si>
    <t>2-273</t>
  </si>
  <si>
    <t>AUTO ADMISO DE LA DEMANDA 17-08-2023</t>
  </si>
  <si>
    <t>DESIGNA CURADOR 26-06-2024</t>
  </si>
  <si>
    <t>2010-00011 
11001310304020100001100</t>
  </si>
  <si>
    <t>JUZGADO 40 CIVIL DEL CIRCUITO DE BOGOTÁ</t>
  </si>
  <si>
    <t>TERRAZAS DE SAN ANGEL</t>
  </si>
  <si>
    <t>RESTITUIR ZONAS DE ACUERDO A PLAN URBANISTICO CALLE 160 11 06</t>
  </si>
  <si>
    <t>SIN ORDENES - ORDENA DEMANDADO ENTREGAR Y ESCRITURAR ZONAS DE CESION</t>
  </si>
  <si>
    <t>EL PROCESO ESTA PARA REMATAR EL BIEN INMUEBLE LO CUAL NO SE HA LOGRADO POR FALTA DE POSTORES.</t>
  </si>
  <si>
    <t>AUTO PONE EN CONOCIMIENTO 10-05-2024</t>
  </si>
  <si>
    <t>(2022-00124)
11001310303520220012400</t>
  </si>
  <si>
    <t>JUZGADO 35 CIVIL DEL CIRCUITO</t>
  </si>
  <si>
    <t>DEFENSORIA DEL ESPACIO PUBLICO-DADEP</t>
  </si>
  <si>
    <t>HECTOR JULIO GOMEZ</t>
  </si>
  <si>
    <t>NULIDAD DE ESCRITURA PUBLICA DE COMPRAVCENTA</t>
  </si>
  <si>
    <t>MEDIANTE MEMORANDO 20192010025633 LA SUBDIRECCIÓN DE REGISTRO ,INMOBILIARIO, SOLICITO EL INICIO DE LAS ACCIONES JUDICIALES REFERENTE A LA TITULACION DEL PREDIO IDENTIFICADO CON EL FOLIO DE MATRICULA INMOBILIARIO 050N 20019650 DE UNA ZONAD E CESIÓN DEL DESARRROLLO LEGALIZADO CERROS NORTE. SE PUDO ESTABLECER QUE SOBRE LA ZONA DE CESIÓN ZONA VERDE EXISTE UN INMUEBLE QUE SE SOBRE PONE QUE REGISTRA COMO ´PROPIETARIO AL SEÑOR HECTOR JULIO GONZALEZ.</t>
  </si>
  <si>
    <t>CERROS NORTE</t>
  </si>
  <si>
    <t>2286-45</t>
  </si>
  <si>
    <t>LA CORTE CONSTITUCIONAL CONFIRMÓ LA COMPETENCIA EN EL JUZGADO 35 CIVIL DEL CIRCUITO</t>
  </si>
  <si>
    <t>ADMITE REFORMA DE LA DEMANDA 08-11-2024</t>
  </si>
  <si>
    <t xml:space="preserve">CONSTITUCIONAL </t>
  </si>
  <si>
    <t>2020-00213
 (11001310301020200021300)</t>
  </si>
  <si>
    <t>MARLENY  LOPEZ OVALLE</t>
  </si>
  <si>
    <t>PROTECCION DE ZONAS DE CESIÓN</t>
  </si>
  <si>
    <t> SOLICITÓ A ESTA DEFENSORÍA DEL ESPACIO PÚBLICO EL ACOMPAÑAMIENTO EN ACTUACIONES JUDICIALES Y ADMINISTRATIVAS CORRESPONDIENTES AL “PREDIO ZONA VERDE” UBICADO EN LA AVENIDA VILLAVICENCIO CALLE 43 SUR NRO. 80 B -11, 80 B-13, 80 B-15, 80 B-39 Y 80 B- 57, QUE CORRESPONDE A ESPACIO PÚBLICO IDENTIFICADOS CON EL RUPI 2292-28; PREDIO OCUPADO E INVADIDO ILEGALMENTE POR TERCEROS. UNA VEZ CONSULTADO EL SISTEMA DE INFORMACIÓN DE LA DEFENSORÍA DE ESPACIO PÚBLICO-SIDEP, SE PUDO OBTENER UNA INFORMACIÓN DEL PREDIO SEÑALADO, DE LA SIGUIENTE MANERA: “EL PREDIO HACE PARTE DE LA URBANIZACIÓN NUEVO KENNEDY</t>
  </si>
  <si>
    <t>NUEVO KENENDY</t>
  </si>
  <si>
    <t>2292-28</t>
  </si>
  <si>
    <t>ADMITIDA LA DEMANDA, SE LES NOTIFICO LA MISMA A LOS DEMANDADOS, A LA COMUNIDAD POR AVISO</t>
  </si>
  <si>
    <t>SENTENCIA A FAVOR DE LA ENTIDAD, FUE APELADO POR LOS DEMANDADOS ESTA EN EL TSDJ QUE CONFIRMA LA SENTENCIA.</t>
  </si>
  <si>
    <t>2015-19651</t>
  </si>
  <si>
    <t>FISCALIA 79 SUB UNIDAD DE TIERRAS - REASIGNADO - NO SE SABE A CUÁL DESPACHO</t>
  </si>
  <si>
    <t>SILVIA HELENA VARGAS TELLEZ - TEODOLINDO MUÑOZ CHACON - JOSE EFRAIN OBANDO - BLANCA INES CRUZ BERNAL - ELSA FORERO BUITRAGO - MARIBEL GOMEZ PINTO - ALVARO MURCIA LEON - MARIBEL FERNANDEZ OSPINA - ASOCIACION PROVIVIENDA DE TRABAJADORES</t>
  </si>
  <si>
    <t>FRAUDE PROCESAL - PREVARICATO</t>
  </si>
  <si>
    <t>VENTA DE BIEN DE USO PUBLICO</t>
  </si>
  <si>
    <t>2329-12</t>
  </si>
  <si>
    <t>visita 11/04/204 el fiscal se ecnuentra en audiencia pero da los datos de contacto a traves de los cuales se pueden presentar solicitudes leon.fernandezfiscalia.gov.co y 3143002422</t>
  </si>
  <si>
    <t>2022-00046
25000233600020220004600</t>
  </si>
  <si>
    <t>LA DEMANDANTE NAMASTE PRETENDE EL RECONOCIMIENTO DE LOS  DAÑOS Y PERJUICIOS POR NO LAS ACCIONES REALIZADAS POR EL DISTRITO CAPITAL SOBRE EL PREDIO CARVAJAÑ</t>
  </si>
  <si>
    <t>CONTESTACION DE LA DEMANDA  DENTRO DEL TÉRMINO</t>
  </si>
  <si>
    <t>DESPACHO 06-03-2024</t>
  </si>
  <si>
    <t>2015-11545</t>
  </si>
  <si>
    <t>SECUNDINO MUÑOZ CORTES - LYDA ALEJANDRA MARTINEZ MUÑOZ</t>
  </si>
  <si>
    <t>NUTRIR</t>
  </si>
  <si>
    <t>2-334</t>
  </si>
  <si>
    <t xml:space="preserve">EN REVISION DE PROCEDENCIA DE SOLICITUD DE  DESAARCHIVO  </t>
  </si>
  <si>
    <t xml:space="preserve">2Carpetas </t>
  </si>
  <si>
    <t>2018-00383
11001032400020180038300</t>
  </si>
  <si>
    <t>CONSEJO DE ESTADO SECCION 1ERA</t>
  </si>
  <si>
    <t>JOSE OTONIEL SOTO LOPEZ</t>
  </si>
  <si>
    <t>DEPARTAMENTO ADMINISTRATIVO DE LA DEFENSORÍA DEL ESPACIO PÚBLICO</t>
  </si>
  <si>
    <t xml:space="preserve">MEDIO DE CONTROL DE NULIDAD </t>
  </si>
  <si>
    <t>INSTAURADO CONTRA LA IDENTIFICACIÓN PLANO DEFINITIVO DEL PLANO DE LOTEO 427/4 ELABORADO POR EL INSTITUTO DE CRÉDITO DISTRITAL DE BOGOTÁ EN EL AÑO DE 1961, POR MEDIO DEL CUAL SE DELIMITARON INICIALMENTE LOS LOTES DE LA URBANIZACIÓN EL TEJAR; CONTRA LA RESOLUCIÓN 52501 DE 13 DE NOVIEMBRE DE 2007; Y DE LOS OFICIOS 2017EE060021 DE 28 DE JUNIO DE 2017 Y 2017EEE0076722 DE 15 DE AGOSTO DE 2017, EXPEDIDOS POR MINISTERIO DE VIVIENDA, CIUDAD Y TERRITORIO, POR MEDIO DE LOS CUALES SE NIEGA LA ELABORACIÓN DEL PLANO DEFINITIVO DE LA URBANIZACIÓN BARRIO EL TEJAR. CON SOLICITUD DE SUSPENSIÓN PROVISIONAL.</t>
  </si>
  <si>
    <t>EL TEJAR</t>
  </si>
  <si>
    <t>2426</t>
  </si>
  <si>
    <t>DECLARACIÓN DEL JUZGADO SOBRE LAS EXCEPCIONES PRESENTADAS.</t>
  </si>
  <si>
    <t>AL DESPACHO DESDE EL 24 DE JUNIO DE 2023 CON CONTESTACIONES DE DEMANDA</t>
  </si>
  <si>
    <t>2015-00114</t>
  </si>
  <si>
    <t>FISCALIA 28 INTERVENCIÓN TARDÍA</t>
  </si>
  <si>
    <t xml:space="preserve">MYRIAM FAJARDO - JULIO RAMIRO FAJARDO ORTIZ </t>
  </si>
  <si>
    <t>LAS LUCES ZONA VERDE</t>
  </si>
  <si>
    <t xml:space="preserve">FRAUDE PROCESAL </t>
  </si>
  <si>
    <t>HIPOTECA SOBRE ZONAS DE CESION - ZONA VERDE</t>
  </si>
  <si>
    <t>LAS LUCES</t>
  </si>
  <si>
    <t>2436-22</t>
  </si>
  <si>
    <t xml:space="preserve">25/04/24 se recibe correo electrònico por parte de la fiscalia como contestaciòn a la petición elevada de impulso procesal indicando que debera presentarse en las intalaciones del despacho para discutir las labores investigativas desplegadas dentro del mismo </t>
  </si>
  <si>
    <t xml:space="preserve">2020-00010
11001333603720200001000 </t>
  </si>
  <si>
    <t>TRIBUNALADMINISTRATIVO DE CUNDINAMARCA SECCION TERCERA ORAL</t>
  </si>
  <si>
    <t>INVERSIONES PEDRO JOSÉ SALMANCA LTDA</t>
  </si>
  <si>
    <t>DADEP - SEC HACIENDA - SUPERINTENDENCIA DE NOTARIADO Y REGISTRO</t>
  </si>
  <si>
    <t xml:space="preserve"> FALLA DEL SERVICIO POR APLICACIÓN INDEBIDA DEL 
DECRETO 823 DEL 2000 - Indebido cobro coactivo en el año 2011 iniciado por la Secretaría de Hacienda.</t>
  </si>
  <si>
    <t>SE DECLARE QUE LAS ENTIDADES DEMANDADAS POR SUS ACCIONES Y OMISIONES CAUSARON UN PERJUICIO A LA FIRMA INVERSIONES J PEDRO SALAMANCA</t>
  </si>
  <si>
    <t>1.095.000.000</t>
  </si>
  <si>
    <t>2436-25
2436-26</t>
  </si>
  <si>
    <t>24/04/2024</t>
  </si>
  <si>
    <t>AL DESPACHO PARA FALLO SEGUNDA INSTANCIA</t>
  </si>
  <si>
    <t>EN APELACIÓN DE SENTENCIA</t>
  </si>
  <si>
    <t>2020-00103
 (110013336036202000010300)</t>
  </si>
  <si>
    <t>JUZGADO 36 ADMINISTRATIVO</t>
  </si>
  <si>
    <t>ANGELA MARIA FAJARDO</t>
  </si>
  <si>
    <t>TERMINACION DEL  CONTRATO DE ARRENDAMIENTO</t>
  </si>
  <si>
    <t>TENIENDO EN CUENTA QUE LA DEFENSORÍA DEL ESPACIO PÚBLICO SUSCRIBIÓ UN CONTRATO DE ARRENDAMIENTO SOBRE UN BIEN FISCAL UBICADO EN LA CARRERA 6 NRO. 12-65 DE LA CIUDAD DE BOGOTÁ CON LA SEÑORA ANGELA MARIA FAJARGO SEGURA, IDENTIFICADA CON LA CÉDULA DE CIUDADANÍA NRO. 51.784.625 DE BOGOTÁ, LA CUAL HA INCUMPLIDO CON LAS OBLIGACIONES CONTRACTUALES DE PAGAR LOS CÁNONES DE ARRENDAMIENTO DENTRO DEL TÉRMINO PACTADO, ASÍ MISMO, DEBIDO A LAS PRÓRROGAS AUTOMÁTICAS QUE SE HAN ORIGINADO DESDE EL 28 DE FEBRERO DEL 2003 LO CUAL ESTÁ PROHIBIDO POR LA LEY 80 DE 1993, LA SAI HA DADO POR TERMINADO EL CONTRATO DE ARRENDAMIENTO Y DEBIDO A QUE LA ARRENDATARIA NO HA HECHO LA ENTREGA FORMAL Y MATERIAL DEL BIEN FISCAL</t>
  </si>
  <si>
    <t>2-439</t>
  </si>
  <si>
    <t>ADMITIDA LA DEMANDA, SE LE NOTIFICÓ A ANGELA MARIA FAJARDO DE LA MISMA, HA VENIDO PAGANDO LOS SALDOS ADEUDADOS DE CANON DE ARRENDAMIENTO, ESTA AL DESPACHO DESDE 25-07-2022</t>
  </si>
  <si>
    <t>DESIGNA CURADOR 06-08-2024</t>
  </si>
  <si>
    <t>2012-00634</t>
  </si>
  <si>
    <t>JUZGADO 44 CIVIL DEL CIRCUITO DE BOGOTÁ</t>
  </si>
  <si>
    <t xml:space="preserve">JAVIER BAQUERO TORRES Y OMAR GERMÁN LEGUIZAMON </t>
  </si>
  <si>
    <t>INVERSIONES AGROPECUARIAS LA ESTANCIA LTDA.</t>
  </si>
  <si>
    <t>PERTENENCIA SOBRE PREDIO PÚBLICO DEL DISTRITO CAPITAL</t>
  </si>
  <si>
    <t xml:space="preserve">PARTICULARES PRESCRIBIERON LA ZONA VERDE No. DE LA URBANIZACIÓN LA ESTANCIA LTDA. </t>
  </si>
  <si>
    <t xml:space="preserve">LA ESTANCIA LTDA. </t>
  </si>
  <si>
    <t>953-12</t>
  </si>
  <si>
    <t>EN FECHA 17-07-2024, SE RECHAZA DE PLANO EL INCIDENTE DE NULIDAD, SE PRESENTA APELACIÓN QUE ES CONFIRMADA EN EL TRIBUNAL EL 28-08-2024.</t>
  </si>
  <si>
    <t>NIEGA NULIDAD</t>
  </si>
  <si>
    <t xml:space="preserve">2010-00010 </t>
  </si>
  <si>
    <t>JUZGADO 43 CIVIL DEL CIRCUITO DE BOGOTÁ</t>
  </si>
  <si>
    <t>HENRY CUBIDES OLARTE</t>
  </si>
  <si>
    <t>ENTREGA DE ZONAS DE CESION MONTIJO</t>
  </si>
  <si>
    <t>MONTIJO</t>
  </si>
  <si>
    <t>REALIZACION BIOPARQUE</t>
  </si>
  <si>
    <t xml:space="preserve">SEGUIMIENTO AUDIENCIAS FIJADAS POR JUEZ PARA CUMPLIMIENTO FALLO - URBANIZADOR PRESENTARÁ CRONOGRAMA PARA ENTREGA ZONAS - SE PREVE CELEBRACIÓN CONTRATO INTERADMINISTRATIVO DADEP ALC LOCAL PARA EJECUCIÓN BIOPARQUE Y RETIRO TITULO JUDICIAL.
EL DESPACHO CITO PARA AUDIENCIA DE VERIFICACION DE FALLO EL 10/05/2022 LA CUAL NO SE LLEVO A CABO POR INCAPACIDAD DEL JUEZ SIN EMBARGO SE ESTABLECIO QUE EL URBANIZADOR DEBE PRESENTAR INFORME DE CUMPLIMIENTO AL FALLO EL 11 DE MAYO DE 2022, YA QUE SE ENCUENTRA EN PROCESO INTERNO DE ESCOGENCIA DEL CONTRATISTA PARA LA ELABORACION DE LA RAMPA DE ACCESO PREVIA APROBACION DE LA SECRETARIA DE MOVILIDAD TANTO EN DISEÑO COMO EN PLANES DE MANEJO DEL TRANSITO, SE HACE LA CONSULTA DE LA RAMA JUDICIAL SE REGISTRA COMO ULTIMA ACTUACION RADICACION DE PODER ESPECIAL DE FECHA 23/05/2022, el 18 julio de 2022 recepcion de memorial solicitando fijar fecha de audiencia, se consulta en la web de la rama se registra como ultima actuacion radicacion de requerimiento personeria el 19 julio de 2022. Se fija audiencia de verificacion del fallo 10 Noviembre de 2022 a las 2:30 PM en acta se fija como fecha de radicacion de docimentacion en el DADEP la dpocumentacion para la entrega de zonas de cesion fijandose el 16-1-2023 , se radico escrito de fecha 17 01 2022 solicitando se resuelva incidente de desacato, se esta a la espera de fijacion de audiencia de cumplimiento/o incidente de desacato. atraves de auto de fecha 24 enero de 2023 Se fija como fecha de audiencia el dia 10 de Marzo de 2023 a las 2:30 pm para continuar con verificacion de cumplimiento de fallo. Se allega oficio Orfeo   20231300022223 por parte de la Alcladia Local de fontibon, para dar respuesta al mismo se elabora memorando 20231300022223  a fin de conocer el estaod actual del proceso. mediante correo electronico la profesional Adriana rivera informa que ya se encuentra revisada el ACTA DE ENTREGA SIMPLIFICADA de la urbanización y que la misma será remitida para ser suscrita por el apoderado del Urbanizador. Acta de entrega simplificada 023 de 9 Junio de 2023 se encuentra en incoporacion de las zonas SIDEP.  Auto de fecha 10 Noviembre de 2023 DECLARAR que Henry Cubides Olarte dio cumplimiento a lo ordenado en el pacto de cumplimiento a la sentencia proferida el día diez (10) de junio de dos mil once (2011), revocada parcialmente el 15 de marzo de 2012 por la Sala Civil del Tribunal Superior de Bogotá. auto de fecha  17-1-2024 auto ordena entregar titulos a favor del DADEP. 2-2-2024 se presenta informacion al despacho para el trámite de los titulos. se recibe deposito titulo judicial -SDH. mediante correo de fecha 20 septiembre de 2024 se informa  por parte de presupuesto que P de acuerdo a la respuesta emitida por la Dirección Distrital de Presupuesto frente a la solicitud de adición presupuestal por valor de $181.599.000, recursos provenientes del fallo emitido por el Juzgado 43 Civil del Circuito el 2 de diciembre de 2015 en la Acción Popular No. 2010-00010-00. De acuerdo con la respuesta, los recursos se incluirán en el proyecto de presupuesto de inversión de la entidad para el año 2025, y serán comunicados con la cuota global de gasto que remita la Secretaría Distrital de Hacienda. </t>
  </si>
  <si>
    <t>2014-00241
(11001310300520140024100)</t>
  </si>
  <si>
    <t>JUEZGADO 5 CIVIL DEL CIRCUITO DE BOGOTÁ D.C.</t>
  </si>
  <si>
    <t>ANANÍAS SOTO ZAPATA Y JAIME EDUARDO LOPEZ GARCÍA</t>
  </si>
  <si>
    <t>INMOBILIARIA CONFIANZA</t>
  </si>
  <si>
    <t>PERTENENCIA SOBRE UN PREDIO PÚBLICO</t>
  </si>
  <si>
    <t>URB. LA VEGA DEL BOSQUE</t>
  </si>
  <si>
    <t xml:space="preserve">NO CUENTA CON RUPI, POR CUANTO NO SE HA INCORPORADO </t>
  </si>
  <si>
    <t xml:space="preserve">SEGUIMIENTO A LA SOLICITUD DE TERMINACIÓN </t>
  </si>
  <si>
    <t>NOTIFICACIONES-INTEGRACIÓN DEL CONTRADICTORIO</t>
  </si>
  <si>
    <t>2015-00935
11001310303420150093500</t>
  </si>
  <si>
    <t>JUZGADO 34 CIVIL DEL CIRCUITO  DE ORALIDAD DE BOGOTÁ</t>
  </si>
  <si>
    <t>CONSTRUMAX</t>
  </si>
  <si>
    <t>ESCRITURACION Y ENTREGA ZONAS DE CESION URBANIZACION COLSUBSIDIO</t>
  </si>
  <si>
    <t>COLSUBSIDIO</t>
  </si>
  <si>
    <t>3930-1,3930-2,3930-3</t>
  </si>
  <si>
    <t>representación legal de la CONSTRUCTORA CONSTRUMAX S.A.S. y el certificado de la supersociedades donde consta que la constructura esta en reorganización. se envía oficio al IDRD con Radicado DADEP No. 20221100123411 y al IDU con Radicado DADEP No. 20221100123451 solicitando información de las zonas de cesión. El dia 18 de agosto de 2022 se profiere auto aprobando la liquidación de costas. el 01/09/22, se recibe respuesta del IDU rad DADEP 20224000204242 donde se manifiesta que el urbanizador no ha realizado ningun tipo de gestión, el 05/10/22, se recibe respuesta de la Supersociedades rad DADEP 20224000238702 donde nos remiten los datos del liquidador de la sociedad, el 07/10/22, se procede a hacer el requerimiento al liquidador con rad DADEP 20221100158731,  el 01-12-2022, se solicita vincular al proceso de la referencia, al liquidador de la citada sociedad, Doctor Giovanni Mauricio Vargas Uribe, de igual manera, se remite al juzgado las respuestas de las entidades IDRD e IDU, donde manifiestan que el urbanizador responsable del desarrollo urbanístico Colsubsidio, no ha efectuado ningún tipo de gestión para la presentación de los estudios y diseños técnicos para la validación y/o ejecución de las obras en áreas de cesión gra auto 24-1-2024 REQUIERE DADEP TERMINO EJECUTORIA ALLEGUE CERTIFICADO EXISTENCIA REPRESENTACION LEGAL DEMANDADA.- NOTIFICADO POR ESTADO ELECTRONICO No. 002 DEL 25 DE ENERO DE 2024 PUBLICADO PAGINA WEB RAMA JUDICIAL DONDE SE ENCUENTRA ESCANEADO PARA CONSULTA. se  da tramite al requerimiento mediante orfeo 20241300010681 de fecha 30-1-2024 se radica en el juzgado. 17 de abril de 2024 el juzgado aperturó incidente de desacato correr traslado por 3 dias  vencen el 23 de abril el termino, Se solicita visita a la urbanizacion se informa por parte de registro que se hara el 4 septiembre de 2024. se allega desde registro informe tecnico actualizado 2024.  4-12-2024 ingresa al despacho</t>
  </si>
  <si>
    <t xml:space="preserve">2011-00313 </t>
  </si>
  <si>
    <t>FUNDACION POLITECNICO GRANCOLOMBIANO - FIDUCIARIA BOGOTA</t>
  </si>
  <si>
    <t>ENTREGA ZONAS DE CESIÓN ARRAYANES</t>
  </si>
  <si>
    <t>ENTREGA Y ESCRITURACION ZONAS DE CESION URBANIZACION CAMINO DE ARRAYANES</t>
  </si>
  <si>
    <t>CAMINO DE ARRAYANES</t>
  </si>
  <si>
    <t xml:space="preserve"> NA  </t>
  </si>
  <si>
    <t xml:space="preserve"> DEMANDANTE ENTREGAR Y ESCRITURAR </t>
  </si>
  <si>
    <t>El proceso se encuentra con fallo favorable ejecutoriado y en tramite de cumplimiento por los urbanizadores condenados. 2023-07-06 el proceso se encuentra con archivo definitivo en rama judicial desde 2017-06-16.</t>
  </si>
  <si>
    <t>2014-00309</t>
  </si>
  <si>
    <t>JUZGADO 47 CIVIL DEL CIRCUITO  DE BOGOTÁ</t>
  </si>
  <si>
    <t>ALVARO DE JESUS ABONDANO</t>
  </si>
  <si>
    <t>PERTENENCIA SANEAR PREDIO SED LA BELLEZA</t>
  </si>
  <si>
    <t>PERTENENCIA SANEAR PREDIO CED LA BELLEZA</t>
  </si>
  <si>
    <t>LA BELLEZA</t>
  </si>
  <si>
    <t>685-53 Y 685-31</t>
  </si>
  <si>
    <t>25-09-2023</t>
  </si>
  <si>
    <t>SENTENCIA FAVORABLE DE SEGUNDA INSTANCIA</t>
  </si>
  <si>
    <t>CON SENTENCIA FAVORABLE DE SEGUNDA INSTANCIA</t>
  </si>
  <si>
    <t>2015-00578
 11001333603820150057800</t>
  </si>
  <si>
    <t>JUZGADO 38 - ADMINISTRATIVO DE ORALIDAD</t>
  </si>
  <si>
    <t>CARLOS ANDRES CRUZ VANEGAS</t>
  </si>
  <si>
    <t>INCUMPLIMIENTO CONTRATO ARRENDAMIENTO 009-2000</t>
  </si>
  <si>
    <t>EL JUZGADO APROBÓ EL 31 DE ENERO DEL 2022 LA LIQUDIDACION DEL CREDITO Y ORDENÓ LA DILIGENCIA DE SECUESTRO. MEDIANTE AUTO DEL 20 DE ABRIL DE 2018 EL JUZGADO ORDENA DECRETAR MEDIDA CUATELAR DE EMBARGO Y SECUESTRO A FAVOR DEL DADEP DEL 14.33%  DEL INMUEBLE FMI 50C-1111 CARREA 37 No. 2 51 LOTE 32 MANZANA M.</t>
  </si>
  <si>
    <t>EL JUZGADO APROBÓ LA LIQUDACION DEL CREDITO Y DECRETÓ OTRA MEDIDA CAUTELAR  22-08-2022</t>
  </si>
  <si>
    <t>No. 25000233600020190006500</t>
  </si>
  <si>
    <t>TRIBUNAL ADMININSTRATIVO DE CUNDINAMARCA SECCIÓN TERCERA SUBSECCION " "</t>
  </si>
  <si>
    <t>TRANSMILENIO S.A.
ESTE ES MI BUS S.A.S</t>
  </si>
  <si>
    <t xml:space="preserve">PAGO POR CONCEPTO DE ARRENDAMIENTO DEL INMUBELE SIN AUTORIZACIÓN </t>
  </si>
  <si>
    <t xml:space="preserve">TRASNSMILENIO Y ESTE ES MI BUS S.A.S., SUSCRIBIERON CONTRATO DE ARRENDAMIENTO SIN AUTORIZACIÓN DEL DADEP GENERANDO RECURSOS QUE NO ENTRARON A LA ENTIDAD </t>
  </si>
  <si>
    <t>2467-2</t>
  </si>
  <si>
    <t>RESOLUCIÓN DEL JUZGADO SOBRE LAS EXCEPCIONES PRESENTADAS.</t>
  </si>
  <si>
    <t>2017-00281</t>
  </si>
  <si>
    <t>JUZGADO 9 CIIVL CIRCUITO BOGOTA</t>
  </si>
  <si>
    <t>AIDA JEANNETTE SANCHEZ CASALLAS</t>
  </si>
  <si>
    <t xml:space="preserve">CONJUNTO RESIDENCIAL LA PRIMAVERA MANZANA 20 </t>
  </si>
  <si>
    <t>CONJUNTO RESIDENCIAL LA PRIMAVERA MANZANA 20 - CERRAMIENTO ZONAS VERDES</t>
  </si>
  <si>
    <t>EL TINTAL</t>
  </si>
  <si>
    <t>2487-15 2487-11 2487-5</t>
  </si>
  <si>
    <t xml:space="preserve">Se vincula al DADEP en el auto admisorio de la demanda de fecha 14 de junio de 2017,Fijación de estado de 31 de marzo de 2022, Córrase traslado a los extremos en litigio y por el término legal de tres (3) días de la prueba por informe rendida por la Secretaría de Planeación de Bogotá, D. C. (art. 277 CGP). se verifica en la pagina de la rama judicial el dia 26 de agosto de 2022 y el proceso sigue al despacho. </t>
  </si>
  <si>
    <t>2015-00067</t>
  </si>
  <si>
    <t>JUZGADO 2 CIVIL DEL CIRCUITO DE YOPAL</t>
  </si>
  <si>
    <t>EMPRESA DE ENERGÍA DE BOYACA</t>
  </si>
  <si>
    <t>GLORIA MARIA SANDOVAL DE CAMACHO Y OTROS</t>
  </si>
  <si>
    <t>POR DEFINIR A PARTIR DE LA NOTIFICACIÓN</t>
  </si>
  <si>
    <t xml:space="preserve">2-1848 </t>
  </si>
  <si>
    <t>AUDIENCIA DEL ARTÍCULO 313 LLEVADA A CABO EL PASADO 09-10-2024, CONTINUA EL PROXIMO 12-11-2024.</t>
  </si>
  <si>
    <t>PRÁCTICA DE PRUEBAS</t>
  </si>
  <si>
    <t>2019-00842</t>
  </si>
  <si>
    <t>JUZGADO 25 CIVIL MUNICIPAL DE BOGOTÁ</t>
  </si>
  <si>
    <t>SABINO SUAREZ PINZON Y OTRA</t>
  </si>
  <si>
    <t>JUAN CLIMACO GIRALDO</t>
  </si>
  <si>
    <t>BUENAVISTA DESARROLLO</t>
  </si>
  <si>
    <t>25-142</t>
  </si>
  <si>
    <t>SE ESPERA VINCULACION</t>
  </si>
  <si>
    <t>2019-00790
(11001400304120190079000)</t>
  </si>
  <si>
    <t xml:space="preserve">JUZGADO 41  CIVIL MUNICIPAL DE BOGOTÁ D.C.  </t>
  </si>
  <si>
    <t>JAIRO NORBERTO AGUILERA URREGO</t>
  </si>
  <si>
    <t>PEDRO MANUEL GONZALEZ FERNANDEZ
JAIME VILLEGAS ARBELAEZ
DEMAS PERSONAS INDETERMINADAS</t>
  </si>
  <si>
    <t>Una vez revisado el Mapa Digital de la Defensoría del Espacio Público – SIGDEP, el Sistema de información de la Defensoría del Espacio Público-SIDEP y el Sistema Integrado de Información Catastral –SIIC, el predio se ubica en la dirección: KR 5B 189 18 MJ, CHIP AAA0117HTAW y Matrícula Inmobiliaria 50N-679486, se pudo establecer que a la fecha se encuentra incluido parcialmente como bien de uso público o fiscal en el Inventario General de Espacio Público y Bienes Fiscales del Sector Central del Distrito Capital, a cargo del Departamento Administrativo de la Defensoría del Espacio Público, con el predio público identificado con el RUPI 25-15.</t>
  </si>
  <si>
    <t>BUENAVISTA</t>
  </si>
  <si>
    <t xml:space="preserve">25-15 </t>
  </si>
  <si>
    <t>ESTA EN TRAMITE DE ADMISION DE LA DEMANDA, SIN MOVIMIENTO DESDE OCTUBRE 2021, EL IMPULSO PROCESAL LE CORRESPONDE A LOS SUJETOS PROCESALES, NO ES NUESTRO ESTA ACTIVIDAD</t>
  </si>
  <si>
    <t>DESPACHO 27-06-2024</t>
  </si>
  <si>
    <t>2012-00600</t>
  </si>
  <si>
    <t>JUZGADO 15 CIVIL DEL CIRCUITO DE BOGOTÁ</t>
  </si>
  <si>
    <t>CONSTRUCTORA CONACERO</t>
  </si>
  <si>
    <t>ENTREGA Y ESCRITURACION ZONAS DE CESION AGRUPACION LOTE O</t>
  </si>
  <si>
    <t>LOTE O</t>
  </si>
  <si>
    <t xml:space="preserve">SEGUIMIENTO PROCESAL - DICTAMEN PERICIAL EN CURSO, EN TRÁMITE PAGO GASTOS.
Se declara hecho superado por carencia de objeto en la presente acción respecto de la totalidad de las pretensiones de la demanda. Condena en costas en $1.000.000 a favor del DADEP. 
El 02-02-2022 Se profirió Auto aprueba liquidación en los términos del auto del 19 de octubre de 2021 por el cual se corrigió el numeral 2 respecto a la condena en costas en favor de la parte demandante.Se dio inicio al procedimiento de cobro persuasivo        2023-07-06 seguimiento de cobro persuasivo </t>
  </si>
  <si>
    <t>COBRO COSTAS - COBRO PERSUASIVO</t>
  </si>
  <si>
    <t>1990-04296</t>
  </si>
  <si>
    <t>JUZGADO 18 FAMILIA DEL CIRCUITO DE BOGOTÁ</t>
  </si>
  <si>
    <t>JULIO GONZALEZ GOMEZ (CAUSANTE)</t>
  </si>
  <si>
    <t>HEREDEROS</t>
  </si>
  <si>
    <t>ADJUDICACION DE BIENES PARA RECONOCIMIENTO DE PREMIO</t>
  </si>
  <si>
    <t>SEGUIMIENTO PROCESAL - PENDIENTE ACTUACIONES A CARGA DE HEREDERO</t>
  </si>
  <si>
    <t>JUZGADO DEBE NOMBRAR AUXILIAR JUSTICIA QUE REALICE ESTUDIO TÉCNICO PARA DETERMINAR PORCIÓN TERRENO Y UBICACIÓN A REPARTIR ENTRE HEREDEROS</t>
  </si>
  <si>
    <t>2019-00339
(11001334306020190033900)</t>
  </si>
  <si>
    <t>FUNDACIÓN FORJA</t>
  </si>
  <si>
    <t>LIQUIDACIÓN JUDICIAL CONTRATO 110-00129--1-0-2013</t>
  </si>
  <si>
    <t>EL CONTRATO CAMEP 1 DE 2013 NO HA SIDO LIQUIDADO A LA FECHA DE PRESENTACIÓN DE LA DEMANDA</t>
  </si>
  <si>
    <t>2545-7
2545-8
2545-9
2545-10
2545-11
2545-12
2545-13
2545-14</t>
  </si>
  <si>
    <t>21/09/2023</t>
  </si>
  <si>
    <t>19/04/2024</t>
  </si>
  <si>
    <t>TERMINADO</t>
  </si>
  <si>
    <t>SOLICITUD DE CONSTANCIA DE EJECUTORIA</t>
  </si>
  <si>
    <t>2019-00369
11001310301320190036900</t>
  </si>
  <si>
    <t>JUZGADO 13 CIVIL DEL CIRCUITO DE BOGOTA</t>
  </si>
  <si>
    <t>INVERSIONES BOGOTÁ S.A</t>
  </si>
  <si>
    <t>PERTENENCIA  PREDIO LA GUACA</t>
  </si>
  <si>
    <t>PRESCRIPCIÓN ADQUISITIVA PREDIO LA GUACA</t>
  </si>
  <si>
    <t>LA GUACA</t>
  </si>
  <si>
    <t>2554-34</t>
  </si>
  <si>
    <t>SE NOTIFICÓ LA DEMANDA A LA PARTE DEMANDADA</t>
  </si>
  <si>
    <t>DESPACHO 28-05-2024</t>
  </si>
  <si>
    <t>2023-00153
(11001333502020230015300)</t>
  </si>
  <si>
    <t>JUZGADO 9 ADMINISTRATIVO  DE ORALIDAD DE BOGOTA D.C - SECCION SEGUNDA</t>
  </si>
  <si>
    <t>CURADURÍA URBANA 1° DE BOGOTÁ Y UNIVERSIDAD ESCUELA COLOMBIANA DE INGENIERÍA JULIO GARAVITO</t>
  </si>
  <si>
    <t xml:space="preserve"> ENTREGA ZONAS DE CESIÓN</t>
  </si>
  <si>
    <t>Se de la inaplicación total de los efectos contenidos en la Resolución No. 11001-1-21-2363 del 20 de octubre del 2021, de la Resolución No. 11001-1-22-0683 del 04 de marzo del 2022, proferidas por la Curaduría Urbana No. 1 de Bogotá D.C., así como del Plano Urbanístico CU1S284/4-00</t>
  </si>
  <si>
    <t>ESCUELA COLOMBIANA DE INGENIERIA</t>
  </si>
  <si>
    <t>2592-2, 2592-3,2592-4 y 2592-5</t>
  </si>
  <si>
    <t>EL 8-8-2023 SE NOTIFICA POR CORREO ELECTRONICO A RUTH CUBILLOS SALAMANDA VINCULACION CURADURIA URBANA  , 24-8-2023 SE RADICAN MEMORIALES AL DESPACHO, se fija fecha para audiencia de pacto de cumplimiento para el 11 de octubre de 2023 a las 9.00 am. Auto que decreta pruebas de fecha 12 Febrero de 2024. ordena decretó la siguiente: oficio al  Instituto Geográfico Agustín Codazzi para que rinda informe en el que determine si con la modificación presentada al DADEP por la Escuela Colombiana de Ingeniería se alteró la información morfológica, técnica y jurídica de las zonas de cesión destinadas a uso público, Prueba que se decretará imponiéndole la carga a la parte actora para que ejecute los trámites necesarios para la realización de dicho dictamen, entre otros, en cuanto al costo que se deba sufragar. auto de fecha  12-3-2024 auto aclara dictamen IGAC. 2024-03-12  AUTO QUE ACLARA REG-Adicionar los numerales primero y segundo de la parte resolutiva del auto proferido el 12 de febrero de 2014. se libra comunicacion a CATASTRO de fecha 8-4-2024 solicitando rendir dictamen se concede 20 dias.2024-05-03	RECIBE MEMORIALES	LOL-RESPUESTA OFICIO SE CORRE TRASLADO A SDP. 9-5-2024 sdp allega respuesta.mediante correo electronico se pone en conocimiento de SRI. AUTO FECHA 19 SEPTIEMBRE DE 2024 REQUIERE AL IGAC  10 DIAS PARA RENDIR INFORME SOBRE CONCEPTO DADEP.</t>
  </si>
  <si>
    <t>2019-00996</t>
  </si>
  <si>
    <t>JUZGADO 49 CIVIL MUNICIPAL DE BOGOTÁ</t>
  </si>
  <si>
    <t>MARTHA ISABEL OCAMPO LIZCANO</t>
  </si>
  <si>
    <t>SALVADOR CUBILLOS BUITRAGO</t>
  </si>
  <si>
    <t>POSESION INMUEBLE KR 5 191 40, CHIP AAA0153DUH</t>
  </si>
  <si>
    <t>25-94</t>
  </si>
  <si>
    <t>VINCULACIÓN DADEP</t>
  </si>
  <si>
    <t>2015-00327</t>
  </si>
  <si>
    <t>JUZGADO 34 CIVIL DEL CIRCUITO DE BOGOTÁ D.C.</t>
  </si>
  <si>
    <t>SOCIEDAD EDUCADORA SIMON BOLIVAR</t>
  </si>
  <si>
    <t xml:space="preserve">UNIVERSIDAD LIBRE </t>
  </si>
  <si>
    <t>DEMANDAO SOBRE ZONA VERDE BOSQUE POPULAR ACUERDO 40 DE 1962</t>
  </si>
  <si>
    <t>MEDIO</t>
  </si>
  <si>
    <t>CON PAGOS DE COSTAS, PENDIENTE ARCHIVO DEL PROCESO.</t>
  </si>
  <si>
    <t>PENDIENTE TERMINACIÓN</t>
  </si>
  <si>
    <t>2019-42521</t>
  </si>
  <si>
    <t>FISCALIA 158 SECCIONAL
UNIDAD FÉ PÚBLICA Y PATRIMONIO ECÓNOMICO</t>
  </si>
  <si>
    <t>JUSTO VELOZA POSOS</t>
  </si>
  <si>
    <t>FRAUDE PROCESAL Y FALSEDAD ESCRITURAS PÚBLICAS DE UN PREDIO FISCAL</t>
  </si>
  <si>
    <t xml:space="preserve">FRAUDE PROCESAL
FALSEDAD DOCUMENTO PÚBLICO
 </t>
  </si>
  <si>
    <t>SE RADICA DENNCIA POR ENCONTRAR UNA POSIBLE FALSEDAD DE UNA ESCRITURA PÚBLICA CORRESPONDIENTE A UN BIEN FISCAL DEL DADEP</t>
  </si>
  <si>
    <t>2-668</t>
  </si>
  <si>
    <t xml:space="preserve">REVISIÓN ÓRDENES A POLÍA JUDICIAL
</t>
  </si>
  <si>
    <t>No. 11001333400220170016700</t>
  </si>
  <si>
    <t>TRIBUNAL ADMINISTRATIVO DE CUNDINAMARCA SECCIÓN PRIMERA MIXTA ORAL</t>
  </si>
  <si>
    <t>OLGA MARÍA BENNINGHOFF DE URIBE</t>
  </si>
  <si>
    <t>BOGOTÁ DISTRITO CAPILAT -DADEP-ALCALDÍA USAQUÉN- SUPERINTENDENCIA DE NOTARIADO Y REGISTRO</t>
  </si>
  <si>
    <t>NULIDAD ESCRITURA PÚLICA 7244 - PUEBLITO SANTAFEREÑO</t>
  </si>
  <si>
    <t>QUE SE DECLARE NULA LA ESCRITURA NO. 7244 DEL 27 DE DICIEMBRE DE 2007 DE LA NOTARÍA 54 DEL CIRCUITO DE BOGOTÁ
QUE CONSECUANCIALMENTE SE ORDENE A LA OFICINA DE INSTRUMENTOS PÚBLICOS ZONA NORTE LA CANCELACIÓN DE LA REFERIDA ANOTACIÓN EN TODOS LOS FOLIOS DE MATRICULA INMOBILIARIA EN QUE SE HUBIERE PRODUCIDO SU INSCRIPCIÓN Y LA ANULACIÓN DE LOS FOLIOS DE MATRICULA INMOBILIARIA QUE SE HUBIEREN ABIERTO A RAÍZ DE LA TRANSFERENCIA VICIADA.</t>
  </si>
  <si>
    <t>PUEBLITO SANTAFEREÑO</t>
  </si>
  <si>
    <t>100,000,000</t>
  </si>
  <si>
    <t>269-1</t>
  </si>
  <si>
    <t>13/05/2022</t>
  </si>
  <si>
    <t>INGRESA A DESPACHO PARA APELACIÓN - YA ADMITIDA</t>
  </si>
  <si>
    <t>2019-01834</t>
  </si>
  <si>
    <t>FISCALÍA 170 SECCIONAL UNIDAD DE FÉ PÚBLICA</t>
  </si>
  <si>
    <t>JUAN HERNANDO GUERRERO RODRÍGUEZ</t>
  </si>
  <si>
    <t>COLEGIO COOPERATIVO DE BOSA</t>
  </si>
  <si>
    <t xml:space="preserve">EL SEÑOR GUERRERO INTERPUSO DEMANDA DE PRESCRIPCIÓN PARA ADQUIRIR EL PREDIO A SABIENDAS DE QUE EL MISMO ES PÚBLICO </t>
  </si>
  <si>
    <t xml:space="preserve">COLEGIO COOPERAIVO DE BOSA </t>
  </si>
  <si>
    <t>2-738</t>
  </si>
  <si>
    <t xml:space="preserve">Se realiza visita el 02/04724 en la que se informa que se emitió orden a policía judicial el 8 de marzo para catastro y juzgado ) pendientes por cumplir </t>
  </si>
  <si>
    <t>2015-00548</t>
  </si>
  <si>
    <t>JUZGADO 41 CIVIL CIRCUITO</t>
  </si>
  <si>
    <t xml:space="preserve">DADITE CELEITA </t>
  </si>
  <si>
    <t>PROMOCIONES SAN ALEJO</t>
  </si>
  <si>
    <t>PERTENENCIA ENTRE PARTICULARES QUE INVOLUCRA ZONAS DE CESION - URBANIZACIÓN PRADO GRANDE</t>
  </si>
  <si>
    <t>PRADO GRANDE</t>
  </si>
  <si>
    <t>1306-65</t>
  </si>
  <si>
    <t>PENDIENTE AUDIENCIA DE INSTRUCCIÓN Y JUZGAMIENTO</t>
  </si>
  <si>
    <t>PENDIENTE AUDIENCIA DEL ARTÍCULO 373 DEL C.G.P. EL PRÓXIMO 19-11-2024.</t>
  </si>
  <si>
    <t>2005-02243</t>
  </si>
  <si>
    <t>BERNARDO BARBOSA RUBIANO</t>
  </si>
  <si>
    <t>INCUMPLIMIENTO CONTRATO ARRENDAMIENTO 0067-1974</t>
  </si>
  <si>
    <t>2-777</t>
  </si>
  <si>
    <t>SE REALIZÓ EL PAGO QUEDA UN SALDO DE LAS PRETENSIONES</t>
  </si>
  <si>
    <t>PENDIENTE CONSIGNACIÓN TITULOS JUDUCIALES A CUENTA DE SHD</t>
  </si>
  <si>
    <t>2023-00230</t>
  </si>
  <si>
    <t>JUZGADO 56 CIVIL DEL CIRCUITO DE BOGOTÁ</t>
  </si>
  <si>
    <t>ASOCIACION VIVIENDA BOGOTA SIGLO XXI SUBA</t>
  </si>
  <si>
    <t>A TRAVÉS DE LA ESCRITURA ESCRITURA NÚMERO 95 DEL 4 DE FEBRERO DE 2021 DE LA NOTARÍA 56 DEL CÍRCULO DE BOGOTÁ, 539 DEL 7 DE ABRIL DE 2022 , 108 DEL 6 DE FEBRERO DE 2023 .DE LA NOTARÍA 23 DEL CÍRCULO DE BOGOTÁ D.C. SE REALIZÓ LA VENTA DE LAS ZONAS DE CESIÓN RUPI 27 - 9 Y 27-14</t>
  </si>
  <si>
    <t>FONTANAR DEL RIOB-II ETAPA</t>
  </si>
  <si>
    <t>27-9, 27-14</t>
  </si>
  <si>
    <t xml:space="preserve"> MEDIDAS CAUTELARES, NOTIFICACIÓN, TRASLADO, PRIMERA Y SEGUNDA AUDIENCIA DE TRAMITE</t>
  </si>
  <si>
    <t>ADMISIÓN DEMANDA pendiente pago poliza judicial , posterior al registro medida cautelares notificaciones</t>
  </si>
  <si>
    <t>2023-00034</t>
  </si>
  <si>
    <t>JUZGADO 53 CIVIL DEL CIRCUITO DE BOGOTÁ</t>
  </si>
  <si>
    <t>JULIO DANIEL CASTAÑEDA BELTRAN</t>
  </si>
  <si>
    <t>AL SEÑOR JULIO DANIEL CASTAÑEDA BELTRAN IDENTIFICADO CON LA CÉDULA DE CIUDADANÍA NO. 4.083.584 DEBE REALIZAR LA ACLARACIÓN DE LA ESCRITURA PÚBLICA 8538 DEL 12 DE JULIO DE 1.993 DE LA NOTARIA 27 DEL CÍRCULO DE BOGOTÁ, EN LO CONCERNIENTE A LAS ÁREAS DE CESIÓN EN EL SENTIDO DE DESCRIBIR LOS MOJONES, DISTANCIAS Y ÁREAS DE ZONAS DE CESIÓN DE CONFORMIDAD CON LA DELIMITACIÓN Y DISTANCIA DE MOJONES SEÑALADOS EN EL PLAN URBANÍSTICO S.517/4-03 A</t>
  </si>
  <si>
    <t>DESARROLLO LEGALIZADO SAN CARLOS DE TIBABUYES</t>
  </si>
  <si>
    <t>2792-1, 2492-2 2492-3</t>
  </si>
  <si>
    <t>ADMISIÓN DEMANDA, MEDIDAS CAUTELARES, NOTIFICACIÓN, TRASLADO, PRIMERA Y SEGUNDA AUDIENCIA DE TRAMITE</t>
  </si>
  <si>
    <t>ADMISIÓN DEMANDA</t>
  </si>
  <si>
    <t>2010-00246
11001310303520100024600</t>
  </si>
  <si>
    <t>JUZGADO 3 CIVIL DEL CIRCUITO DE BOGOTA</t>
  </si>
  <si>
    <t>ALVARO ROJAS BARBOSA - JORGE ENRIQUE CORTES ROJAS</t>
  </si>
  <si>
    <t>NULIDAD ESCRITURAS PUBLICAS TRANSFERENCIA DOMINIO JABOQUE</t>
  </si>
  <si>
    <t>SEGUIMIENTO EN EL JUZGADO TERCERO CIVIL DEL CIRCUITO PARA LOS OFICIO A LAS NOTARIAS PARA CANCELACION DE LAS ESCRITURAS PUBLICAS Y A REGISTRO PARA LA CANCELACION DEL FOLIO DE MATRICULA DEL PREDIO LA PROVIDENCIA</t>
  </si>
  <si>
    <t>ESTA PENDIENTE DEL ARCHIVO DEL PROCESO PARA SU TERMINACIÓN EN EL SIPROJ Y EN LA BASE DE PROCESOS.</t>
  </si>
  <si>
    <t>2015-00574</t>
  </si>
  <si>
    <t>TRIBUNAL SUPERIOR DE BOGOTÁ SALA CIVIL</t>
  </si>
  <si>
    <t>ASOCIACIÓN FE Y ALEGRIA DE COLOMBIA</t>
  </si>
  <si>
    <t>MERCEDES GAVIRIA DE HOLLMAN E INDETERMINADOS</t>
  </si>
  <si>
    <t xml:space="preserve">PERTENCIA SOBRE ZONAS COMUNALES DEL DISTRITO </t>
  </si>
  <si>
    <t xml:space="preserve">DEMANDA SOBRE ZONAS COMUNALES DEL DESARROLOLO JERUSALEN  SECTOR LA Y </t>
  </si>
  <si>
    <t xml:space="preserve">DESARROLLO LEGALIZADO JERUSALÉN </t>
  </si>
  <si>
    <t>2-225</t>
  </si>
  <si>
    <t>23/08/2017</t>
  </si>
  <si>
    <t>13/08/2018</t>
  </si>
  <si>
    <t>SE NIEGA RECURSO DE CASACIÓN</t>
  </si>
  <si>
    <t>PENDIENTE ARCHIVO</t>
  </si>
  <si>
    <t>2015-00581</t>
  </si>
  <si>
    <t xml:space="preserve">JUZGADO 12 CIVIL MUNICIPAL DE ORALIDAD DE BOGOTÁ </t>
  </si>
  <si>
    <t>CONSTRUCTORA KOVOC S.A.</t>
  </si>
  <si>
    <t>ANTONIO LUIS AMADO GÓMEZ</t>
  </si>
  <si>
    <t>REIVINDICATORIO SOBRE INMUEBLE PRIVADO</t>
  </si>
  <si>
    <t>SE PRETENDE LA REIVINDICACIÓN DE UN PREDIO DE NATURALEZA PRIVADA</t>
  </si>
  <si>
    <t>SEGUIMIENTO A DESVINCULACIÓN DEL PROCESO</t>
  </si>
  <si>
    <t>2015-00641</t>
  </si>
  <si>
    <t>JUZGADO 18 CIVIL DEL CIRCUITO  DE ORALIDAD DE BOGOTÁ</t>
  </si>
  <si>
    <t>MERCEDES LUNA MARTINEZ</t>
  </si>
  <si>
    <t>RECUPERAR BIENES FISCALES RUPI 2-1361 2-1324 BARRIO GIRARDOT</t>
  </si>
  <si>
    <t>2-1324
2-1361</t>
  </si>
  <si>
    <t>CON APELACIÓN PENDIENTE REMISIÓN AL TRIBUNAL</t>
  </si>
  <si>
    <t xml:space="preserve">AUDIENCIA INICIAL EN FECHA 20-03-2024, CON SENTENCIA FAVORABLE A FAVOR DEL DADEP. </t>
  </si>
  <si>
    <t>2021-00034</t>
  </si>
  <si>
    <t>LUIS ALBERTO MOLINA RODRIGUEZ</t>
  </si>
  <si>
    <t>EDGARDO GONZALEZ DIAZ</t>
  </si>
  <si>
    <t>EL DEMANDATE DESEA PRESCRIBIR EL INMUEBLE</t>
  </si>
  <si>
    <t>3065-44/3065-47</t>
  </si>
  <si>
    <t>SEGUIMIENTO PROCESAL - VINCULACIÓN PROCESO</t>
  </si>
  <si>
    <t>2020-00259</t>
  </si>
  <si>
    <t>JUZGADO 40 CIVIL CEL CIRCUITO DE BOGOTA</t>
  </si>
  <si>
    <t>BLANCA ATILIA DOMINGUEZ RICAURTE</t>
  </si>
  <si>
    <t>DISTRITO CAPITAL - DADEP Y OTROS</t>
  </si>
  <si>
    <t xml:space="preserve">EL PROPIETARIO DEL INMUEBLE UBICADO EN LA  CRA 14B ESTE 76D 16 SUR  REQUIERE REALIZAR  DETERMINACION DE MOJONES LINDEROS Y QUE COINCIDA LA INFORMACION </t>
  </si>
  <si>
    <t>3087-2
3087-5</t>
  </si>
  <si>
    <t>SE ESPERA AVISO PARA CONTESTAR DEMANDA</t>
  </si>
  <si>
    <t>2006-00118
11001333103720060011800</t>
  </si>
  <si>
    <t>JAL BARRIO VISION COLOMBIA</t>
  </si>
  <si>
    <t xml:space="preserve">CAMEP JAL BARRIO VISION COLOMBIA </t>
  </si>
  <si>
    <t>1404-5
1404-6
1404-7</t>
  </si>
  <si>
    <t>SEGUIMIENTO PROCESAL - JUZGADO REQUIRIÓ INFORME SOBRE BIENES DEL DEMANDADO, DE LO CUAL SE OBTUVO RESULTADO DESFAVORABLE - SE RADICÓ OFICIO SOLICITANDO EMBARGO CUENTAS  - SEGUIMIENTO APROBACIÓN Y EXPEDICIÓN</t>
  </si>
  <si>
    <t>DESPACHO 10-09-2024</t>
  </si>
  <si>
    <t>2021-01268 
(11001220300020210126800)</t>
  </si>
  <si>
    <t>TRIBUNAL SUPERIOR DISTRITO JUDICIAL    SALA CIVIL</t>
  </si>
  <si>
    <t xml:space="preserve">AMIRA SOSA RODRIGUEZ        </t>
  </si>
  <si>
    <t>EN EL JUZGADO SEGUNDO CIVIL DEL CIRCUITO DE BOGOTÁ SE ADELANTÓ UN PROCESO DE PERTENENCIA CON EL RADICADO 2007-00240 DE ANA DOLORES SARMIENTO Y OTROS DONDE SE LES ADJUDICÓ LOS PREDIOS QUE CONFORMAN EL DESARROLLO VILLA DORADO SAN ANTONIO II SECTOR, ENTRE LOS CUALES SE ENCUENTRA EL PREDIO SEÑALADO EN EL NUMERAL 117 DE LA SENTENCIA DE FECHA ONCE (11) DE DICIEMBRE DEL 2009, QUE LE ADJUDICÓ A LOS SEÑORES AMIRA SOSA RODRIGUEZ, CLODOMIRO GOMEZ GALINDO, E ISRAEL JIMENEZ EL PREDIO IDENTIFICADO CON LA NOMENCLATURA CALLE 65B NRO. 110-B14 CUYOS LINDEROS SON: POR EL NORTE, CON EL PREDIO DE LA CARRERA 110B NRO. 65B-51; POR EL SUR, CON VÍA PÚBLICA DE LA CALLE 65B; POR EL ORIENTE, CON PREDIO DE LA CALLE 65B NRO. 110C-03 Y POR EL OCCIDENTE, CON PREDIO DE LA CALLE 65B NRO. 110B-10. CUENTA CON EL FOLIO DE MATRÍCULA INMOBILIARIA 50C-1775429, CON FECHA APERTURA 26 DE ENERO DEL 2010. ANALIZADO EL BIEN ADJUDICADO EN EL NUMERAL 117 DE LA SENTENCIA DEL 11 DE DICIEMBRE DEL 200 Y REVISADO EL ARCHIVO FÍSICO Y EL SISTEMA DE INFORMACIÓN DE LA DEFENSORÍA DEL ESPACIO PÚBLICO (SIDEP), SE ENCONTRÓ QUE EL PREDIO IDENTIFICADO CON LOS INDICADORES CATASTRALES COMO SON DIRECCIÓN CL 65B 110B 18 Y EL CHIP AAA0211KAUZ, HACE PARTE DEL INVENTARIO DE BIENES DE USO PÚBLICO DEL DISTRITO CAPITAL, COMO ZONA DE EQUIPAMENTO COMUNAL – ZONA VERDE Y COMUNAL, IDENTIFICADO CON EL REGISTRO ÚNICO DEL PATRIMONIO INMOBILIARIO (RUPI) 3103-7 Y ARCHIVO EN EL EXPEDIENTE P/V136, ES DECIR, EL JUZGADO ADJUDICÓ UN ESPACIO DESTINADO AL USO PÚBLICO A UNOS PARTICULARES</t>
  </si>
  <si>
    <t>VILLAS DEL DORADO</t>
  </si>
  <si>
    <t>EL TRIBUNAL REVOCO AUTO Y ORDENO EMPLAZAR A LOS DEMANDADOS DENTRO DEL PROCESO 2007-00240 EL 20-09-2022 LO CUAL SE REALIZO EL 2 DE OCTUBRE DEL 2022</t>
  </si>
  <si>
    <t>SENTENCIA A FAVOR DEL DADEP 12-02-2024, SE ESPERA SU ARCHIVO PARA CERRAR SIPROJ Y SACARLO DE LA BASE DE DATOS</t>
  </si>
  <si>
    <t>2022-00197</t>
  </si>
  <si>
    <t>CARLOS ALBERTO MORENO</t>
  </si>
  <si>
    <t>EL SEÑOR CARLOS ALBERTO MORENO ROJAS A TRAVÉS DE LA LA ESCRITURA PÚBLICA NÚMERO 3358 DEL 18 DE NOVIEMBRE DE 2008 DE LA NOTARIA 4 DEL CÍRCULO DE BOGOTÁ D.C., REALIZÓ LA COMPRAVENTA PREDIO CON DIRECCIÓN CL 152 B NO. 107 – 2 IDENTIFICADO CON CHIP AAA0214NEAF, DEMARCADO COMO LOTE PATRIMONIO INMOBILIARIO, CON RUPI 3154-3” EL CUAL SE ENCUENTRA COMO UNA UNA CAUSA PROHIBIDA POR LA LEY, CONTRARÍA A LAS BUENAS COSTUMBRES Y AL ORDEN PÚBLICO YA QUE EL DR. GERMAN DARIO RODRIGUEZ COMO VENDEDOR NO LA SUSCRIBIÓ.</t>
  </si>
  <si>
    <t>SANTA  BEATRIZ</t>
  </si>
  <si>
    <t>3154-3</t>
  </si>
  <si>
    <t>Se presento demanda se espera admisión</t>
  </si>
  <si>
    <t>Calificación admisión demanda</t>
  </si>
  <si>
    <t>2022-32737</t>
  </si>
  <si>
    <t>FISCALIA 05 SECCIONAL</t>
  </si>
  <si>
    <t>CARLOS ALBERTO MORENO ROJAS</t>
  </si>
  <si>
    <t>CASO SANTA BEATRIZ</t>
  </si>
  <si>
    <t>IRREGULADIDADES EN LA FIRMA DE LA ESCRITURA PÚBLICA QUE PROTOCOLARZÓ LA VENTA DEL INMUEBLE  IDENTIFICADO CON RUPI 3154-3</t>
  </si>
  <si>
    <t xml:space="preserve">SANTA BEATRIZ </t>
  </si>
  <si>
    <t xml:space="preserve">N/A </t>
  </si>
  <si>
    <t xml:space="preserve">3154-3 </t>
  </si>
  <si>
    <t xml:space="preserve">SEGUIMIENTO A ORDENES A PJ
</t>
  </si>
  <si>
    <t>2015-00867</t>
  </si>
  <si>
    <t>JUZGADO 17 CIVIL DEL CIRCUITO DE BOGOTÁ</t>
  </si>
  <si>
    <t>CASA CLUB LTDA EN LIQUIDACIÓN Y/O EN QUIEBRA - JUNTA DE ACREEDORES CONCORDATARIOS DE
CASA CLUB LTDA - PERSONAS INDETERMINADAS</t>
  </si>
  <si>
    <t>DECLARACION DE PERTENENCIA PARQUE DESARROLLO LEGALIZADO VS CASA CLUB</t>
  </si>
  <si>
    <t>SAN MARTIN DE PORRES</t>
  </si>
  <si>
    <t>303-15</t>
  </si>
  <si>
    <t>SE LLEVA A CABO AUDIENCIA INICIAL, PENDIENTE AUDIENCIA DEL ARTÍCULO 373 DEL C.G.P.</t>
  </si>
  <si>
    <t xml:space="preserve">AUDIENCIA DE INTRUCCIÓN Y JUZGAMIENTO </t>
  </si>
  <si>
    <t xml:space="preserve"> 2018-00079</t>
  </si>
  <si>
    <t>FIDEICOMISO VILLA ALCAZAR - VOCERA ALIANZA FIDUCIARIA S.A.</t>
  </si>
  <si>
    <t>LUIS DE JESÚS CONTRERAS</t>
  </si>
  <si>
    <t>EL SEÑOR LUIS DE JESUS CONTRERAS VALERO PRESENTA DEMANDA DE PERTENENCIA EN CONTRA DE ALIANZA FIDUCIARIA S.A. POR EJERCER LA POSESIÓN DE LOS PREDIOS UBICADOS EN A CARRERA 83 128B 95 IN 1 FMI 50N 20321604 Y CALLE 128C 84B 10 FMI 50N 20321603 EN LA CONTESTACIÓN DE LA DEMANDA ALIANZA FIDUCIARIA SEÑALA QUE ESOS PREDIOS SON DE SU PROPIEDAD, QUE ESTÁN DESTINADOS A SER ENTREGADOS AL DISTRITO CAPITAL COMO ZONAS DE CESIÓN Y PRESENTA DEMANDA DE RECONVENCIÓN REIVINDICATORIA</t>
  </si>
  <si>
    <t xml:space="preserve">	BALCON DE SUBA</t>
  </si>
  <si>
    <t xml:space="preserve">3615-2 </t>
  </si>
  <si>
    <t>A LA FECHA SE ENCUENTRA EN PRUEBAS , SE REALIZARÁ UN PERITAJE PARA DETERMINAR LAS AREAS , LINDEROS , FMI, SI TIENEN ALGUNA LIMITACIÓN POR SER BIENES DE USO PÚBLICO, DE LOS PREDIO PRETENDIDO EN PERTENENCIA</t>
  </si>
  <si>
    <t>2019-00258
(25000234100020190025800)</t>
  </si>
  <si>
    <t>FIDUCIARIA DAVIVIENDA S.A.</t>
  </si>
  <si>
    <t>SUPERNOTARIADO</t>
  </si>
  <si>
    <t>LA FIDUCIARIA DAVIVIENDA S.A COMO VOCERA DEL FIDEICOMISO PINAR DE LA FONTANA INCIO DEMANDA DE NULIDAD DE ACTOS ADMINISTRATIVOS REALIZADOS POR PARTE DE LA SUPERINTENDENCIA DE NOTARIADO Y REGISTRO QUE PRESUNTAMENTE AFECTARON ZONAS DE CESION DENTRO DEL PROYECTO URBANISTICO.</t>
  </si>
  <si>
    <t>PINAR DE LA FONTANA</t>
  </si>
  <si>
    <t>3682</t>
  </si>
  <si>
    <t>SE DIO CUMPLIMIENTO A REQUERIMIENTO DEL TAC EN AUDIENCIA DEL 5/04/2022 - FIJA HONORARIOS DEL PERITO AVALUADOR</t>
  </si>
  <si>
    <t>AUDIENCIA DE CONTRADICCIÓN 16-05-2024 SIN OBJECIÓN</t>
  </si>
  <si>
    <t>(2022-00407)
11001310303020220040700</t>
  </si>
  <si>
    <t>JUZGADO 30 CIVIL DEL CIRCUITO</t>
  </si>
  <si>
    <t>DEAPRTAMENTO ADMINISTRATIVO DE LA DEFENSORIA DEL ESPACIO</t>
  </si>
  <si>
    <t>GERMAN DARIO RODRIGUEZ;
COCIDISEÑOS INTEGRALES GUERRERO;
AMN SOLUCIONES LOGISTICAS Y PARQUEADEROS S.A.S</t>
  </si>
  <si>
    <t>LA SUBDIRECCIÓN DE REGISTRO INMOBILIARIO PROCEDIÓ A REVISAR Y ESTUDIAR LOS ANTECEDENTES DEL INMUEBLE PRECITADO, LLEGANDO A LA CONCLUSIÓN QUE EL DEPARTAMENTO ADMINISTRATIVO DE LA DEFENSORÍA DEL ESPACIO PÚBLICO NO REALIZADO (SIC) VENTA ALGUNA A COCIDEÑOS INGEGRALES GUERRERO HEK MORE EFFICIENT INDUSTRIAL NIT 932069552 Y SERVICE SAS NIT 9006080018 X NIT 90060800013 TAL COMO APARECE EN LA ANOTACIÓN 5 DE RADICACIÓN 2016-80642 DEL CERTIFICADO DE TRADICIÓN Y LIBERTAD CON EL FOLIO DE MATRÍCULA INMOBILIARIA NO 50N-20467717”. ESTE INMUEBLE SE IDENTIFICA CON EL FOLIO DE MATRÍCULA INMOBILIARIA 050N-20467717 Y CHIP AAA0189PRLW, CON DIRECCIÓN AVENIDA CALLE 153 NRO. 99-43 INTERIOR 11. EL PREDIO SE ENCUENTRA RODEADO POR LOS RUPIS 3682-7, 3682-11, 3682-15 Y 3682-12 Y QUE HACEN PARTE DE LAS ZONAS DE CESIÓN ENTREGADAS POR EL URBANIZADOR AL DISTRITO CAPITAL.</t>
  </si>
  <si>
    <t>3682-13</t>
  </si>
  <si>
    <t>$4.000.000.000</t>
  </si>
  <si>
    <t>ESTA EN EL ADMINISTRATIVO CON EL RADICADO 2023-00762</t>
  </si>
  <si>
    <t>DESPACHO DEL JUZGADO 4 ADTIVO PARA ADMITIR DEMANDA 11-02-2024</t>
  </si>
  <si>
    <t>2017-32836</t>
  </si>
  <si>
    <t xml:space="preserve">FISCALIA 104 SECCIONAL UNIDAD DE FE PUBLICA Y ORDEN ECONOMICO </t>
  </si>
  <si>
    <t>CONDISEÑOS INTEGRALES - GUERRERO SERVICES SAS</t>
  </si>
  <si>
    <t>FALSEDAD ESCRITURAS VENTA ZONAS CESIÓN PINAR DE LA FONTANA</t>
  </si>
  <si>
    <t xml:space="preserve">FRAUDE PROCESAL - FALSEDAD DOCUMENTO PUBLICO </t>
  </si>
  <si>
    <t xml:space="preserve">Se realiza visita para revision 10 abril a las 9am en la que se indiica que el proceso fue remitido por la fiscalia 104 seccional ya que la conexidad relizada no era pertiente, por ello se indico que se emitirian orden a policia judicial de grafologia y decatactilar, motivo por el cual se recomienda asistir permanentemente para la revision del estado de las mismas </t>
  </si>
  <si>
    <t xml:space="preserve">EN INDAGACION </t>
  </si>
  <si>
    <t>2015-01715</t>
  </si>
  <si>
    <t>JUZGADO 11 CIVIL MUNICIPAL DE BOGOTÁ</t>
  </si>
  <si>
    <t>AMALIA SUAREZ BARON</t>
  </si>
  <si>
    <t>RESTITUIR BIENES FISCALES OCUPADOS</t>
  </si>
  <si>
    <t>AUTO DECRETÓ NULIDAD DE LO ACTUADO ORDENADO CONTESTAR LA DEMANDA EN CABEZA DE AMALIA SUAREZ BARÓN, SE PROCEDE A RADICAR IMPULSO DEL PROCESO PARA QUE CURADOR CONTESTA LA DEMANDA.</t>
  </si>
  <si>
    <t xml:space="preserve">SEGUIMIENTO PROCESAL - PENDIENTE FALLO DE PRIMERA INSTANCIA </t>
  </si>
  <si>
    <t>2022-00010
11001310301020220001000</t>
  </si>
  <si>
    <t>BP CONSTRUCTORES- BALCONES DE PROVENZA</t>
  </si>
  <si>
    <t>BANCOS DE PROVENZA</t>
  </si>
  <si>
    <t>3736</t>
  </si>
  <si>
    <t>28/05/2024. Se notificó por estado auto que cita para el dia 12 de septiembre de 2024,a las 2:30 P.M., a audiencia de pacto de cumplimiento. 12/09/2024. No se realiza audiencia y se informa que se reprogramará fecha. 17/07/2024. Al Despacho. 22/08/2024. Se notifica por estado auto que reconoce personería. 04/12/2024. Se notificó por estado auto que fijó fecha para audiencia de pacto el 05/02/2024 a las 02:30 pm</t>
  </si>
  <si>
    <t>2013-00021</t>
  </si>
  <si>
    <t>ANTONIO ABLERADO CORTES VALERO</t>
  </si>
  <si>
    <t>APROPIACION PARTE ZONA VERDE URBANIZACION EL CASTILLO</t>
  </si>
  <si>
    <t>381-9</t>
  </si>
  <si>
    <t>visita 11/04/24 el fiscal se ecnuentra en audiencia pero da los datos de contacto a traves de los cuales se pueden presentar solicitudes leon.fernandezfiscalia.gov.co y 3143002422</t>
  </si>
  <si>
    <t>2015-00639
11001310302320150063900</t>
  </si>
  <si>
    <t>JUZGADO 23 CIVIL DEL CIRCUITO  DE ORALIDAD DE BOGOTÁ</t>
  </si>
  <si>
    <t>CONSTRUCTORA COLPATRIA</t>
  </si>
  <si>
    <t>ESCRITURACION Y ENTREGA ZONAS DE CESION FONTANAR DEL RIO</t>
  </si>
  <si>
    <t>FONTANAR DEL RIO A1 - CAMINOS DE LA ESPERANZA</t>
  </si>
  <si>
    <t>3822 - 4156</t>
  </si>
  <si>
    <t>SE REALIZARA EL SEGUIMIENTO PROCESAL EN EL ENTENDIDO QUE EL 27 DE NOVIEMBRE DE 2020 EL TRIBUNAL SUPERIOR RESUELVE LO SIGUIENTE  DECLARAR LA NULIDAD DE TODO LO ACTUADO A PARTIR DE LA PUBLICACIÓN DEL AVISO A LOS MIEMBROS DE LA COMUNIDAD , CON EXCEPCIÓN DE LAS PRUEBAS QUE HUBIESEN SIDO LEGALMENTE PRACTICADAS E INCORPORADAS AL PROCESO EN PRIMERA Y SEGUNDA INSTANCIA Y TAMBIÉN ORDENO AL JUZGADO VEINTITRÉS CIVIL DEL CIRCUITO DE BOGOTÁ,D.C., REHACER LA ACTUACIÓN NULITADA EN LA FORMA ORDENADA EN LA PARTE MOTIVA Y LA PARTE ACTORA PROCEDA CON LO DE SU CARGO.                                                                                                                                                                                                  EL 11 DE JUNIO DE 2021 EL JUZGADO 23 CIVIL DEL CIRCUITO SE PRONUNCIA CON ABSTENERSE DE ASUMIR EL CONOCIMIENTO DE ESTE CASO POR FALTA DE COMPETENCIA FUNCIONAL / ACEPTAR EL CONFLICTO NEGATIVO DE COMPETENCIA PROPUESTO POR EL JUZGADO VEINTICUATRO CIVIL DEL CIRCUITO DE ESTA CIUDAD /POR SECRETARÍA REMÍTANSE LAS PRESENTES DILIGENCIAS A LA SALA CIVIL DEL TRIBUNAL SUPERIOR DE BOGOTÁ, A EFECTOS DE QUE SE DIRIMA EL CONFLICTO AQUÍ PLANTEADO.                                                                                                                                                                                                       EN LA RAMA JUDICIAL LA ÚLTIMA ACTUACIÓN APARECE CON RECEPCIÓN DEL EXPEDIENTE EL CUAL LLEGA DE DIGITALIZACIÓN DE FECHA 11 DE OCTUBRE DE 2021. SE LLEVO A CABO MESA DE TRABAJO EL DIA 25 DE ABRIL DE 2022 EN LA FUNDACION ZAFIR SUBA, SIN EMBARGO NO SE LOGRO AVANCES PUES EL URBANIZADOR NO ASISTIO, EL DADEP SE COMPROMETIO A DAR RAMITE PRIORITARIO A LA ENTREGA DE ZONAS DE CESION UNA VEZ EL URBANIZADOR RADIQUE LA SOLICITUD. se realza consulta en la rama judicial el dia 10/08/2022. se radica memoral de impuldo procesal el 6-12-2022. Al despacho 20-01-2023. Auto de fecha 24-3-2023 se oficia al tribunal a fin de informar sobre la remision del expediente. Mediante solicitud de fecha 21-4-2023 se radica solicitud de impulso procesal dando cumplimiento al auto de fecha 24-3-2023. Auto de fecha 5 de Mayo de 2023, se profieren oficios al tribunal solicitando la remision del expediente y la decision del conflicto de comperencia. el dia 30 de Mayo de 2023 se requiere al despacho a fin de continuar con el trámite procesal correspondiente. Se revisa la web de la rama el 28-6-2023 sin novedad procesal. el 16-8-2023 CON DESTINO AL CENTRO DE REGISTRO DE ACCIONES POPULARES DE LA DEFENSORIA DEL PUEBLO CONSTANCIA EN EL EXPEDIENTE FISICO Y ONE DRIVE (rama del juzgado). Auto de fecha 8 Noviembre de 2023 , registro nacional de personas emplezadas. el 1-11-2024 ingresa al despacho.  auto nombra Auxiliar de la Justicia fijacion estado 15-3-2024 EN REPRESENTACION DEL URBANIZADOR DE CAMINOS DE LA ESPERANZA. el 1 de abril de 2024 se radica solicitud de elaboracion de telegrama a curador designado y el la misma fecha se registra la elaboracion del mismo en la web de la rama.2024-05-10 Recepción memorial. Impulso procesal desde el 24-7-2024. 2024-07-26	Telegrama	AM SE REMITE TELEGRAMA °0143 CURADOR AD LITEM POR 472. memorial solicitud impulso procesal 21-8-2024.ingresó al despacho 21-8-2024. auto de fecha 27-8-2024 Auto nombra Auxiliar de la Justicia.2025-01-24 Telegrama	AM REMITO TELEGRAMA 85 A CURADOR AD LITEM</t>
  </si>
  <si>
    <t>2013-16754</t>
  </si>
  <si>
    <t>CAS</t>
  </si>
  <si>
    <t>HUMBERTO VASQUEZ PORRAS</t>
  </si>
  <si>
    <t>EL BATAN</t>
  </si>
  <si>
    <t>LIQUIDADOR ENAJENA A HERNANDO LOPEZ ZONAS DE CESION EL BATAN II SECTOR</t>
  </si>
  <si>
    <t>BATAN II SECTOR</t>
  </si>
  <si>
    <t>4004-17</t>
  </si>
  <si>
    <t>CAMBIO DE FISCAL TITULAR, SOLICITÓ AYUDA AL INVESTIGADOR DADEP, CON LA FINALIDAD DE DEPURAR LAS OPJ PENDIENTES</t>
  </si>
  <si>
    <t>2022-01421
(11001400304020220142100)</t>
  </si>
  <si>
    <t>JUZGADO 40 CIVIL MUNICIPAL</t>
  </si>
  <si>
    <t>FUNDACION PRIVADA COMPARTIR</t>
  </si>
  <si>
    <t>EJECUCION DE COSTAS PROCESALES</t>
  </si>
  <si>
    <t>EJECUCION DE LAS COSTAS PROCESALES SEÑALADAS EN EL PROCESO 2015-00127</t>
  </si>
  <si>
    <t>SEGUIMIENTO PROCESAL -  APELACIÓN DE SENTENCIIA-. 
SENTENCIA PRIMERA INSTANCIA FAVORABLE AL DADEP. NIEGA PRETENSIONES DE LA DEMANDA Y CONDENA EN COSTAS. NOTIFICADA EL 15 DE OCTUBRE DE 2019.
SE DEBEN CBRAR COSTAS PROCESALES POR VALOR DE $42,553,600.
MEDIANTE OFICIO 20201100092251 del 11-09-2020 RADICADO EN EL TRIBUNAL  SE SOLCIITO INCIAR EJECUTIVO POR LAS COSTAS. MEDIANTE AUTO DEL 5 DE NOVIEMBRE LE TRIBUNAL ADMINISTRATIVO LIBRA MANDAMIENTO DE PAGO RESPECTO DE LAS COSTAS  POR VALOR DE $42,553,600 ORDENANDO EL PAGO DE LAS MISMAS MAS LOS INTERESE SMORATORIOS DENTRO DE LOS CINCO (5) DIAS SIGUIENTES A LA NOTIFICACIÓN.
SE RECIBIO  SOLICITUD DE ACUERDO DE PAGO EL CUAL FUE AVALADO POR EL COMITE DE CONCILIACIÓN DEL  23-02.2021 EN EL QUE ACEPTABA CON SUJECIÓN A LA SUSPENSIÓN DEL PROCESO. SE SOLICITO COMO MEDIDA CAUTELAR EL EMBARGO DE UN INMUEBLE DE PROPIEDAD DE COMPARTIR. ESTA AL DESPACHO DESDE EL 24 DE AGOSTO DEL 2021.</t>
  </si>
  <si>
    <t>SE ABSTIENE DE RESOLVER RECURSO DE REPOSICION 06-03-2024</t>
  </si>
  <si>
    <t>2019-00313      (11001334305820190031300)</t>
  </si>
  <si>
    <t>JUZGADO 58 ADMINISTRATIVO DE BOGOTÁ</t>
  </si>
  <si>
    <t>CONTEXTUS SAS</t>
  </si>
  <si>
    <t>LIQUIDACIÒN JUDICIAL CONTRATO 110-00129-387-0-2017</t>
  </si>
  <si>
    <t>EL CONTRATO CAMEP 287 DE 2017 NO HA SIDO LIQUIDADO A LA FECHA DE PRESENTACIÓN DE LA DEMANDA</t>
  </si>
  <si>
    <t>4028-2                                  4028-3                            4028-4</t>
  </si>
  <si>
    <t>13/02/2023</t>
  </si>
  <si>
    <t>MEDIANTE AUTO DE 07 DE MARZO DEL 2024 SE ORDENA PRUEBA FRENTE A LA MODALIDAD DE RECAUDO</t>
  </si>
  <si>
    <t>AL DESPACHO PARA SENTENCIA DE SEGUNDA INSTANCIA</t>
  </si>
  <si>
    <t>2022-11596</t>
  </si>
  <si>
    <t>FISCALÍA 512 LOCAL INV.JUD NO QUERELLABLES</t>
  </si>
  <si>
    <t>SILFREDO MESA BAUTISTA</t>
  </si>
  <si>
    <t xml:space="preserve">DENUNCIA PENAL - ACCESO ABUSIVO A UN SISTEMA INFORMÁTICO </t>
  </si>
  <si>
    <t xml:space="preserve">ACCESO ABUSIVO A UN SISTEMA INFORMÁTICO </t>
  </si>
  <si>
    <t xml:space="preserve">CONTEXTUS </t>
  </si>
  <si>
    <t>4028-2, 4028-3, 4028-4</t>
  </si>
  <si>
    <t>SE ENVIA SOLICITUD DE IMPULSO PROCESAL E INDICACION DEL ESTADO ACTUAL DE LA OPJ EMITIDAS HASTA EL MOMENTO, A LA ESPERA DE LA RESPUESTA DEL FISCAL 02-05-2024</t>
  </si>
  <si>
    <t>2015-00633</t>
  </si>
  <si>
    <t>JUZGADO 42 CIVIL DEL CIRCUITO DE BOGOTÁ</t>
  </si>
  <si>
    <t>CONSTRUCCIONES Y DISEÑOS LTDA</t>
  </si>
  <si>
    <t>ENTREGA Y ESCRITURACION ZONAS DE CESION MIRADOR DE SAN MARCOS</t>
  </si>
  <si>
    <t>MIRADOR DE SAN MARCOS</t>
  </si>
  <si>
    <t>4201-2</t>
  </si>
  <si>
    <t>EL  JUZGADO EL 18 DE  ENERO 2022 FIJA ESTADO RESPONDIENDO RESPECTO A LAS NOTIFICACIÒNES REALIZADAS DE ACUERDO A LO QUE SE EVIDENCIA EN LA RAMA JUDICIAL. SE  DA CUMPLIMIENTO AL AUTO DE FECHA 18 DE ENERO DE 2022, SE SURTE NOTIFICACION CONFORME AL ARTICULO 291 CGP SE REMITE AL DESPACHO MEDIANTE CORREO ELECTRONICO EL DIA 1/8/2022 , el 9 de agosto se envia la notificacion por aviso Art 292 C.G.P , MEDIANTE AUTO DE FECHA 13-10-2022 téngase por notificada a la URBANIZACIÓN MIRADOR DE SAN MARCOS P.H Despacho fija el día miércoles 12 de abril de 2023 a la hora de las 09:30 am a efectos de celebrar audiencia de pacto de cumplimiento prevista en el artículo 27 de la ley 472 de 1998. Se consulta la web de la rama registra radicacion de memorial el dia 15-11-2022. Auto de fecha 12-5-2023 fija nueva fecha para diligencia de pacto de cumplimiento 14 de agosto de 2023 a las 9:30 am. se ordena remitir informe de visita actualizada se hace solicitud a SRI, se radica solicitud emplazamiento CDP CONSTRUCCIONES Y DISEÑOS al juzgado. el 11-9-2023 ingresa al despacho. el 13-10-2023 De las partes el informe técnico allegado por el DEPARTAMENTO ADMINISTRATIVO DE LA DEFENSORÍA DEL ESPACIO PÚBLICO (pdf.50), en cumplimiento de lo dispuesto en audiencia del 14 de agosto de 2023, para que en el término de 5 dias. auto de fecha  7-12-2023 por medio del cual se fija  la inspección judicial decretada en decisión del 09 de octubre de 2019, para el el día 23 de julio del año 2024, a la hora de las 09:00 se notifica por estado el 11-12-2023. diligencia de inspeccion judicial el 23-7-2024. 31-10-2024 corre traslado para alegatos de conclusion por 5 dias. auto resuelve solicitud de fecha 17 enero de 2025 ordena integrar el Litis consorcio por pasiva con la ALCALDÍA LOCAL DE CIUDAD BOLIVAR. AUTO DESCORRE TRASLADO RADICAD ORFEO 20251300010321 DE FECHA 31 ENERO DE 2025, se notifica a la alcaldia ley 2213 articulo 8°. el 3 de febrero de 2025 alcaldia local remite contestacion de demanda.</t>
  </si>
  <si>
    <t>PARA SENTENCIA</t>
  </si>
  <si>
    <t>2019-02501</t>
  </si>
  <si>
    <t xml:space="preserve">JUZGADO 02 PENAL DEL CIRCUITO CON FUNCION DE CONOCIMIENTO </t>
  </si>
  <si>
    <t>JAIME OSCAR HENAO OCAMPO</t>
  </si>
  <si>
    <t>BOSQUE EL RETIRO</t>
  </si>
  <si>
    <t xml:space="preserve">	CONCIERTO PARA DELINQUIR
 - DESTRUCCIÓN, SUPRESIÓN Y OCULTAMIENTO DOCUMENTAK - ESTAFA
  - FALSEDAD EN DOCUMENTO PÚBLICO
 	 - FALSO TESTIMONIO</t>
  </si>
  <si>
    <t>ESTE PROCESO FUE CONSECUENCIA DE UNA RUPTURA PROCESAL DEL 2011-17928 BOSQUE EL RETIRO</t>
  </si>
  <si>
    <t>Bosque el Retiro</t>
  </si>
  <si>
    <t>422-15</t>
  </si>
  <si>
    <t>Pendiente audiencia juicio oral 24 mayo 10am y 4 junio 2pm</t>
  </si>
  <si>
    <t xml:space="preserve">AUDIENCIA JUICIO ORAL </t>
  </si>
  <si>
    <t>2019-00453</t>
  </si>
  <si>
    <t>LUIS MARIA JUEZ GAITAN</t>
  </si>
  <si>
    <t>HECTOR MORALES SUSPES</t>
  </si>
  <si>
    <t xml:space="preserve">4311-34 </t>
  </si>
  <si>
    <t>2022-01012
(11001400300520220101200)</t>
  </si>
  <si>
    <t>JUZGADO 05 CVIL MUNICIPAL DE BOGOTA</t>
  </si>
  <si>
    <t>CAMILO GONZALEZ GIL-SANDRA GONZALEZ GIL</t>
  </si>
  <si>
    <t>MARIA INES GARCIA GARCIA</t>
  </si>
  <si>
    <t>Por otra parte, consultado el mapa digital de la Defensoría del Espacio Público SIGDEP y el Sistema de Información de la Defensoría del Espacio Público-SIDEP, por el CHIP suministrado AAA0188RTWW, se encuentra que NO corresponde a la nomenclatura suministrada CL 146 A 81 A 24 sino a la nomenclatura CL 146A BIS 81A 15. Este predio se traslapa parcialmente con un área que a la fecha se encuentra incluida como bien destinado al uso público en el Inventario General de Espacio
Público y Bienes Fiscales del Sector Central del Distrito Capital, a cargo del Departamento Administrativo de la Defensoría del Espacio Público y se identifica con el RUPI 4509-3 del cual se adjunta la certificación correspondiente</t>
  </si>
  <si>
    <t>Por otra parte, consultado el mapa digital de la Defensoría del Espacio Público –
SIGDEP y el Sistema de Información de la Defensoría del Espacio Público-SIDEP, por el CHIP suministrado AAA0188RTWW, se encuentra que NO corresponde a la nomenclatura suministrada CL 146 A 81 A 24 sino a la nomenclatura CL 146A BIS 81A 15. Este predio se traslapa parcialmente con un área que a la fecha se encuentra incluida como bien destinado al uso público en el Inventario General de Espacio Público y Bienes Fiscales del Sector Central del Distrito Capital, a cargo del Departamento Administrativo de la Defensoría del Espacio Público y se identifica con el RUPI 4509-3 del cual se adjunta la certificación correspondiente</t>
  </si>
  <si>
    <t>CERROS SUBA</t>
  </si>
  <si>
    <t>4509-3</t>
  </si>
  <si>
    <t>DESPACHO 23-06-2024</t>
  </si>
  <si>
    <t>2018-27835</t>
  </si>
  <si>
    <t>FISCALÍA 328 SECCIONAL FE PÚBLICA</t>
  </si>
  <si>
    <t xml:space="preserve">JOSE EDILBERTO RUIZ </t>
  </si>
  <si>
    <t>CENTRO INDUSTRAL LA LEGUA</t>
  </si>
  <si>
    <t>FALSEDAD IDEOLOGICA Y MATERIA EN DOCUMENTO PÚBLICO</t>
  </si>
  <si>
    <t>AL PARECER CON ESCRITURA PÚBLICA FALSA ELD ENUNCIADO QUERIA QUE EL DADEP DESINCORPORARA LOS PREDIOS RUPI 472-5 472-1</t>
  </si>
  <si>
    <t>472-5 Y 472-1</t>
  </si>
  <si>
    <t xml:space="preserve">PENDIENTE VISITA AL DESPACHO PUES SE EMITIERON NUEVAS OPJ </t>
  </si>
  <si>
    <t xml:space="preserve">2018-00313
25000233600020180031300
</t>
  </si>
  <si>
    <t>CONSEJO DE ESTADO SECCION TERCERA</t>
  </si>
  <si>
    <t>PLAY PARK S.A.S.</t>
  </si>
  <si>
    <t>DADEP- MINISTERIO DE DEFENSA - POLICÍA NACIONAL- UAECD</t>
  </si>
  <si>
    <t>PERJUICIOS CAUSADOS POR LA LIMITACIÓN INJUSTIFICADA DEL USO DE LA PROPIEDAD Y LA NO PROTECCION DE DERECHOS</t>
  </si>
  <si>
    <t>4875 - 4876</t>
  </si>
  <si>
    <t>21/03/2024</t>
  </si>
  <si>
    <t>AL DESPACHO PARA SENTENCIA DE SEGUNDA INSTANCIA DESDE EL 23 DE SEPTIEMBRE DE 2024</t>
  </si>
  <si>
    <t>2020-11902</t>
  </si>
  <si>
    <t>JUZGADO CUARENTA (40) PENAL DEL CIRCUITO CON FUNCIÓN DE CONOCIMIENTO
DE BOGOTÁ</t>
  </si>
  <si>
    <t>BLANCA INÉS DURÁN HERNÁNDEZ</t>
  </si>
  <si>
    <t>CONTRATO SIN CUMPLIMIENTO DE REQUISITOS DELGALES  ART. 410 C.P</t>
  </si>
  <si>
    <t xml:space="preserve">CONTRATO SIN CUMPLIMIENTO DE REQUISITOS DELGALES </t>
  </si>
  <si>
    <t>uInforma la Fiscalía que en ejercicio de sus Funciones la Dra. Durán tramito la modificación No 1 del contrato de Administración, mantenimiento   y aprovechamiento económico No 181 del 29 de agosto de 2007, suscrito entre el DADEP y la junta de acción comunal Ciudad Tunal 1.</t>
  </si>
  <si>
    <t>490-6</t>
  </si>
  <si>
    <t>ASISTIR  AUDIENCIA COVOCADA EL  23  DE MAYO  A lAS 2PM, AUDIENCIA PREPARATORIA</t>
  </si>
  <si>
    <t xml:space="preserve">PREPARATORIA </t>
  </si>
  <si>
    <t>2019-00243
(11001400301120190024300)</t>
  </si>
  <si>
    <t>JUZGADO 11 CIVIL MUNICIPAL</t>
  </si>
  <si>
    <t>ELCIA MARIA REAL BUSTOS</t>
  </si>
  <si>
    <t>- BLANCA GLADYS BUITRAGO PULIDO - CARLOS JULIO BUITRAGO PULIDO</t>
  </si>
  <si>
    <t>PRESCRIPCION       ADQUISITVA</t>
  </si>
  <si>
    <t>ESTE DEPARTAMENTO ADMINISTRATIVO, ACLARA QUE EL PREDIO DE CONSULTA, SE TRASLAPA CON LOS PREDIOS DE USO PÚBLICO IDENTIFICADOS CON LOS RUPI 575-59 Y 575-37, LOS CUALES CORRESPONDEN AL DESARROLLO LEGALIZADO JUAN REY, EL CUAL CUENTA CON ACTA DE RECIBO NO. 162 DEL 29-12-1999. EL PREDIO CON RUPI 575-59 TIENE COMO USO NIVEL 1: ZONAS VIALES, USO NIVEL 2: VÍAS PEATONALES Y USO ESPECÍFICO: INTERIOR 1 MANZANA 13 – 14 (HOY CALLE 72B SUR), CON UN ÁREA DE 385.28 M2 Y ALINDERADO POR LOS MOJONES 296, 295, 294, 293, 292, 291, 290, 307, 319, 318, 317, 316, 315, 314, 296. EL PREDIO CON RUPI 575-37 TIENE COMO USO NIVEL 1: ZONAS VIALES, USO NIVEL 2: VÍAS PEATONALES Y USO ESPECÍFICO: PEATONAL 5 (CARRERA 13 C ESTE), CON UN ÁREA DE 399.07 M2 Y ALINDERADO POR LOS MOJONES 313, 263, 262, 261, 260, 298, 297, 296, 314, 313.</t>
  </si>
  <si>
    <t>JUAN REY</t>
  </si>
  <si>
    <t>575-59 Y 575-37</t>
  </si>
  <si>
    <t>SOMOS INTERESADOS EN DEFENDER EL ESPACIO PUBLICO LA CARGA PROCESAL ES DE LAS PARTES, SI SALE SENTENCIA A FAVOR DE DEMANDANTE SE DEBE APELAR POR LA AFECTACIÓN DEL ESPACIO PUBLICO.</t>
  </si>
  <si>
    <t>SENTENCIA 09-07-2024</t>
  </si>
  <si>
    <t>2022-00339</t>
  </si>
  <si>
    <t>JUZGADO  50 CIVIL DEL CIRCUITO</t>
  </si>
  <si>
    <t>OMAR DE JESUS SANTA SANTA</t>
  </si>
  <si>
    <t>HEREDEROS INDETERMINADOS</t>
  </si>
  <si>
    <t>EL SEÑOR OMAR DE JESUS SANTA SANTA HA POSEIDO EL INMUEBLE TV 17 65 99 SUR HACE MAS DE 10 AÑOS, SOLICITAMOS TERMINACIÓN PROCESO POR ENCONTRARSE DENTRO DEL BIEN DE USO PÚBLICO EL RUPI 2613-11, 2613-12, 2613-24, 2613-33, 2613-34, 2613-78…”</t>
  </si>
  <si>
    <t>613-11, 2613-12, 2613-24, 2613-33, 2613-34, 2613-78</t>
  </si>
  <si>
    <t>VINCULACIÓN O TERMINACIÓN PROCESO</t>
  </si>
  <si>
    <t>No. 25000232400020100003601</t>
  </si>
  <si>
    <t>CONSEJO DE ESTADO SECCIÓN PRIMERA</t>
  </si>
  <si>
    <t>MARIA EMMA CORTES DE SAMPEDRO</t>
  </si>
  <si>
    <t>CAJA DE VIVIENDA POPULAR - DADEP</t>
  </si>
  <si>
    <t>OCUPACION DE PROPIEDAD PRIVADA CON DESARROLLOS LEGALIZADOS - CHIGUAZA</t>
  </si>
  <si>
    <t>662 - 1869 - 652 - 3863 - 632 - 640 - 3291 - 509 - 594 - 2-1608 - 2-1609 - 2-1610</t>
  </si>
  <si>
    <t>AL DESPACHO PARA FALLO DESDE EL 08 DE ABRIL DE 2024</t>
  </si>
  <si>
    <t>2016-00106</t>
  </si>
  <si>
    <t xml:space="preserve">JUZGADO CIVIL DEL CIRCUITO DE ORALIDAD DE CHOCONTÁ. </t>
  </si>
  <si>
    <t>JOSÉ LAUREANO SOTO RUEDA</t>
  </si>
  <si>
    <t>CARLOS HERNANDO GIL GONZALES, DADP Y OTROS.</t>
  </si>
  <si>
    <t xml:space="preserve">PERTENENCIA SOBRE UNA PORCIÓN DEL PREDIO DENOMINADO LA POLINESIA </t>
  </si>
  <si>
    <t>PROCESO DE PERTEENNCIA SOBRE UN PREDIO QUE PERTENENCE EN UNA CUOTA PARTE AL DISTRITO CAPITAL.</t>
  </si>
  <si>
    <t>176-008086 SIN RUPI</t>
  </si>
  <si>
    <t>SEGUIMIENTO A AUDIENCIA DEL ART. 373 DEL C.G.P.</t>
  </si>
  <si>
    <t>SE FIJA FECHA PARA LLEVAR A CABO AUDIENCIA INICIAL EL PROXIMO 21-05-2024-PENDIENTE AUDIENCIA DE INSTRUCCIÓN Y JUZGAMIENTO</t>
  </si>
  <si>
    <t xml:space="preserve"> 2021-00341
(11001310301420210034100)
</t>
  </si>
  <si>
    <t>JUZGADO 14 CIVIL DEL CIRCUITO</t>
  </si>
  <si>
    <t>SANTIAGO MILLÁN PEDRAZA</t>
  </si>
  <si>
    <t xml:space="preserve">ALIANZA FIDUCIARIA S.A </t>
  </si>
  <si>
    <t>CONSTRUCCIÓN SOBRE  ESPACIO PUBLICO</t>
  </si>
  <si>
    <t>DEMOLICION MURO UBICADO EN LA  Carrera 15 No 94-45 y Carrera 15 No 94-55
de Bogotá.</t>
  </si>
  <si>
    <t>726-12</t>
  </si>
  <si>
    <t>CONTESTACION DEMANDA EL 17-8-2023- FALTA LEGITIMACION DADEP- PROCESO AL DESPACHO 7-2-2023, SE FIJA DILIGENCIA PACTO DE CUMPLIMIENTO DE FECHA 17 OCTUBRE DE 2023 , SE LLEVA A ACABO DILIGENCIA DE PACTO  SE DECLARA FALLIDA , INGRESA AL DESPACHO EL 2-11-2023  sin novedad procesal desde el 19-2-2024.</t>
  </si>
  <si>
    <t>2021-00356
11001400304420210035600</t>
  </si>
  <si>
    <t>JUZGADO 44 CIVIL MUNICIPAL</t>
  </si>
  <si>
    <t>HERMES LEON ALVARO</t>
  </si>
  <si>
    <t>LUIS ALFONSO GAITAN</t>
  </si>
  <si>
    <t xml:space="preserve">EL SEÑOR HERMES LEON ALVARADO ES POSEEDOR MATERIAL QUIETO Y PACIFICO DEL PREDIO IDENTIFICADO EN LA DEMANDA. 2.- EL ÚLTIMO PROPIETARIO DEL BIEN INMUEBLE MATERIA DE LA PRESENTE LITIS FUE EL SEÑOR LUIS ALFONSO GAITAN REINA, SEGÚN SE COLIGE DE LA ANOTACIÓN N° 2 DEL CERTIFICADO DE TRADICIÓN Y LIBERTAD CORRESPONDIENTE AL FOLIO DE MATRÍCULA INMOBILIARIA N° 50 N 20070475 Y LO ESTABLECIDO EN LA ESCRITURA PUBLICA N°2257 DE FECHA 25 DE MAYO DE 1992, OTORGADA POR LA NOTARIA 25 DEL CÍRCULO NOTARIAL DE BOGOTÁ D.C., </t>
  </si>
  <si>
    <t>NOGALES DE TIBABUYES</t>
  </si>
  <si>
    <t>732-25</t>
  </si>
  <si>
    <t>DESPACHO 13-09-2024</t>
  </si>
  <si>
    <t>2023-00275
11001310302520230027500</t>
  </si>
  <si>
    <t>JUZGADI 25 CIVIL DEL CURCUITO</t>
  </si>
  <si>
    <t>DEPARTAMENTO ADMINSITRATIVO DE LA DEFENSORIA DEL ESPACIO PUBLICO</t>
  </si>
  <si>
    <t>COVIPRO EN LIQUIDACION</t>
  </si>
  <si>
    <t xml:space="preserve">RECUPERACIÓN ESPACIO PÚBLICO </t>
  </si>
  <si>
    <t>ENTRE LAS ZONAS DE USO PÚBLICO APROBADAS POR LA RESOLUCIONES 115 DEL 12 DE MARZO DE 1990 Y 213 DE 1993 Y EL PLANO S.535/4-00 SE ENCUENTRA LA DENOMINADA ZONA VERDE 2 IDENTIFICADA CON LOS MOJONES 63-64-65-66-67-68-63 CON 3.643.00 METROS CUADRADOS. EL PREDIO FUE INCORPORADO AL REGISTRO ÚNICO DE PATRIMONIO INMOBILIARIO RUPI 732-25 CON DIRECCIÓN CALLE 132B/ CALLE 132C/ CALLE 134. MEDIANTE MEMORANDO 20223010029623 DEL 23 DE MAYO DEL 2022 LA SUBDIRECCIÓN DE GESTIÓN INMOBILIARIA DE ESTE DEPARTAMENTO ADMINISTRATIVO INFORMÓ QUE: “EN EL MARCO DE LA REVISIÓN DEL LISTADO DE BIENES CLASIFICADOS COMO INVADIDOS PARA EL AÑO 2021 NIIF, ACTUALMENTE NOS ENCONTRAMOS ADELANTANDO MESAS DE TRABAJO INTERINSTITUCIONALES, PARA VERIFICAR QUE ACCIONES SE ENCUENTRAN EN CURSO Y QUE PERMITAN ESTABLECER SI ESE ES EL ESTADO ACTUAL DE CADA UNO DE LOS PREDIOS LISTADOS.” EN ESTE ENTENDIDO NOS PERMITIMOS REMITIR 3 VISITAS DE DIAGNÓSTICO PARA LOS PREDIOS IDENTIFICADOS CON LOS RUPI: • 2-1245: LOCALIDAD LA CANDELARIA, PREDIO PÚBLICO DENTRO DE PREDIO PRIVADO. • 2-1252: LOCALIDAD SANTA FE, PASAJE COMERCIAL DENOMINADO ANTIGUO CAMELLÓN DE LOS CARNEROS. • 732-25: LOCALIDAD SUBA, CONSTRUCCIÓN DE 32</t>
  </si>
  <si>
    <t>NOTIFICACION DE LA DEMANDA AL DEMANDADO Y A LOS VINCULADOS</t>
  </si>
  <si>
    <t>DESPACHO 17-04-2024- PARA SEÑALAR FECHA DE AUDIENCIA DE PACTO. 30/07/2024. Se radicó poder para actuar por parte de la abogada Magda Bolena Rojas para representar al DADEP</t>
  </si>
  <si>
    <t>2016-00458  (11001310300520160045800)</t>
  </si>
  <si>
    <t>JUZGADO 5 CIVIL DEL CIRCUITO DE ORALIDAD DE BOGOTÁ</t>
  </si>
  <si>
    <t>INVERSIONES ARBOLEDA Y CIA S EN C.</t>
  </si>
  <si>
    <t>CUELLAR SERRANO GOMEZ Y SALAZAR S.A..</t>
  </si>
  <si>
    <t>3682-15</t>
  </si>
  <si>
    <t>TRIBUNAL SUPERIOR DE BOGOTÁ MEDIANTE AUTO DE FECHA 16/03/2022 NIEGA RECURSO DE APELACIÓN, SEGUIMIENTO PROCESAL.</t>
  </si>
  <si>
    <t>2022-01273</t>
  </si>
  <si>
    <t>JUZGADO 9 CIVIL MUNICIPAL DE BOGOTÁ</t>
  </si>
  <si>
    <t>MARIA LIGIA DIAZ RISCANEVO</t>
  </si>
  <si>
    <t>MERCEDES REAY BELTRAN</t>
  </si>
  <si>
    <t>LA SEÑORA MARÍA LIGIA DIAZ HA POSEISO EL INMUEBLE CL 49 SUR 14 95 ESTE DURANTE MAS DE 10 AÑOS, EL MISMO SE ENCUENTRA TRASLAPADO SOBRE LA ZONA DE CESIÓN 762-16 SOLICITAMOS TERMINACIÓN PROCESO ANTICIPADA</t>
  </si>
  <si>
    <t>762-16</t>
  </si>
  <si>
    <t>2014-00494</t>
  </si>
  <si>
    <t>HUGO TRIVIÑO REYES</t>
  </si>
  <si>
    <t>USO DE DOCUMENTO PUBLICO FALSO - FRAUDE PROCESAL</t>
  </si>
  <si>
    <t>MEDIANTE SENTENCIA FALSA APROPIACION DE ZONAS DE USO PUBLICO</t>
  </si>
  <si>
    <t>CONJUNTO BUENA VISTA</t>
  </si>
  <si>
    <t>809-4</t>
  </si>
  <si>
    <t>VISITA FISCALIA - EN SEGUIMIENTO PARA QUE SE EXPIDA PROGRAMA METODOLÓGICO</t>
  </si>
  <si>
    <t xml:space="preserve">2009-00822 </t>
  </si>
  <si>
    <t>GIMNASIO IRAGUA - CORPADE</t>
  </si>
  <si>
    <t>ENTREGA Y ESCRITURACION DE LAS ZONAS DE CESION IRAGUA</t>
  </si>
  <si>
    <t>GIMNASIO IRAGUA</t>
  </si>
  <si>
    <t>2119-1   2119-2</t>
  </si>
  <si>
    <t>DEMANDANTE ENTREGAR Y ESCRITURAR</t>
  </si>
  <si>
    <t>CONTINUAR CON EL SEGUIMIENTO DEL CUMPLIMIENTO FALLO.                                                                                                                                                                                                                                                                                 En la rama judicial la ultima actuaciòn aparece con la recepciòn de un memorial  con informe de avance y flujo de caja con fecha del13 de septiembre de 2021). el 12 de Julio de 2022 se solicita por la SJD a la Unidad Administrativa Especial de Catastro Distrital dar inicio al trámite de las actas de colindancia con los predios particulares y enviarlas al Colegio Gimnasio Iragua, se cito a mesa de trabajo para el 22 de Agosto de 8:00 a 9:00 am por Teams a fin de hacer seguimiento a esta actividad y revisar avances.  se presentó informe de cumplimiento al despacho por parte de CATASTRO el dia 5-9-2022 revisada la web de la rama judicial el expediente se encuentra en digitalizacion desde el 5 -10-2022, reunion llevada a cabo el 15 noviembre de 2022, compromisos ante catastro. en reunion de fecha 16 -11-2022 se hablo sobre la posibilidad que el poseedor con autorizacion del juez suscriba acta de colindancia. Solicitar prórroga para la firma del acta de colindancia del predio calle 170- 76-55, poseedor señor José Galindo.Elevar consulta al Juez, respecto de la viabilidad de suscribir o autorizar el acta de colindancia y solicitar  concepto a registro.  se fija audiencia  para verificacion de cumplimiento de fallo para el  15 DE AGOSTO DE 2023 A LAS 9:00 AM. Se asistio a mesa de trabajo el dia 26 Junio de 2023,  Auto de fecha 15-8-2023 no se fijan compromisos al DADEP. SE FIJA COMO FECHA PARA CONTINUACIÓN DE AUDIENCIA EL 12 DE MARZO DE 2024 A LAS 9:00 A.M.  audiencia verificacion cumplimiento de fallo de fecha 12-3-2024  se programa para continuar el 24-10-2024 a fin de INFORMAR SE OBTENGA LA ACTUALIZACION DE LA LICENCIA iragua se compromete a ENVIAR INFORMES BIMENSUALES AL DADEP Y A LA SEC JURIDICA a fin de  VERIFICAR EL ADELANTAMIENTO DE LAS OBRAS. se radico solicitud de aplazamiento de la audiencia el dia 8-10-2024 por parte del colegio iragua solicitud de coadyuvo la SJD  el DESPACHO reprograma diligencia para el 27 de MARZO DE 2025 a las 9:30 am. El día 31-01-2025 proceso ingresa a despacho. El 07/02/2025 Auto fija como nueva fecha para llevar a cabo la audiencia que fue inicialmente programada en auto emitido el 10 de octubre del 2024, para la hora de las 09:30 A.M. auto de fecha 7 febrero de 2025 fija fecha  audiencia para verificacion de cumplimiento el  día 26 del mes de MARZO del año 2025</t>
  </si>
  <si>
    <t>2017-47169</t>
  </si>
  <si>
    <t>FISCALÍA 365 SECCIONAL DE ORDEN ECONÓMICO</t>
  </si>
  <si>
    <t xml:space="preserve">JOAQUIN ORDOÑEZ CARRILLO, PABLO ENRIQUE RIVERA Y RICHRAD ARMANDO ARDILA ALBARACIN </t>
  </si>
  <si>
    <t xml:space="preserve">PRESENTACIÓN DEMANDA PERTENECIA SOBRE BIEN DE USO PÚBLICO </t>
  </si>
  <si>
    <t xml:space="preserve">CARIMAGUA </t>
  </si>
  <si>
    <t>907-36, 907-44, 907-14</t>
  </si>
  <si>
    <t>LA FISCAL INDICA QUE EL PROCESO NO CUENTA CON AVANCES COMO QUIERA QUE SE EMITIO FALLO EL 19 DE FEBRERO DE 2024 DE CONFORMIDAD CON LA ACCION POPULAR INSTAURADA POR EL DADEP Y LA CUAL RESULTO EN SU FAVOR, PUES SE DIO UN PLAZO PARA EL CUMPLIMIENTO DEL RESTABLECIMIENTO DEL PREDIO, POR ELLO SE ESTA A AL ESPERA DEL CUMPLIMIENTO DEL TERMINO PARA PROCEDER CON LAS ACTUACIONES A LAS QUE HAYA LUGAR</t>
  </si>
  <si>
    <t>(2021-00385)
11001310303720210038500</t>
  </si>
  <si>
    <t>JUZGADO 37 CIVIL DEL CIRCUITO</t>
  </si>
  <si>
    <t>JOAQUIN ORDOÑEZ CARRILLO; PABLO ENRIQUE RIVERA; RICHARD ARMANDO ARDILA ALBARRACIN</t>
  </si>
  <si>
    <t>RECUPERACION DE ESPACIO</t>
  </si>
  <si>
    <t>DEL ANÁLISIS URBANÍSTICO DEL SECTOR, AL CONSULTAR EN LA PLANOTECA DE LA SECRETARIA DISTRITAL DE PLANEACIÓN DEL PREDIO OBJETO DE ESTA DEMANDA IDENTIFICADO CON EL CHIP AAA0042PYCN, SE ENCUENTRA INMERSO EN LA URBANIZACIÓN DE NOMBRE “URBANIZACION CARIMAGUA I SECTOR”, EN LA BASE DE DATOS DE LA SECRETARÍA, TAMBIÉN SE ESTABLECIÓ QUE LAS ZONAS DE LA REFERENCIA, OSTENTAN DE UN SEÑALAMIENTO URBANÍSTICO COMO VÍA VEHICULAR- CARRERA 65 II (V-7), ESTACIONAMIENTO, BAHÍA Y/O PARQUEADERO – ESTACIONAMIENTO VII Y PARTE DE LA ZONA COMUNAL - CONCENTRACIÓN ESCOLAR, ACORDE A LOS PLANOS DEBIDAMENTE APROBADOS NOS. B.91/4-06 Y B.91/4-06, EN LA UPZ - 45 CARVAJAL DE LA LOCALIDAD DE KENNEDY. RUPI 907-36:- VÍA VEHICULAR- CARRERA 65 II (V-7), DEMARCADA DENTRO DE LOS SIGUIENTES MOJONES 229,235,239,240,229 Y CON UN ÁREA SUPERFICIAL DE 1.172.1 M2, CON FOLIO DE MATRÍCULA INMOBILIARIA 50S-40737294 DE LA OFICINA DE INSTRUMENTOS PÚBLICOS ZONA SUR, CUYO TITULAR DE DERECHO DE DOMINIO ES BOGOTÁ, DISTRITO CAPITAL. RUPI 907 - 44: ZONA COMUNAL - CONCENTRACIÓN ESCOLAR, DEMARCADA DENTRO DE LOS SIGUIENTES MOJONES 225,226,227,228,229,230,231,232,233,240,241,225 Y CON UN ÁREA SUPERFICIAL DE 9.779,07M2, CON FOLIO DE MATRÍCULA INMOBILIARIA 50S-40737316 DE LA OFICINA DE INSTRUMENTOS PÚBLICOS ZONA SUR, CUYO TITULAR DE DERECHO DE DOMINIO ES BOGOTÁ, DISTRITO CAPITAL. RUPI 907-51:- ESTACIONAMIENTO, BAHÍA Y/O PARQUEADERO – ESTACIONAMIENTO VII, DEMARCADA DENTRO DE LOS SIGUIENTES MOJONES 230, 231, 232, 233, 230 CON UN ÁREA SUPERFICIARIA DE 1.329,44 M2, CON FOLIO DE MATRÍCULA INMOBILIARIA 50S-40737323 DE LA OFICINA DE INSTRUMENTOS PÚBLICOS ZONA SUR, CUYO TITULAR DE DERECHO DE DOMINIO ES BOGOTÁ, DISTRITO CAPITAL.</t>
  </si>
  <si>
    <t>CARIMAGUA</t>
  </si>
  <si>
    <t>907-36; 907-44;907-51</t>
  </si>
  <si>
    <t>SENTENCIA DE PRIMERA INSTANCIA A FAVOR DEL DADEP.</t>
  </si>
  <si>
    <t>DESPACHO 21-11-2024</t>
  </si>
  <si>
    <t>2016-00811 (11001400304520160081100)</t>
  </si>
  <si>
    <t>JUZGADO 45 CIVIL MUNICIPAL DE ORALIDAD</t>
  </si>
  <si>
    <t>JOSE HERNANDO PINEDA ZAMUDIO</t>
  </si>
  <si>
    <t>ELVIRA PINZON DE LOZANO</t>
  </si>
  <si>
    <t>REINVIDICATORIO</t>
  </si>
  <si>
    <t> SAN CRISTOBAL ALTO</t>
  </si>
  <si>
    <t>2604-19</t>
  </si>
  <si>
    <t xml:space="preserve">SEGUIMIENTO AL PROCESO. FIJACION AUDIENCIA INICIAL </t>
  </si>
  <si>
    <t>NOTIFICACIÓN DE LA DEMANDA</t>
  </si>
  <si>
    <t>2019-00133
(11001334306520190013300)</t>
  </si>
  <si>
    <t>JUNTA DE ACCIÓN COMUNAL DE SUBA COMPARTIR III</t>
  </si>
  <si>
    <t>NULIDAD DEL CONTRATO Y RESOLUCIONES DE SANCION DEL CAMEP SUBA COMPARTIR ESTAPA III</t>
  </si>
  <si>
    <t>PRETENDE LA JUNTA DE ACCION COMUNAL SE DECLAREN NULAS LAS RESOLUCIONES 230 DE 1/08/2020 Y 188 DE 21/06/2018</t>
  </si>
  <si>
    <t>SUBA COMPARTIR ETAPA III</t>
  </si>
  <si>
    <t xml:space="preserve"> $300.000.000,00 </t>
  </si>
  <si>
    <t>941-9
941-68</t>
  </si>
  <si>
    <t>19/07/2024</t>
  </si>
  <si>
    <t>REMISIÓN A SUPERIOR PARA ESTUDIO Y ADMISIÓN DE RECURSO DE APELACIÓN</t>
  </si>
  <si>
    <t>EN ESPERA DE ADMISIÓN DE RECURSO DE APELACIÓN EN SEGUNDA INSTANCIA</t>
  </si>
  <si>
    <t>2020-56801</t>
  </si>
  <si>
    <t>FISCALÍA 238 SECCIONAL</t>
  </si>
  <si>
    <t>BAQUERO TORRES, JAVIER - LEGUIZAMÓN JIMÉNEZ, OMAR GERMÁN</t>
  </si>
  <si>
    <t xml:space="preserve">APROPIACIÓN DE TERRENOS DEL DISTRITO MEDIANTE FALSEDAD </t>
  </si>
  <si>
    <t>FALSEDAD DOCUEMENTO PÚBLICO
FRAUDE PROCESAL</t>
  </si>
  <si>
    <t xml:space="preserve">FALSEDAD DE DOCUMENTOS (CONTRATO DE POSESIÓN) PARA ADQUIRIR MEDIANTE PRESCRIPCIÓN EN EL JUZGADO 44 CIVIL DEL CIRCUITO  EL PREDIO IDENTIFICADO CON RUPI 953 URBANIZACIÓN LA ESTANCIA </t>
  </si>
  <si>
    <t xml:space="preserve">LA ESTANCIA </t>
  </si>
  <si>
    <t>953</t>
  </si>
  <si>
    <t xml:space="preserve">Se envia correo 05/04/24 en el que se solicita a la fiscal indicar viabilidad para programar nuevamente la audiencia preliminar de suspension del poder dispositivo ya que la documentacion requerida fue entregada en el mes de marzo para su conocimiento y estudio </t>
  </si>
  <si>
    <t>2016-00908 (11001400306720160090800)</t>
  </si>
  <si>
    <t>JUZGADO 68 CIVIL MUNICIPAL DE BOGOTÁ</t>
  </si>
  <si>
    <t>INVERGALTEC DE COLOMBIA S.A.</t>
  </si>
  <si>
    <t>JAIRO NICODEMUS HERNANDEZ ROMERO</t>
  </si>
  <si>
    <t>MEDIANTE RADICADO 20182010070661  SE INFORMA  QUE CON REFERENCIA AL PREDIO CON FOLIO DE MATRÍCULA INMOBILIARIA 50C-624446, EL MISMO SE ENCUENTRA EN CABEZA DE DEL DISTRITO CAPITAL.</t>
  </si>
  <si>
    <t>POR ESTABLECER, YA QUE EL PREDIO NO SE IDENTIFICA CON RUPI Y TAMPOCO SE RELACIONA ESTA INFORMACIÓN EN EL INFORME TÉCNICO REMITIDO AL JUZGADO</t>
  </si>
  <si>
    <t>NO SE ESTABLECE EL RUPI EN EL INFORME TÉCNICO</t>
  </si>
  <si>
    <t xml:space="preserve">SEGUIMIENTO AL PROCESO. PENDIENTE DESIGNACIÓN DE CURADOR PARA INTEGRAR EL CONTRADICTORIO. </t>
  </si>
  <si>
    <t>NOTIFICACIÓN DE LA DEMANDA-INTEGRACIÓN DEL CONTRADICTORIO</t>
  </si>
  <si>
    <t>2016-01021</t>
  </si>
  <si>
    <t>JUZGADO 78 CIVIL MUNICIPAL</t>
  </si>
  <si>
    <t>ARISTODEMUS RAMIREZ RAMIREZ</t>
  </si>
  <si>
    <t>MARIELA SANCHEZ</t>
  </si>
  <si>
    <t>REIVINDICATORIO SOBRE SALON COMUNAL LA LIBERTAD DE BOSA</t>
  </si>
  <si>
    <t>DESARROLLO LEGALIZADO LA LIBERTAD</t>
  </si>
  <si>
    <t>3473-9</t>
  </si>
  <si>
    <t>SEGUIMIENTO DEL PROCESO - PENDIENTE FIJACIÓN DE AUDIENCIA INICIAL EN EJECUCIÓN DE COSTAS.</t>
  </si>
  <si>
    <t xml:space="preserve">EJECUCIÓN DE COSTAS </t>
  </si>
  <si>
    <t>2022-00900
(1100140030240090000)</t>
  </si>
  <si>
    <t>JUZGADO 24 CIVIL MUNICIPAL DE BOGOTA</t>
  </si>
  <si>
    <t xml:space="preserve"> LIBIA FERRO FONTECHA</t>
  </si>
  <si>
    <t>ANA ROSA ALONSO DE MATEUS</t>
  </si>
  <si>
    <t>“CONSULTADO EL MAPA DIGITAL DE LA DEFENSORÍA DEL ESPACIO PÚBLICO – SIGDEP Y EL SISTEMA DE INFORMACIÓN DE LA DEFENSORÍA DEL ESPACIO PÚBLICO-SIDEP, SE ESTABLECIÓ QUE EL PREDIO CON CL 73B SUR 88B 32, SE TRASLAPA PARCIALMENTE CON UN PREDIO QUE SE ENCUENTRA INCLUIDO COMO BIEN DESTINADO AL USO PÚBLICO EN EL INVENTARIO GENERAL DE ESPACIO PÚBLICO Y BIENES FISCALES DEL SECTOR CENTRAL DEL DISTRITO CAPITAL, A CARGO DEL DEPARTAMENTO ADMINISTRATIVO DE LA DEFENSORÍA DEL ESPACIO PÚBLICO Y SE IDENTIFICA CON EL RUPI 995-39, LA CERTIFICACIÓN CORRESPONDIENTE”</t>
  </si>
  <si>
    <t>SAN BERNARDINO</t>
  </si>
  <si>
    <t>995-39</t>
  </si>
  <si>
    <t>DESPACHO 31-07-2024</t>
  </si>
  <si>
    <t>2018-00221</t>
  </si>
  <si>
    <t>JUZGADO 11 CIVIL MUNICIPAL DE BOGOTA</t>
  </si>
  <si>
    <t>LIGIA ROJAS SÁNCHEZ</t>
  </si>
  <si>
    <t>JORGE IGNACIO ROJAS SÁNCHEZ</t>
  </si>
  <si>
    <t>SEGUIMIENTO A DESVINCULACIÓN DEL PROCESO, CON AUDIENCIA EN FECHA 19-11-2024</t>
  </si>
  <si>
    <t>2015-01049</t>
  </si>
  <si>
    <t>CONSTRUCTORA GERONA DEL VERGEL</t>
  </si>
  <si>
    <t>ENTREGA Y ESCRITURACION GERONA DEL VERGEL</t>
  </si>
  <si>
    <t>GERONA DEL VERGEL</t>
  </si>
  <si>
    <t>4009-1,4009-4 y 4009-5</t>
  </si>
  <si>
    <t>Se verifica en el SIDEP, y el acta de toma de posesión No 24 de fecha de 21 de octubre de 2021,La misma contiene la anotación del proceso judicial, enunciando la sentencia proferida por el juzgado 38 civil del circuito de Bogotá, el 07 de mayo del 2019. se procede a entregar el expediente físico para trasferencia documental.  Mediante memorando  20231300024953  de fecha 13/06/2023 se solicita a registro se estudie la viabilidad de declataroria de propiedad pública. Mediante orfeo 20232030110961 de julio 2023 SRI solicita adelantar gestiones de sanamiento en el mes de julio de 2023 SRI toma acciones e informa al urbanizador  ORFEO. 20232030110961</t>
  </si>
  <si>
    <t>2015-01081</t>
  </si>
  <si>
    <t>FUNDACION EMPRESA PRIVADA COMPARTIR</t>
  </si>
  <si>
    <t>ENTREGA DE ZONAS DE CESION COMPARTIR SUBA</t>
  </si>
  <si>
    <t>COMPARTIR SUBA</t>
  </si>
  <si>
    <t>941-198</t>
  </si>
  <si>
    <t xml:space="preserve">SEGUIMIENTO PROCESAL - SENTENCIA 01-02-2022 A FAVOR DE LA ENTIDAD. 07-02-2022 RECURSO DE APELACIÓN. 25-02-2022 AUTO CONCEDE RECURSO DE APELACIÓN EFECTO SUSPENSIVO FIJA HONORARIOS PERITO.09-03-2022 SE ELABORO OFICIO APELACIÒN TRIBUNAL.08-04-2022 ADMITE EN EL EFECTO DEVOLUTIVO RECURSO DE APELACIÓN, TERMINO 18-04-2022.04-05-2022 RECIBO MEMORIAL SOLICITANDO CAMBIO DE ACCIONADO DADEP. TRASLADO RECURSO.10-05-2022 AL DESPACHO. 13-05-2022 AUTO DECLARA DESIERTO RECURSO DE PARROQUIA MADRE DEL REDENTOR. 26-05-2022 AL DESPACHO. 29-07/2022 RESOLVIO RECURSO DE APELACION SENTENCIA DE SEGUNDA INSTANCIA MODIFICO EL FALLOSEGUNDO: ORDENAR a la FUNDACIÓN EMPRESA PRIVADA COMPARTIR y las vinculadas ASOCIACIÓN COMPARTIR SUBA III y PARROQUIA MADRE DEL REDENTOR DE SUBA para que, en el término d e los seis (6) meses siguientes a la ejecutoria de esta providencia, restituyan materialmente al Distrito Capital, representado por el Departamento Administrativo de la Defensoría del Espacio Público de Bogotá, DC, los bienes de uso público ubicados en la Avenida Carrera 118 n.° 152-02, Avenida Carrera 118 n.° 151B-04 y la carrera 117 n.° 151B Bis - 02, identificados con las matrículas inmobiliarias n.° 50N-20430187, 50N20108242, 50N-20141581, 50N-20055104, 50N-20048987, 50N-20086269, 50N-20086270, 50N-488788, 50N-20048986 y 50N-20099646 y cuyos linderos se encuentran en las escrituras públicas n.° 2252 del 30 de mayo de 2002 y 2002 del 12 de mayo de 2004 de la Notaría 31 de Bogotá, DC, y que se hallan en los anexos de la demanda. AUTO 28-10-2022, Me permito comunicarle que mediante sentencia del 1º de febrero de 2022 proferida por este Despacho, la cual fue modificada y adicionada por el Honorable Tribunal Superior del Distrito Judicial de Bogotá D.C., el 29 de julio de 2022, dispuso oficiarles para que proceda a designar un miembro de esa entidad quien conformará, junto con un agente del Departamento Administrativo de la Defensoría del Espacio Público – DADEP, el comité parala verificación del cumplimiento de la sentencia referida. Se remitio mediante correo electronico comunicacion ald espacho de designación funcionario del DADEP, para cumplimiento de fallo.Mediante memorando radicado orfeo 20231300042023 del 27/11/2023, se solicito a SGI informe estado de administración de los predios objeto de acción popular. 20243060013733 Contestacion SGI seguimiento fallo.
</t>
  </si>
  <si>
    <t>SRI/SGIE</t>
  </si>
  <si>
    <t>2018-00337
11001333400320180033700</t>
  </si>
  <si>
    <t>EMPRESA DE ACUEDUCTO DE BOGOTA - SUPERINTENDENCIA DE SERVICIOS PÚBLICOS</t>
  </si>
  <si>
    <t>NULIDAD RESOLUCIONES QUE CONDENARON AL PAGO DEL SERVIVIO DE ASEO</t>
  </si>
  <si>
    <t>NULIDAD RESOLUCIONES EMITIDAS POR LA EAAB Y CONFIRMADA POR LA SSPD EN LA CUAL CONDENAN AL PAGO DE SERVICIO DE ASEO</t>
  </si>
  <si>
    <t>AV CARRERA 68 CALLE 26 -BAJO PUENTE-</t>
  </si>
  <si>
    <t>ACTOS ADMINISTRATIVOS</t>
  </si>
  <si>
    <t>30/06/2023</t>
  </si>
  <si>
    <t>ADMISIÓN DEL RECURSO DE APELACIÓN</t>
  </si>
  <si>
    <t>RECURSO DE APELACIÓN ADMITIDO - PARA SENTENCIA DE SEGUNDA INSTANCIA</t>
  </si>
  <si>
    <t xml:space="preserve">2022-00230
11001333704320220023000
</t>
  </si>
  <si>
    <t>JUZGADO 43 ADMINISTRATIVO</t>
  </si>
  <si>
    <t>SECRETARIA DISTRITAL DE AMBIENTE
SECRETARIA DISTRITAL DE HACIENDA</t>
  </si>
  <si>
    <t>NULIDAD DE ACTOS ADMINISTRATIVOS DENTRO DE UN COBRO COACTIVO</t>
  </si>
  <si>
    <t>QUE SE DECLARE LA NULIDAD DE ACTOS ADMINISTRATIVOS PROFERIDOS POR LA SECRETARIA DE HACIENDA DENTRO DEL COBRO COACTIVO 202012158100012834</t>
  </si>
  <si>
    <t>$                      19.105.198.00</t>
  </si>
  <si>
    <t>$19.105.198.00</t>
  </si>
  <si>
    <t>SENTENCIA A FAVOR DEL DADEP 23-11-2023 Y ADICIONADA EL 7-12-2023 FUE APELADA POR LOS DEMANDADOS PENDIENTE CONCEDER Y ENVIAR AL TAC</t>
  </si>
  <si>
    <t>DESPACHO DEL TAC PARA APELACIÓN 08-04-2024</t>
  </si>
  <si>
    <t>(2021-00155)
11001310502720210015500</t>
  </si>
  <si>
    <t>JUZGADO 27 LABORAL DEL CIRCUITO</t>
  </si>
  <si>
    <t>MARIA DEL CARMEN CARO GUTIERREZ</t>
  </si>
  <si>
    <t>DEPARTAMENTO ADMINISTRATIVO DE LA DEFENSORIA DEL ESPACIO PUBLICO- ALCALDIA LOCAL DE SAN CRISTOBAL</t>
  </si>
  <si>
    <t>SALARIOS Y PRESTACIONES SOCIALES</t>
  </si>
  <si>
    <t>LA DEMANDANTE MARIA DEL CARMEN CARO GUTIERREZ DEMANDA AL DSITRITO CAPITAL, JUNTA DE ACCION COMUNAL DEL BARRIO EDUARDO SANTOS.AL IDEPAC, Y AL DADEP POR LA PRESUNTA EXISTENCIA RELACION LABORAL POR SERVICIOS GENERALES PRESTADOS EN EL SALÒN COMUNAL DEL BARRIO EDUARDO SANTOS DESDE EL AÑO 2004 HASTA LA FECHA. SALON COMUNAL QUE VIENEN OCUPANDO CON SU FAMILIA DESDE EL AÑO 1974.</t>
  </si>
  <si>
    <t>EDUARDO SANTOS</t>
  </si>
  <si>
    <t>$186.040.420.00</t>
  </si>
  <si>
    <t>N/4</t>
  </si>
  <si>
    <t>CONTESTACION DE LA DEMANDA POR PARTE DEL DADEP</t>
  </si>
  <si>
    <t>AUDIENCIA 10-09-2025 08.30 AM</t>
  </si>
  <si>
    <t>(2022-00170)
11001333603620220017000</t>
  </si>
  <si>
    <t>DEFENSORIA DEL ESPACIO PUBLICO</t>
  </si>
  <si>
    <t>DARIO GARZON NAVARRETE</t>
  </si>
  <si>
    <t>COBRO DE CANONES DE ARRENDAMIENTO</t>
  </si>
  <si>
    <t>LIBRAR MANDAMIENTO DE PAGO EN FAVOR DEL DEPARTAMENTO ADMINISTRATIVO DE LA DEFENSORIA DEL ESPACIO PUBLICO-DADEP Y EN CONTRA DEL SEÑOR DARIO GARZON NAVARRETE, MAYOR DE EDAD, DOMICILIADO Y RESIDENCIADO EN LA CIUDAD DE BOGOTÁ, IDENTIFICADO CON LA CÉDULA DE CIUDADANÍA NRO. 19.066.718 POR LAS OBLIGACIONES PACTADAS E IMPAGADAS EN EL CONTRATO DE ARRENDAMIENTO, POR EL VALOR OCHO MILLONES NOVESCIENTOS VEINTISEIS MIL CUATROCIENTOS PESOS M/CTE</t>
  </si>
  <si>
    <t>PAGO DE CANONES DE ARRENDAMIENTO POR VALOR DE $8.926.400.oo</t>
  </si>
  <si>
    <t>ESTA EN CALIFICACION DE MANDAMIENTO DE PAGO</t>
  </si>
  <si>
    <t>SEGUIMIENTO PARA AUTO QUE LIBRA MANDAMIENTO DE PAGO</t>
  </si>
  <si>
    <t>DESPACHO 08-03-2024</t>
  </si>
  <si>
    <t xml:space="preserve"> 2022-04872</t>
  </si>
  <si>
    <t xml:space="preserve">JUZGADO 46 PENAL DEL CIRCUITO CON FUNCION DE CONOCIMIENTO BOGOTA </t>
  </si>
  <si>
    <t>JESÚS PASCUAL MUNDO GUERRERO</t>
  </si>
  <si>
    <t>VÍCTIMA</t>
  </si>
  <si>
    <t>HURTO A SEÑALES DE TRÁNSITO</t>
  </si>
  <si>
    <t>HURTO CALIFICADO Y AGRAVADO</t>
  </si>
  <si>
    <t xml:space="preserve">Se asiste a audiencia que resuelve recurso de apelacion interpuesto por la FGN, pendiente a la pogramacion de audiencia </t>
  </si>
  <si>
    <t>AUDIENCIA CONCENTRADA</t>
  </si>
  <si>
    <t>(2016-02329) 25000233600020160232900</t>
  </si>
  <si>
    <t>CONSEJO DE ESTADO SECCIÓN TERCERA</t>
  </si>
  <si>
    <t>TELÉSFERICO MONSERRATE S.A.</t>
  </si>
  <si>
    <t>CONTRATO DE ARRENDAMIENTO</t>
  </si>
  <si>
    <t>TELESFERICO MONSERRATE SOLICITA DEVOLUCIÓN DEL PORCENTAJE DE LOS PREDIOS QUE FUERON OCUPADOS ILEGALMENTE Y QUE FUERON OBJETO DEL CONTRATO DE ARRENDAMIENTO No. 012 DE 1991</t>
  </si>
  <si>
    <t>15/12/2023</t>
  </si>
  <si>
    <t>AL DESPACHO PARA SENTENCIA DE SEGUNDA INSTANCIA.</t>
  </si>
  <si>
    <t>(2019-00381)         110013343065201900381</t>
  </si>
  <si>
    <t>JUZGADO 65 ADMINISTRATIVO</t>
  </si>
  <si>
    <t>FREDY CONTRERAS ROJAS</t>
  </si>
  <si>
    <t>ACCIDENTE EN PARQUE VECINAL</t>
  </si>
  <si>
    <t>Los señores FREDY CONTRERAS ROJAS y ALEXANDRA BECERRA GARZON quienes actùan  en calidad de padres de la menor DANNA ISABELLA CONTRERAS BECERRA quien se lesiono la cara anterior del muslo con la lamina de un rodadero que esta en mal estado del Santa Ana Sur</t>
  </si>
  <si>
    <t>Santa Ana</t>
  </si>
  <si>
    <t>$ 22.838.300</t>
  </si>
  <si>
    <t>AUDIENCIA DE PRUEBAS PROGRAMADA PARA EL DIA 13 DE NOVIEMBRE DEL 2024 A LAS 10:30 A.M.</t>
  </si>
  <si>
    <t>AUDIENCIA DE PRUEBAS</t>
  </si>
  <si>
    <t>(2021-00178) 25000233600020210017800</t>
  </si>
  <si>
    <t>NELIDA MURILLO DE ORJUELA Y OTROS</t>
  </si>
  <si>
    <t>INDEMNIZACIÓN PERJUICIOS OCUPACIÓN PREDIO</t>
  </si>
  <si>
    <t xml:space="preserve">OCUPACIÓN PERMANENTE DEL INMUEBLE UBICADO EN LA AV. CALI No. 34 - 35 SUR </t>
  </si>
  <si>
    <t>MEDIANTE AUTO DE FECHA 12 DE FEBRERO DEL 2024 SE FIJO AUDIENCIA INICIAL PARA EL DIA 28 DE JUNIO DEL 2024 A LAS 10:00 A.M. - SE SUSPENDE AUDIENCIA POR CAMBIO DE PONENTE</t>
  </si>
  <si>
    <t>(2023-00558)
11001310303020230055800</t>
  </si>
  <si>
    <t>SOCIEDAD TELEFERICO S.A.</t>
  </si>
  <si>
    <t>RESPONSABILIDAD CIVIL EXTTRACONTRACTUAL</t>
  </si>
  <si>
    <t>TENIENDO EN CUENTA EL MEMORANDO NO. 20233000030593 EN EL CUAL SE REMITE A LA OFICINA JURÍDICA EL ESTADO DE CUENTA DEL CONTRATO DE ARRIENDO NO. 012 DE 1.991 SUSCRITO CON LA COMPAÑÍA TELEFÉRICO A MONSERRATE S.A. SGIEP SOLICITÓ UN TRAMITE JUDICIAL DEL MISMO, CON LO CUAL SE RADICÓ DEMANDA ORDINARIA PARA EL COBRO DE LOS FRUTOS CIVILES Y NATURALES DEJADOS DE PERCIBIR. LA CERTIFICACIÓN EMITIDA POR LA SUBDIRECCIÓN SE ENCUENTRA DENTRO DE LOS LINEAMIENTOS DEL ARTÍCULO 299 DEL CPACA Y AL ARTÍCULO 422 DEL CGP, ESTO ES, QUE CONTIENE UNA OBLIGACIÓN,  CLARA, EXPRESA Y ACTUALMENTE EXIGIBLE.</t>
  </si>
  <si>
    <t>$465.000.000.oo</t>
  </si>
  <si>
    <t>NOTIFICAR LA DEMANDA A LA SOCIEDAD DEMANDADA</t>
  </si>
  <si>
    <t>FIJA AUDIENCIA PARA EL 10-04-2024</t>
  </si>
  <si>
    <t xml:space="preserve">2007-00063                                                   </t>
  </si>
  <si>
    <t>FUNDACION PARA LA PROTECCIÓN DE LOS INTERESES Y BIENES PUBLICOS</t>
  </si>
  <si>
    <t>BBVA COLOMBIA</t>
  </si>
  <si>
    <t>PREDIO PRIVADO ACCION POPULAR ENTRE PARTICULARES</t>
  </si>
  <si>
    <t>PREDIO PRIVADO ENTRE PARTICULARES</t>
  </si>
  <si>
    <t xml:space="preserve"> Se asiste a audiencia de interrogatorio, la cual se llevó a cabo el día 28 de abril de 2021. 2023-05-17	Constancia secretarial	OFICIO 429 A PLANEACION FIRMADO. </t>
  </si>
  <si>
    <t>PERIODO PROBATORIO</t>
  </si>
  <si>
    <t>2008-00472</t>
  </si>
  <si>
    <t>JUZGADO 21 CIVIL DEL CIRCUITO</t>
  </si>
  <si>
    <t>FUNDACION PARA LA PROTECCION DE LOS INTERESES Y BIENES PUBLICOS INTERESES DIFUSOS Y EL MEDIO AMBIENTE</t>
  </si>
  <si>
    <t>CAFELINS LTDA</t>
  </si>
  <si>
    <t>OCUPACION DE ESPACIO PÚBLICO</t>
  </si>
  <si>
    <t>CONTESTACION ACCION POPULAR 07-05-2023. 05-10-2023. FIJACION DE AUDIENCIA DE PACTO DE CUMPLIMIENTO, 12-03-2025 AUDIENCIA DE PACTO DE CUMPLIMIENTO 11:00 A.M. AUDIENCIA DE PACTO DE CUMPLIMIENTO DECLARADA FALLIDA, INGRESA AL DESPACHO PARA PRUEBAS.</t>
  </si>
  <si>
    <t>AUDIENCIA DE PACTO DE CUMPLIMIENTO</t>
  </si>
  <si>
    <t>2018-00242
(11001400307520180024200)</t>
  </si>
  <si>
    <t>JUZGADO 75 CIVIL MUNICIPAL DE BOGOTÁ D.C.</t>
  </si>
  <si>
    <t>LUIS RODRIGO SUAREZ RINCON Y LUZ ESTHER WALTEROS</t>
  </si>
  <si>
    <t xml:space="preserve">FORERO HERNÁNDEZ CONSTRUCTORES ASOCIADOS LTDA FH CONSTRUCTORES NIT 6005687801 </t>
  </si>
  <si>
    <t>ZARAZOTA I</t>
  </si>
  <si>
    <t>1837-36</t>
  </si>
  <si>
    <t>SEGUIMIENTO PARA TERMINACIÓN DEL PROCESO</t>
  </si>
  <si>
    <t>DEMANDA ADMITIDA PENDIENTE INTEGRAR CONTRADICTORIO</t>
  </si>
  <si>
    <t>No. 25000234200020150329200</t>
  </si>
  <si>
    <t>TRIBUNAL ADMINISTRATIVO DE CUNDINAMARCA - SECCION  PRIMERA</t>
  </si>
  <si>
    <t>JULIAN ERNESTO RODRIGUEZ SIERRA</t>
  </si>
  <si>
    <t>NULIDAD DE LAS RESOLUCIONES 255 Y 308 EMITIDAS POR EL DADEP Y EN LA CUAL SE DECLARO DISCIPLINARIAMENTE RESPONSABLE AL DEMANDANTE</t>
  </si>
  <si>
    <t>NULIDAD DE RESOLUCIONES</t>
  </si>
  <si>
    <t>SEGUIMIENTO PROCESAL TODA VEZ QUE DESDE EL 28-03-2019 INGRESO AL DESPACHO PARA FALLO</t>
  </si>
  <si>
    <t>No. 11001333603820170027500 //01</t>
  </si>
  <si>
    <t>TRIBUNAL ADMINISTRATIVO DE CUNDINAMARCA SECCIÓN TERCERA ORAL</t>
  </si>
  <si>
    <t>CONSORCIO INTERVENTORES ESPACIO PÚBLICO</t>
  </si>
  <si>
    <t>CONTROVERSIA CONTRACTUAL SOLICITUD RECONOCIMIENTO REAJUSTE CONTRATO POR CONEXIDAD</t>
  </si>
  <si>
    <t>REAJUSTE ECONÓMICO CONEXIDAD DE LA CLAUSULA POR INDEXACION</t>
  </si>
  <si>
    <t>SENTENCIA DE PRIMERA INSTANCIA FAVORABLE
ADMISIÓN DEL RECURSO DE APELACIÓN</t>
  </si>
  <si>
    <t>PARA RESOLVER ADMISIÓN DE APELACIÓN DE SENTENCIA.</t>
  </si>
  <si>
    <t>No. 25000234100020170082000//01</t>
  </si>
  <si>
    <t>TRIBUNAL ADMININSTRATIVO DE CUNDINAMARCA SECCIÓN PRIMERA SUBSECCION "A"</t>
  </si>
  <si>
    <t>CONJUNTO RESIDENCIAL EL BOSQUE P.H.</t>
  </si>
  <si>
    <t>NULIDAD DE LA E.P. 2002 DE 28 DE JUNIO DE 2002 POR MEDIO DE LA CUAL SE HACE DECLARATORIA DE PROPIEDAD PÚBLICA</t>
  </si>
  <si>
    <t>NULIDAD</t>
  </si>
  <si>
    <t>CONJUNTO RESIDENCIAL EL BOSQUE P.H</t>
  </si>
  <si>
    <t>INGRESA AL DESPACHO PARA SENTENCIA DE PRIMERA INSTANCIA</t>
  </si>
  <si>
    <t>No. 25000234100020170111200</t>
  </si>
  <si>
    <t>CONSEJO DE ESTADO SECCION PRIMERA</t>
  </si>
  <si>
    <t>INVERSIONES Y CONSTRUCCIONES REINA SAS</t>
  </si>
  <si>
    <t xml:space="preserve">PREDIOS LA QUINTA Y LA FINCA LA MARIA </t>
  </si>
  <si>
    <t>NULIDAD 20162030130621 DEL 9/09/2016</t>
  </si>
  <si>
    <t>LA QUINTA Y FINCA LA MARIA</t>
  </si>
  <si>
    <t>18/04/2024</t>
  </si>
  <si>
    <t>ADMISIÓN DEL RECURSO DE APELACIÓN EN CONTRA DE LA SENTENCIA DE PRIMERA INSTANCIA</t>
  </si>
  <si>
    <t>EN TRÁMITE DE APELACIÓN DE SENTENCIA</t>
  </si>
  <si>
    <t>No. 25000233600020170148600//01</t>
  </si>
  <si>
    <t>TRIBUNAL ADMINISTRATIVO DE CUNDINAMARCA - SECCIÓN TERCERA- SUBSECCIÓN "C"</t>
  </si>
  <si>
    <t xml:space="preserve">ANIBAL TORRES RIOS Y OTROS </t>
  </si>
  <si>
    <t>CAR - DADEP -EEAB-SD AMBIENTE</t>
  </si>
  <si>
    <t xml:space="preserve">EL REFUGIO: REPARACION DIRECTA POR EXPROPIACION </t>
  </si>
  <si>
    <t>REPARACION POR EXPROPIACION ADMINISTRATIVA DEL PREDIO UBICADO EN LA CALLE 80 119-60</t>
  </si>
  <si>
    <t>29/11/2023</t>
  </si>
  <si>
    <t>SENTENCIA DE PRIMERA INSTANCIA DEL 29 DE NOVIEMBRE DE 2023, RADICACIÓN DEL RECURSO DE APELACIÓN, SOLICITUD DADEP SUSPENSIÓN DEL PROCESO POR PRUEBA SOBREVINIENTE  PREJUDICIALIDAD - EN ESPERA DE DECISIÓN DEL DESPACHO DESDE EL 24 DE ABRIL DE 2024</t>
  </si>
  <si>
    <t>EN SEDE DE APELACIÓN - PARA CONCEDER RECURSO Y PRONUNCIAMIENTO FRENTE A LA SOLICITUD DEL DADEP</t>
  </si>
  <si>
    <t>2006-00001
11001333103720060000100</t>
  </si>
  <si>
    <t>CONSORCIO RECUPERACIONES REYES DRACO</t>
  </si>
  <si>
    <t>RECAUDO SANCIONES INCUMPLIMIENTO CONTRATO DE PRESTACION DE SERVICIOS</t>
  </si>
  <si>
    <t>DECRETA MEDIDAS CAUTELADES 19-10-2023</t>
  </si>
  <si>
    <t>DECRETA MEDIDA DE EMBARGO Y REQUIERE 15-02-2024</t>
  </si>
  <si>
    <t>2018-00031</t>
  </si>
  <si>
    <t xml:space="preserve">TRIBUNAL SUPERIOR DE CUNDINAMARCA- SALA PENAL </t>
  </si>
  <si>
    <t>CARLOS ALBERTO VARGAS BAUTISTA</t>
  </si>
  <si>
    <t>CONCIERTO PARA DELINQUIR - PREVARICATO POR OMISIÓN - PREVARICATO POR ACCIÓN - COHECHO PROPIO</t>
  </si>
  <si>
    <t xml:space="preserve">MANIPULACIÓN DE PROCESOS CONTENCIOSOS ADMINISTRATIVOS RELATIVOS AL HUMEDAL JABOQUE POR PARTE DE UN MAGISTRADO </t>
  </si>
  <si>
    <t>Se recibe vía correo electrónico notificación del auto AP778 - 2024 proferido el 27 de febrero de 2024, por la Sala de Casación Penal de la Corte Suprema de Justicia en el que se confirma la desicion preridad con anterioridad negando la practica de prueba sobrevinietne del denunciado</t>
  </si>
  <si>
    <t>JUICIO ORAL</t>
  </si>
  <si>
    <t>2018-00315</t>
  </si>
  <si>
    <t>JUZGADO  33 DEL CIRCUITO DE ORALIDAD DE BOGOTÁ.</t>
  </si>
  <si>
    <t>CARLOS ARTURO MORALES</t>
  </si>
  <si>
    <t xml:space="preserve">PROCESO REIVINDICATORIO RESPECTO A PREDIOS QUE CORRESPONDE A ZONAS DE CESIÓN </t>
  </si>
  <si>
    <t>EL URBANIZADOR ALIANZA FIDUCIARIA SOLICITA SE RESTITUYAN PREDIOS OCUPADOS POR PARTE DE PARTICULARES, LOS CUALES ESTARÍAN SOBRE LAS ZONAS DE CESIÓN DE LA URBANIZACIÓN BALCÓN DE SUBA</t>
  </si>
  <si>
    <t>BALCON DE SUBA</t>
  </si>
  <si>
    <t xml:space="preserve"> 3615-2 y 3615-1</t>
  </si>
  <si>
    <t>SEGUIMIENTO A LA RESTITUCIÓN DE LAS ZONAS DE CESIÓN-DESPACHO JUDICIAL LIBRO DESPACHO COMISORIO</t>
  </si>
  <si>
    <t xml:space="preserve">EJECUCIÓN DE LA SENTENCIA-FALLO ORDENA  A LOS DEMANDADOS CARLOS ARTURO MORALES, JOSE ORLANDO MATIZ Y DEMAS PERSONAS A RESTITUIR LOS DOS PREDIOS DESTINADOS COMO ZONA DE CESIÓN. PROCESO SIN ACTIVIDADES PENDIENTES, SE ORDENÓ SU ARCHIVO. </t>
  </si>
  <si>
    <t>No.25000233600020180060400</t>
  </si>
  <si>
    <t>TRIBUNAL ADMINISTRATIVO DE CUNDINAMARCA - SECCIÓN TERCERA- SUBSECCIÓN "B"</t>
  </si>
  <si>
    <t>PABLO ENRIQUE MENDOZA GÁMEZ</t>
  </si>
  <si>
    <t>BOGOTÁ D.C., - SECRETARIA DISTRITAL DE EDUCACIÓN; SECRETARÍA DISTRITA DE HÁBITAT; SECRETARIA DISTRITAL DE PLANEACIÓN;  ; IDRD; EAAB;  DADEP</t>
  </si>
  <si>
    <t>OCUPACION ILEGAL POR PARTE DE DISTRITO CAPITAL EN EL PARQUE ARABIA</t>
  </si>
  <si>
    <t xml:space="preserve">CONSTRUCCIÓN PARQUE ARABIA </t>
  </si>
  <si>
    <t>PARQUE ARABIA</t>
  </si>
  <si>
    <t>28/06/2023</t>
  </si>
  <si>
    <t>SE DECLARA PROBADA LA EXCEPCIÓN DE CADUCIDAD - ARCHIVO DEL PROCESO</t>
  </si>
  <si>
    <t xml:space="preserve">ARCHIVO - DECLARADA PROBADA LA EXCEPCIÓN DE CADUCIDAD </t>
  </si>
  <si>
    <t>2018-32195</t>
  </si>
  <si>
    <t>FISCALÍA 365 SECCIONAL FE PÚBLICA Y ORDEN ECONÓMICO</t>
  </si>
  <si>
    <t>JORGE HERNANDO CASTILLO HUERTAS
JOHN EDGAR ACOSTA PALMA</t>
  </si>
  <si>
    <t>BARRIO JACKELINE</t>
  </si>
  <si>
    <t>INVASION TIERRAS EN CONCURSO FALSEDADDOCUMENTO PRIVADO</t>
  </si>
  <si>
    <t>CIUDADANOS REPORTAN QUE LOS DENUNCIADOS SE PRESENTARON A REALIZAR CERRAMIENTO PREDIO PUBLICO  EXHIBIENDO CONTRATOARRENDAMIENTO PRESUNTAMENTE FALSO</t>
  </si>
  <si>
    <t xml:space="preserve">SEGUIMIENTO A ORDENES A PJ </t>
  </si>
  <si>
    <t>2019-00088
(25000233600020190008800//01)</t>
  </si>
  <si>
    <t>DADEP-LP 110-25-2018</t>
  </si>
  <si>
    <t>Presunta aplicación indebida de casual de rechazo contenida en la viñeta No 5 del Capítulo 5.7 del Pliego de Condiciones DADEP LP-110-025-2018 y que trajo como consecuencia la declaratoria desierta de la Licitación</t>
  </si>
  <si>
    <t xml:space="preserve"> 398.373.631 o el 8.99% de los ingresos de operación sin IVA  </t>
  </si>
  <si>
    <t xml:space="preserve">398.373.631 o el 8.99% de los ingresos de operación sin IVA </t>
  </si>
  <si>
    <t>2019-00091
11001333603420190009100//01</t>
  </si>
  <si>
    <t xml:space="preserve">UNIÓN TEMPORAL ASOCIACIÓN MULTIJUNTA SANTA BEATRIZ </t>
  </si>
  <si>
    <t>NULIDAD RESOLUCIONES QUE DECLARAN INCUMPLIMIENTO DE CONTRATO CAMEP</t>
  </si>
  <si>
    <t>SOLICITA EL DEMANDANTE SE DECLARE LA NULIDAD  No. 220 DEL 25/07/2017 Y 157 DEL 05/06/2018 POR MEDIO DE LA CUAL SE DECLARÓ Y CONFIRMÓ  EL INCUMPLIMEINTO PARCIAL DEL CONTRATO CAMEP No. 147 DE 2013</t>
  </si>
  <si>
    <t>CAMEP SANTA BEATRIZ</t>
  </si>
  <si>
    <t>31/03/2023</t>
  </si>
  <si>
    <t>26/07/2024</t>
  </si>
  <si>
    <t>SOLICITUD CONSTANCIA DE EJECUTORIA DE SENTENCIA DE PRIMERA Y SEGUNDA INSTANCIA</t>
  </si>
  <si>
    <t>FALLO DE SEGUNDA INSTANCIA FAVORABLE PARA LA ENTIDAD // SOLICITUD DE CONSTANCIA DE EJECUTORIA</t>
  </si>
  <si>
    <t>2019-00095
(11001334305820190009500//01)</t>
  </si>
  <si>
    <t>LIQUIDACIÓN JUDICIAL CONTRATO 110-00129--241-0-2016</t>
  </si>
  <si>
    <t>EL CONTRATO CAMEP 241 DE 2016 NO HA SIDO LIQUIDADO A LA FECHA DE PRESENTACIÓN DE LA DEMANDA</t>
  </si>
  <si>
    <t>SOLICITAN SENTENCIA ANTICIPADA - DESDE EL 25 DE ABRIL DE 2024 AL DESPACHO PARA SENTENCIA</t>
  </si>
  <si>
    <t>2019-00149
(11001333603520190014900)</t>
  </si>
  <si>
    <t>JUZGADO 35 ADMINISTRATIVO DE BOGOTÁ</t>
  </si>
  <si>
    <t>FONDO FINANCIERO DE PROYECTOS DE DESARROLLO FONADE -
 AHORA EMPRESA NACIONAL PROMOTORA DEL DESARROLLO TERRITORIAL -ENTERRITORIO-</t>
  </si>
  <si>
    <t>DADEP
SECRETARIA DE HABITAT
IDIGER
UAECD</t>
  </si>
  <si>
    <t>INCUMPLIMIENTO DEL CONVENIO DADEP 339 DE 2019</t>
  </si>
  <si>
    <t>INCUMPLIMIENTO DE LAS OBLIGACIONES RELATIVAS A LA ENTREGA D EPUNTOS DE FOTOCONTROL ADICIONALES NECESARIOSA PARA QUE FONADE CUMPLIERA  CON EL CONTRATO.
NEGLIGENCIA AL NO REALIZAR UNA OPORTUNA MODIFICACIÓN DEL ANEXO TÉCNICO No. 7</t>
  </si>
  <si>
    <t>MEDIANTE AUTO DE FECHA 02 DE FEBRERO DEL 2024 SE REMITE EL PROCESO POR COMPETENCIA AL JUZGADO 19 CIVIL DE CIRCUITO DE BOGOTA</t>
  </si>
  <si>
    <t xml:space="preserve">FALTA DE JURIDICCIÓN </t>
  </si>
  <si>
    <t>2019-00742
25000233600020190074200</t>
  </si>
  <si>
    <t>DADEP -UAEDC- SECRETARÍA DE HÁBITAT; IDIGER</t>
  </si>
  <si>
    <t>FONADE (HOY ENTERRITORIO)</t>
  </si>
  <si>
    <t>ORTOFOTOMOSAICO VERDADERO</t>
  </si>
  <si>
    <t xml:space="preserve">DECLARACION DE INCUMPLIMIENTO DE LA TOTALIDAD DEL CONTRATO INTERADMINISTRATIVO SUSCRITO CON LA ENTIDADES DEMANDANTES </t>
  </si>
  <si>
    <t>06-06-2022 TRASLADO DE LA DEMANDA PARA CONTESTAR.
Declara falta de jurisdicción. Remite a juzgados Civiles del Circuito de Bogotá. Plantea conflcito negativo de competecias en caso que el juzgado Civil del Circuito decalre su falta de jurisdicción.</t>
  </si>
  <si>
    <t xml:space="preserve">FALTA DE JURISDICCIÓN </t>
  </si>
  <si>
    <t>2006-00077
11001333103120060007700</t>
  </si>
  <si>
    <t>GIOVANNI ENRICO CELIS ALBARRACIN</t>
  </si>
  <si>
    <t>SEGUIMIENTO DEL PROCESO - SEGUIMIENTO A JUZGADO EXPEDICIÓN DE OFICIOS DE EMBARGO DE INMUEBLE DEL DEMANDADO.
INMUEBLE EMBARGADO, EL DEMANDADO HA VENIDO REALIZANDO LOS ABONOS MENSUALES A LA OBLIGACIÓN, VAN $11.000.000.oo</t>
  </si>
  <si>
    <t>EL JDO REQUIERE AL JDO 54 CM Y AL DADEP 23-04-2024</t>
  </si>
  <si>
    <t>2020-00371</t>
  </si>
  <si>
    <t>SYNTHESIS CONSTRUCTIONS SAS</t>
  </si>
  <si>
    <t>UAECD - DADEP</t>
  </si>
  <si>
    <t>FIJACION MOJONES Y LINEA DIVISORIA - ENTEGRA POSESION BIEN</t>
  </si>
  <si>
    <t xml:space="preserve">FIJACION MOJONES Y LINEA DIVISORIA - ENTEGRA POSESION </t>
  </si>
  <si>
    <t>SE ESPERA QUE SE REALICE NOTIFICACIÒN PARA CONTESTACIÒN DEMANDA</t>
  </si>
  <si>
    <t>2020-00585</t>
  </si>
  <si>
    <t xml:space="preserve">FISCALIA 04 SECCIONAL UNIDAD CTI </t>
  </si>
  <si>
    <t xml:space="preserve">	ALDEMARO VARGAS GONZALEZ</t>
  </si>
  <si>
    <t>DELITOS CONTRA LA ADMINISTRACIÓN PÚBLICA</t>
  </si>
  <si>
    <t>RUPTURA PROCESAL DE HUMEDAL JABOQUE - KELLY ESLAVA MONTES, ALDEMARO VARGAS GONZÁLEZ Y EL MAGISTRADO CARLOS ALBERTO VARGAS BAUTISTA, SE CONCERTARON PARA COMETER DELITOS INDETERMINADOS CONTRA LA ADMINISTRACIÓN PÚBLICA, CON ÁNIMO DE PERMANENCIA, CONSISTENTES EN INTERVENIR PROCESOS QUE CURSAN EN EL TRIBUNAL ADMINISTRATIVO DE CUNDINAMARCA.
PARA LO ANTERIOR, EL SEÑOR ALDEMARO VARGAS ERA QUIEN PRESTABA SU CUENTA DE BANCOLOMBIA, PARA QUE DE REALIZARÁN LAS TRANSACCIONES DE LOS DINEROS OBTENIDOS ILÍCITAMENTE.</t>
  </si>
  <si>
    <t>Pendiente audiencia de acusacion 18 de abril de 2024 a las 2pm</t>
  </si>
  <si>
    <t xml:space="preserve">ACUSACION </t>
  </si>
  <si>
    <t>2020-00588</t>
  </si>
  <si>
    <t>JUZGADO 47 PENAL DEL CIRCUITO CON FUNCIÓN DE CONOCIMIENTO</t>
  </si>
  <si>
    <t xml:space="preserve">	KELLY ANDREA ESLAVA MONTES</t>
  </si>
  <si>
    <t>CONCIERTO PARA DELINQUIR - AMENAZAS - INSTIGACIÓN - COHECHO POR DAR U OFRECER</t>
  </si>
  <si>
    <t>ESTE PROCESO SE GENERÓ POR UNA RUPTURA PROCESAL DEL RADICADO MATRIZ 1100160000706201600510 EN RAZÓN DE QUE SE ESTA ADELATANDO UN PRINCIPIO DE OPORTUNIDAD POR PARTE DE LA FISCALÍA</t>
  </si>
  <si>
    <t xml:space="preserve">EN ESPERA DEL CUNPLIMIENTO DEL TERMINO CONCEDIDO </t>
  </si>
  <si>
    <t>AUDIENCIA DE PRINCIPIO DE OPORTUNIDAD SUSPENDIDO</t>
  </si>
  <si>
    <t>No. 11001334305920210001800</t>
  </si>
  <si>
    <t>se resuelva el conflicto suscitado por la operación administrativa irregular o vía de hecho administrativa acaecida y perfeccionada por los convocados desde el dieciséis (16) de diciembre de 2019 hasta el dos (2) enero de 2020, en armonía con las declaraciones realizadas por el DADEP</t>
  </si>
  <si>
    <t>SENTENCIA DE PRIMERA INSTANCIA DEL 27 DE ENERO DE 2025: PRIMERO: NEGAR las pretensiones de la demanda, por las razones señaladas en la parte motiva de esta sentencia. SEGUNDO: No habrá condena en costas. TERCERO: Contra la precedente decisión, procede el recurso de apelación._x000D_</t>
  </si>
  <si>
    <t>SENTENCIA QUE NIEGA LAS PRETENSIONES DE PRIMERA INSTANCIA</t>
  </si>
  <si>
    <t>2021-00056</t>
  </si>
  <si>
    <t>TRIBUNAL ADMINISTRATIVO DE CUNDINAMARCA - SECCIÒN TERCERA</t>
  </si>
  <si>
    <t>COMPAÑIA MUNDIAL DE SEGUROS</t>
  </si>
  <si>
    <t>EL 31 DE OCTUBRE 2023 SE PRESENTARON ALEGATOS DE CONCLUSIÓN</t>
  </si>
  <si>
    <t>No. 11001333603220210006000</t>
  </si>
  <si>
    <t>JUZGADO 32 ADMINISTRATIVO</t>
  </si>
  <si>
    <t>AL DESPACHO PARA FALLO PRIMERA INSTANCIA</t>
  </si>
  <si>
    <t>No. 25000233600020210007100//01</t>
  </si>
  <si>
    <t>FUNDACIÒN FORJA</t>
  </si>
  <si>
    <t>SOLICITUD DE NULIDAD ACTOS ADMINISTRATIVOS QUE DECLARAN EL INCUMPLIMIENTO DEL CONTRATO</t>
  </si>
  <si>
    <t>AL DESPACHO PARA FALLO SEGUNDA INSTANCIA DESDE EL 13 DE AGOSTO DE 2024.</t>
  </si>
  <si>
    <t>No. 25000233600020210012600//01</t>
  </si>
  <si>
    <t>14/09/2023</t>
  </si>
  <si>
    <t>AL DESPACHO PARA FALLO SEGUNDA INSTANCIA DESDE EL 21 DE MAYO DE 2024</t>
  </si>
  <si>
    <t>No. 11001333603220210026000//01</t>
  </si>
  <si>
    <t xml:space="preserve">JUZGADO 32 ADMINISTRATIVO </t>
  </si>
  <si>
    <t>INTERVENTPRIA Y DISEÑOS</t>
  </si>
  <si>
    <t>INCUMPLIMIENTO OBLIGACIONES CONTRACTUALES ARTICULO 83 Y 84 LEY 1474 DE 2011</t>
  </si>
  <si>
    <t>ACCIÒN DE REPETICIÒN POR INCUMPLIMIETO DE LAS OBLIGACIONES CONTRACTUALES DE LA INTERVENTORIA POR LA CUAL CONDENARON AL DADEP</t>
  </si>
  <si>
    <t>AL DESPACHO PARA FALLO DE PRIMERA INSTANCIA</t>
  </si>
  <si>
    <t>No. 11001333603120210032400//01</t>
  </si>
  <si>
    <t>JULIO ALBERTO ARAQUE TRUJILLO</t>
  </si>
  <si>
    <t>VENTA PARTICIPACIÒN PROCENTAJE PREDIO UBICADO EN VILLAVICENCIO - META</t>
  </si>
  <si>
    <t>INICIAN ACCIÒN DE REPARACIÒN DIRECTA POR LA NO VENTA DE UN PROCENTAJE DE PREDIO ASINGANADO AL DADEP EL CUAL CORRESPONDE AL 1,8%</t>
  </si>
  <si>
    <t>24/03/2023</t>
  </si>
  <si>
    <t>AL DESPACHO PARA FALLO DE SEGUNDA INSTANCIA.</t>
  </si>
  <si>
    <t>No. 11001334305920210036400</t>
  </si>
  <si>
    <t>TIBERIO GALLO CORONADO</t>
  </si>
  <si>
    <t>INDEMIZACION PERJUICIOS POR OCUPACION DE BIEN PRIVADO</t>
  </si>
  <si>
    <t>EL DEMANDADO MANIFIESTA QUE EXISTE OCUPACIÓN ILEGAL DEL PREDIO DE SU PROPIEDAD LA CUAL ESTA UBICADO EN LA CARRERA 87M No. 5B -18 SUR, Y EN LA QUE SE INSTALO UN POLIDEPORTIVO MULTIPLE EL CUAL NO CONTO CON EL PERMISO DEL HOY DEMANDANTE</t>
  </si>
  <si>
    <t>AL DESPACHO PARA FALLO DE PRIMERA INSTANCIA.</t>
  </si>
  <si>
    <t>2021-00379</t>
  </si>
  <si>
    <t>FRAND DAVID CUBILLOS TORRES</t>
  </si>
  <si>
    <t>NUBIA CASTAÑEDA Y OTROS</t>
  </si>
  <si>
    <t>FIJAR MOJONES Y SEÑALAR LINDEROS</t>
  </si>
  <si>
    <t>EL DEMANDANTE DESE A LA FIJACIÓN DE MOJONES Y SEÑALAMIENTO DE LINDEROS DEL INMUEBLE  FMI 50S-253500- NO SE ENCUENTRA INCORPORADO EN EL INVENTARIOS- COMPETENCIA IDU</t>
  </si>
  <si>
    <t>SEGUIMIENTO /EL DEMANDANTE DESE A LA FIJACIÓN DE MOJONES Y SEÑALAMIENTO DE LINDEROS DEL INMUEBLE  FMI 50S-253500- NO SE ENCUENTRA INCORPORADO EN EL INVENTARIOS- COMPETENCIA IDU</t>
  </si>
  <si>
    <t>2021-06312</t>
  </si>
  <si>
    <t xml:space="preserve">JUZGADO 25 PENAL MUNICIPAL CON FUNCION DE CONOCIMIENTO DE BOGOTA </t>
  </si>
  <si>
    <t xml:space="preserve">HURTO A SEÑALES DE TRÁNSITO </t>
  </si>
  <si>
    <t xml:space="preserve">Reprogramacion de audiencia de juicio oral para el 5 de julio de 2024 a las 11am </t>
  </si>
  <si>
    <t xml:space="preserve">JUCIO ORAL </t>
  </si>
  <si>
    <t>2021-66473</t>
  </si>
  <si>
    <t>FISCALIA 391 SECCIONAL</t>
  </si>
  <si>
    <t>HURTO - DAÑO EN BIEN AJENO AGRAVADO - RECEPTACIÓN - CONCIERTO PARA DELINQUIR</t>
  </si>
  <si>
    <t>HURTO A SEÑALES DE TRÁNSITO - CASO MATRIZ</t>
  </si>
  <si>
    <t xml:space="preserve">PENDIENTE SOLICTUD COPIA DE ARCHIVO YA QUE EL DESPACHO NO CUENTA CON FISCAL TITULAR O FISCAL DE APOYO QUE PUEDA REMITIRLO </t>
  </si>
  <si>
    <t>2021-73592</t>
  </si>
  <si>
    <t>FISCALIA 32 SECCIONAL ADMÓN PÚBLICA</t>
  </si>
  <si>
    <t>ALBERTO REYES URIBE - LUIS EDUARDO CONTRERAS PRIETO</t>
  </si>
  <si>
    <t xml:space="preserve">FRAUDE A RESOLUCIÓN JUDICIAL </t>
  </si>
  <si>
    <t>FRAUDE A RESOLUCIÓN JUDICIAL</t>
  </si>
  <si>
    <t>DENUNCIA - FRAUDE A RESOLUCIÓN JUDICIAL POR LA NEGATIVA DE UNA PERSONA A DAR CUMPLIMIENTO A UNA SENTENCIA JUDICIAL DENTRO DE UNA ACCIÓN POPULAR</t>
  </si>
  <si>
    <t>CONJUNTO RESIDENCIAL MUISCA ETAPAS I Y II</t>
  </si>
  <si>
    <t>Visita el 02/04/24 en la que se emite orden a policía judicial bases de datos datos de ubicación Alberto rayes y Luis Eduardo Contreras activa a la espera, con reiteración 20 días</t>
  </si>
  <si>
    <t>No. 11001333603320220012900//01</t>
  </si>
  <si>
    <t>LUIS ALFREDO RINCON ALVARADO</t>
  </si>
  <si>
    <t>INDEMNIZACIÓN DE PERJUCIOS POR OCUPACIÓN BIEN INMUEBLE</t>
  </si>
  <si>
    <t>EL DEMANDANTE SOLICITA LA INDEMNIZACIÓN DE PERJUICIOS ECONÓMICOS Y MORALES OCASIONADOS POR LA ACTUACIÓN ADMINISTRATIVA IREGULAR DE LAS ENTIDADES DEMANDADAS EN RELACIÓN AL PROCESO ADMINISTRATIVO DE EXPROPIACIÓN ORDINARIA DEL PREDIO UBICADO EN LA CARRERA 88 No. 56 F  - 06 SUR DE LA LOCALIDAD DE BOSA.</t>
  </si>
  <si>
    <t>15/05/2024</t>
  </si>
  <si>
    <t>SENTENCIA DE SEGUNDA INSTANCIA A FAVOR PRIMERO: CONFIRMAR la sentencia proferida el del quince (15) de mayo de dos mil veinticuatro (2024) proferida por el Juzgado Treinta y Tres (33) Administrativo del Circuito Judicial de Bogotá, mediante la cual se negaron las pretensiones de la demanda, de conformidad con la arte motiva de esta providencia. SEGUNDO: Sin condena por concepto de costas (expensas y gastos procesales), conforme a lo expuesto en la parte motiva de esta providencia. TERCERO: Se condena por agencias en derecho en UN (1) SMLMV, a favor de la parte demandada Departamento Administrativo de la Defensoríadel Espacio Público, los cuales deberá pagar la parte actora, de conformidad con lo expuesto en las consideraciones de esta providencia</t>
  </si>
  <si>
    <t>CON FALLO CONFIRMATORIO A FAVOR DE SEGUNDA INSTANCIA</t>
  </si>
  <si>
    <t>2022-00532</t>
  </si>
  <si>
    <t xml:space="preserve">JUZGADO 17 PENAL MUNICIPAL CON FUNCION DE CONOCIMIENTO DE BOGOTA </t>
  </si>
  <si>
    <t>EDWIN DAZA</t>
  </si>
  <si>
    <t>Se reprograma audiencia de juciio oral para el 18 de julio del 2024 a las 10:30am</t>
  </si>
  <si>
    <t xml:space="preserve">AUDEINCIA DE JUICIO ORAL </t>
  </si>
  <si>
    <t>2022-04404</t>
  </si>
  <si>
    <t>JUZGADO 37 PENAL MUNICIPAL CON FUNCIÓN DE CONOCIMIENTO DE BOGO</t>
  </si>
  <si>
    <t>ALVARO DE JESÚS BLANCO MOGUERA</t>
  </si>
  <si>
    <t xml:space="preserve">HURTO SEÑALES DE TRANSITO </t>
  </si>
  <si>
    <t xml:space="preserve">HURTO CALIFICADO
</t>
  </si>
  <si>
    <t xml:space="preserve">HURTO SEÑALES DE TRANSITO PERTENECIENTES AL SITP PANEL INFORMATIVO VERTICAL </t>
  </si>
  <si>
    <t xml:space="preserve">PRECLUSION DE CASO </t>
  </si>
  <si>
    <t>2022-08195</t>
  </si>
  <si>
    <t>JUZGADO 11 PENAL MUNICIPAL CON FUNCION DE CONOCIMIENTO</t>
  </si>
  <si>
    <t>NILSON MOISES URANGA SANCHEZ</t>
  </si>
  <si>
    <t>HURTO SEÑALES DE TRANSITO PERTENECIENTES AL SITP PANEL PUBLICITARIO E INFORMATIVO</t>
  </si>
  <si>
    <t>ASISTIR AUDIENCIA PROGRAMADA PARA EL DIA 11 DE ABRIL DE 2024  A LAS  8AM EN EL JUZGADO 11 PENAL MUNICIPAL CON FUNCIÓN DE CONOCIMIENTO DE BOGOTÁ</t>
  </si>
  <si>
    <t>2022-10562</t>
  </si>
  <si>
    <t>FISCALIA 393 SECCIONAL UNIDAD FE PUBLICA Y ORDEN ECONOMICO</t>
  </si>
  <si>
    <t>PRESUNTA POLIZA FALSA</t>
  </si>
  <si>
    <t>FALSEDAD MATERIAL EN DOCUMENTO PRIVADO Y FRAUDE PROCESAL</t>
  </si>
  <si>
    <t>PRESENTACIÓN DE LA GARANTÍA No.06-GU033993 EN EL CONCURSO DE MÉRITOS ABIERTO  DADEP- CM-317-2021POR PARTE DE LA EMPRESA INGENIERIA Y CONSTRUCCIONES NISSI SAS. LA ASEGURADORA "CONFIANZA" INFORMA AL DADEP QUE UNA VEZ VERIFICADO EN EL SISTEMA, LA PRESUNTA POLIZA FALSA NUNCA FUE EXPEDIDA POR SEGUROS CONFIANZA Y LA MISMA FUE PRESENTADA COMO GARANTÍA PARA CONCURSAR, FINALMENTE DICHA EMPRESA NO QUEDÓ SELECCIONADA; LA DENUNCIA SE INTERPONE POR LO MANIFESTADO POR PARTE D ELA ASEGURADORA.</t>
  </si>
  <si>
    <t>2023-00200
(11001 31 03 043 2023 0020000)</t>
  </si>
  <si>
    <t>JUZGADO 43 CIVIL CIRCUITO</t>
  </si>
  <si>
    <t>ENTREGA ZONAS DE CESIÓN</t>
  </si>
  <si>
    <t>La Fundacion Empresa Privada Compartir  no ha cumplido con sus obligaciones urbanísitcas de entregar materialmente y transferir las zonas de cesión en favor del D.C.</t>
  </si>
  <si>
    <t>PRADOS DE SUBA (ANTES QUINTAS DE LAS MERCEDES)</t>
  </si>
  <si>
    <t xml:space="preserve"> AUTO ADMISORIO DE LA DEMANDA DE FECHA 17 MAYO DE 2023, EL 14 JUNIO DE 2023 SE REMITEN OFICIOS A LAS ENTIDADES VINCULADAS EL 13 JUNIO SE REMITE NOTIFICACION POR CORREO ELECTRONICO AL ACCIONADO, CONTESTACION POR PARTE DEL DEMANDADO EL 7-7-2023, PROCESO AL DESPACHO DESDE EL 9-8-2023. el 27-9-2023 se lleva a cabo continuacion audiencia pacto de cumplimiento, se suspende para presentar formula de conciliación ante el comite , diligencia se reprograma para el 14 Noviembre 2023. SRI remite oficio 20232010037553 informando que se reviso la documentacion a urbanización Prados de Suba de la localidad de Suba cuenta con los parámetros establecidos en el artículo 20 del Decreto 072 del 15-02- 2023 . Se programa diligencia de continuacion para el 4 Diciembre de 2023 a las 9:00 am para formula de pacto auto de fecha 17 Noviembre de 2023. 2023-12-15 AL DESPACHO CON CERTIFICADO DE COMITÉ DE CONCILIACIÓN. auto decretas pruebas 5 de marzo de 2024. el 8 de abril de 2024 ingresa al despacho. Auto de fecha 9 de agosto de 2024 notificado estados 2 de agosto de 2024 Traslado para alegatos de conclusion, se presenta alegatos de conclusion radicado orfeo 20241300113951 de fecha 14 -8-2024.18-9-2024 ingresa al despacho para sentncia.</t>
  </si>
  <si>
    <t>2018-00365</t>
  </si>
  <si>
    <t>JUZGADO 37 ADMINISTRATIVO DE BOGOTÁ</t>
  </si>
  <si>
    <t>BLANCA FLOR VELOSA Y JOSE HILARIO UMBARILA</t>
  </si>
  <si>
    <t>RESTITUCION PREDIO FISCAL CON RUPI 2-1518</t>
  </si>
  <si>
    <t>2-1518</t>
  </si>
  <si>
    <t>SE REMITE DESPACHO COMISORIO AL JUZGADO 89 CIVIL MUNICIPAL DE BOGOTA EN SEGUIMIENTO</t>
  </si>
  <si>
    <t>EJECUCIÓN DE LA SENTENCIA DE SEGUNDA INSTANCIA - ENTREGA DEL INMUEBLE EN FECHA 15-11-2024.</t>
  </si>
  <si>
    <t>1992-00410</t>
  </si>
  <si>
    <t xml:space="preserve">CARLOS HERNANDO GIL GONZALEZ </t>
  </si>
  <si>
    <t>DISTRITO CAPITAL - DADEP - HEREDEROS</t>
  </si>
  <si>
    <t>DIVISION Y ENTREGA DE PORCENTAJE ADJUDICADO EN SUCESION CON FIN ESPECIFICO DE PREMIO, El proceso 1992 410 es el divisorio que resulta de la adjudicacion del proceso de sucesion 1990 04296</t>
  </si>
  <si>
    <t>A la fecha el proceso 1992 410 se encuentra en pruebaa, el auxiliar de la justicia designado esta realizando un levantamoento topografico para determinar la zona que sera objeto de remate</t>
  </si>
  <si>
    <t xml:space="preserve">2018-00394
 </t>
  </si>
  <si>
    <t>JUZGADO 32 CIVIL DEL CIRCUITO DE BOGOTÁ</t>
  </si>
  <si>
    <t>MARIA HERCILA CHARFUELAN
VERONICA GUTIERREZ CRISTANCHO
LINA MARIA BONILLA BONNILLA
EMELINA JIMENEZ LOZANO
ALBA YANETT MORENO VARGAS
SANDRA MILENA MARTÍNEZ SIERRA
SILVESTRA DEL TRANSITO GUASCA</t>
  </si>
  <si>
    <t xml:space="preserve">ASOCIACIÓN DE AMIGOS CIUDAD BOLÍVAR -ASOBOLIVAR
CENTRAL COOPERATIVA DE DESARROLLO SOCIAL COOPDESARROLLO 
INDETERMINADOS </t>
  </si>
  <si>
    <t>DECLARACION DE PERTENENCIA RESPECTO A BIEN DE USO PÚBLICO.</t>
  </si>
  <si>
    <t>CABE RESALTAR QUE DENTRO DEL PREDIO DE CONSULTA, SE ENCUENTRA INMERSO EL PREDIO DE USO PÚBLICO CON RUPI 1958-17, EL CUAL, SE ENCUENTRA INCORPORADO EN EL INVENTARIO GENERAL DEL ESPACIO PÚBLICO Y BIENES FISCALES DEL SECTOR CENTRAL DEL DISTRITO CAPITAL, A CARGO DEL DEPARTAMENTO ADMINISTRATIVO DE LA DEFENSORÍA DEL ESPACIO PÚBLICO</t>
  </si>
  <si>
    <t xml:space="preserve">DESARROLLO PUENTE GRANDE FLORENCIA </t>
  </si>
  <si>
    <t xml:space="preserve">DECLARAR LA PRESCRIPCIÓN ADQUISITIVA A FAVOR DE LOS DEMANDANTES. </t>
  </si>
  <si>
    <t>1958-17</t>
  </si>
  <si>
    <t>SE PROCEDE A CONTESTAR LA DEMANDA SIN PROPONER EXCEPCIONES</t>
  </si>
  <si>
    <t>CON CONTESTACIÓN DE LA DEMANDA, PENDIENTE FIJACIÓN DE AUDIENCIA INICIAL.</t>
  </si>
  <si>
    <t>2007-00116</t>
  </si>
  <si>
    <t>CONCEPCION SICHACA PEDROZA</t>
  </si>
  <si>
    <t>INCUMPLIMIENTO CONTRATO ARRENDAMIENTO 0007-1998</t>
  </si>
  <si>
    <t xml:space="preserve">CONCEDIERON MEDIDAS CAUTELARES. SE ENVIAN OFICIOS </t>
  </si>
  <si>
    <t>SENTENCIA Y SE ESTA TRAMITANDO DE OBTENCION DEL DINERO ADEUDADO CON MEDIDAS CAUTALES.
MEDIANTE AUTO DE 13/09/2018 EL JUZGADO DECRETÓ EL EMBARGO DEL INMUEBLE IDENTIFICADO CON EL FMI 50S-40175121</t>
  </si>
  <si>
    <t xml:space="preserve">2009-00586
2009-00277 </t>
  </si>
  <si>
    <t>INMOBILIARIA KENWORTH - PROMOCIONES SAN ALEJO</t>
  </si>
  <si>
    <t>ENTREGA Y ESCRITURACION DE LAS ZONAS DE CESION SAN ALEJO PRADO GRANDE</t>
  </si>
  <si>
    <t xml:space="preserve">SRI - SEGUIMIENTO A ESCRITURA PÚBLICA DE ZONAS DE CESIÓN ( Sigue igual desde el 2019-08-28 Oficio Elaborado PROMOCIONES SAN ALEJO E INMOBILIARIA K, según lo relacionado en la rama judicial y la ultima revisiòn fue el 15/06/2022)  se envio memorando  20221100047823  de fecha 21 julio  de 2022 a SRI teniendo en cuenta que ya hay unos predios con E.P 326 DE 2009 pero hay otros que estan en saneamiento. se oficia a SRI sobre el estado actual del saneamiento tecnico y juridico se recibe respuesta mediante oficio DADEP 20222030050603 de 29/7/2022, se debe hacer segumiento  en 1 mes a las acciones de saneamiento y depuracion las cuales serán informadas por SRI. SRI da respuesta   con el memorando No 20222030050603 del 28 de julio de 2022.
 EL 7-10-2022 se remite poder al despacho de conocimiento asi como solicitud al despacho sobre  actuaciones recientemente desplegadas tendientes a normalizar la situación irregular con los predios sobre los cuales aún no se ha hecho entrega , al mismo tiempo se remitio memorando a SRI orfeo  20221100071813 a la espera de respuesta.  SRI da respuesta mediante ORFEO 20222030072843. El dia 9 de Noviembre a las 2:00 pm se llevo a cabo reunion con el urbanizador  sobre los folios de matricula que faltan estos son Folios de Matricula Inmobiliarias Nos. 50C-1752469,50C-1752468,50C1752467,50C-1752473 teniendo en cuenta que esas zonas de cesión aún se encuentran en titularidad de la Sociedad Promociones San Alejo Ltda., asisten a la reunion y se comprometen a adelantar las zonas de cesion pendientes. OFICIO SRI . 20222030196941 de fecha 13-12-2022  informando a promociones San alejo que el tramite de escrituracion correspondio por reparto a la Notaria 19 del Círculo de Bogotá.El día 28 de noviembre, el apoderado de la Sociedad remitió la minuta vía correo electrónico para revisión y observaciones. La minuta fue revisada en conjunto con el abogado Juan José Rodríguez del grupo de Titulación y se ajustaron algunas inconsistencias de fondo y forma, informadas al apoderado. Se realizó el reparto notarial para el trámite de escrituración, en el que se le asignó la Notaría 19 del círculo de Bogotá, información compartida al apoderado de la Sociedad a través del oficio con radicado 20222030196941 de fecha 13-12-2022. La Sociedad debe aportar la documentación faltante a la notaría y comparecer para continuar el trámite. EL 20 de enero de 2023, se informó por parte de SRI lo siguiente: El día 28 de noviembre, el apoderado de la Sociedad remitió la minuta vía correo electrónico para revisión y observaciones, posteriormente, la minuta fue revisada en conjunto con el abogado Juan José Rodríguez del grupo de Titulación y se ajustaron algunas inconsistencias de fondo y forma, informadas al apoderado,  Se realizó el reparto notarial para el trámite de escrituración, en el que se le asignó la Notaría 19 del círculo de Bogotá, información compartida al apoderado de la Sociedad a través del oficio con radicado 20222030196941. La Sociedad debe aportar la documentación faltante a la notaría y comparecer para continuar el trámite. Memorando 20231300024683 de fecha 9 junio de 2023 solicitando informacion del estado actual del proceso, en relacion al tramite de entrega de zonas de cesion. se allega respuesta mediante memorando 20232030026373 se informa que e remitió requerimiento a la notaría 19 mediante el radicado DADEP 20232030087341 del 17/06/2023 para que informe a esta Subdirección el estado actual del trámite de escrituración y las razones por las cuales no se ha podido continuar con el mismo. Se radica escrito de incidente de desacato por incumplimiento en la entrega de las zonas el 9-2-2024. ingresa al despacho el 29-2-2024. mediante radicado orfeo 20241300043001 de fecha 4-4-2024 se radica escrito al procurador ii judicial para efectos civiles solicitando intervencion ante el no cumplimiento del fallo por parte del urbanizador. impuslo procesal 24 julio de 2024. auto de fecha 23 de agosto de 2024 INCORPORA DOCUMENTAL, RECONOCE PERSONERÍA, REQUIERE PARTES PARA QUE SE PRONUNCIEN SOBRE ESTADO DE LOS COMPROMISOS ADQUIRIDOS, REQUIERE PROMOCIONES SAN ALEJO LTDA. EL 25-01-2024 INCORPORA RTAS, REQUIERE ENTIDADES VERIFICACIÓN CUMPLIMIENTO, EXORTA PARTES OTORGA 1 MES.
</t>
  </si>
  <si>
    <t>No. 25000232600020120115100//01</t>
  </si>
  <si>
    <t>CORPOCIEN</t>
  </si>
  <si>
    <t>CONTRACTUAL - TERMINACION IRREGULAR CONTRATO</t>
  </si>
  <si>
    <t>SEGUIMIENTO PROCESAL - AL DESPACHO PARA FALLO DESDE 24-05-19</t>
  </si>
  <si>
    <t>No. 11001333502520140034000//01</t>
  </si>
  <si>
    <t>LUIS HERNANDO AVILA</t>
  </si>
  <si>
    <t>PRIMA COORDINACION</t>
  </si>
  <si>
    <t>SEGUIMIENTO PROCESAL - AL DESPACHO PARA SENTENCIA SEGUNDA INSTANCIA DESDE EL 26/11/2021 Y DE LO CUAL EL 20 DE MAYO DEL 2024 SE ENVIÓ IMPULSO PROCESAL</t>
  </si>
  <si>
    <t>2014-12887</t>
  </si>
  <si>
    <t>FISCALÍA 79 SECCIONAL -UNIDAD DE FÉ PÚBLICA-, EJE TEMÁTICO URBANIZACON ILEGAL</t>
  </si>
  <si>
    <t>INVASION DE TIERRAS CIUDADELA SANTA ROSA</t>
  </si>
  <si>
    <t>INVASION DE TIERRAS Y EDIFICACIONES</t>
  </si>
  <si>
    <t>INVASION DE TIERRAS POR PARTE DEL DENUNCIADO  DERIVADAS DE LA AG 2001-0029</t>
  </si>
  <si>
    <t>CIUDADELA SANTA ROSA</t>
  </si>
  <si>
    <t>No. 11001333501120150004100//01</t>
  </si>
  <si>
    <t>TRIBUNAL ADMINISTRATIVO</t>
  </si>
  <si>
    <t>MARTHA ELENA DIAZ GRANADOS</t>
  </si>
  <si>
    <t>SENTENCIA DE SEGUNDA INSTANCIA FAVORABLE AL DADEP - SE REALIZA IMPULSO PROCESAL EL 22/03/2022</t>
  </si>
  <si>
    <t>COBRO DE COSTAS</t>
  </si>
  <si>
    <t>2017-00112</t>
  </si>
  <si>
    <t>JUZGADO 57 ADMINISTRATIVO DE BOGOTA</t>
  </si>
  <si>
    <t>CONSTRUCCIONES ESTUDIOS Y PROYECTOS - CONSTRUCTORA BOLIVAR - FIDUCIARIA DAVIVIENDA</t>
  </si>
  <si>
    <t>TUNAL CENTRAL</t>
  </si>
  <si>
    <t>ENTREGA Y ESCRITURACION DE ZONAS DE CESION</t>
  </si>
  <si>
    <t>18/07/17</t>
  </si>
  <si>
    <t xml:space="preserve"> SE LOGRA PACTO DE CUMPLIMIENTO - EN VERIFICACIÓN CUMPLIMIENTO COMPROMISOS DEL PACTO.
AL DESPACHO DESDE EL 5 DE MARZO DE 2020 SOBRE EL CUMPLIMIENTO DE LAS ACCIONADAS  2023-07-06 acepta renuncia poder del apoderado anterior </t>
  </si>
  <si>
    <t xml:space="preserve"> PARA SENTENCIA DE SEGUNDA INSTANCIA  </t>
  </si>
  <si>
    <t>No. 11001032500020170021200</t>
  </si>
  <si>
    <t xml:space="preserve">CONSEJO DE ESTADO SECCIÓN SEGUNDA SUBSECCIÓN B </t>
  </si>
  <si>
    <t xml:space="preserve">PEDRO EMILIO RODRIGUEZ VELANDIA </t>
  </si>
  <si>
    <t xml:space="preserve">COMISIÓN NACIONAL DEL SERVICIO CIVIL Y OTROS </t>
  </si>
  <si>
    <t>NULIDAD ACTOS PROFERIDOS CON OCASIÓN CONCURSO DE MÉRITO 431 DE 2016 - PROVEER CARGOS DE ENTIDADES DISTRITALES</t>
  </si>
  <si>
    <t>AL DESPACHO POR ACUMULACIÓN DE DEMANDAS - SE NIEGA EXCEPCIÓN POR INEPTA DEMANDA</t>
  </si>
  <si>
    <t>2018-01408
(11001032500020180140800)</t>
  </si>
  <si>
    <t xml:space="preserve"> MARTHA IVETTE RAMÍREZ
NAVARRETE</t>
  </si>
  <si>
    <t>MEDIANTE AUTO DE FECHA 06 DE JUNIO DEL 2022 EL CONSEJO DE ESTADO ORDENO ACUMULAR LOS PROCESOS IDENTIFICADOS CON EL NUMERO DE RADICACIÒN INTERNA 1577-2017 y 4260-2018</t>
  </si>
  <si>
    <t>SEGUIMIENTO PROCESAL - SE CORRIÓ TRASLADO A DEMANDANTE DE EXCEPCIONES SIN PRONUNCIAMIENTO - A LA ESPERA DE QUE SE FIJE FECHA PARA LA AUDIENCIA INICIAL  / 28/09/2022 AL DESPACHO PARA RESOLVER MEDIDAS CAUTELARES</t>
  </si>
  <si>
    <t>PROCESO ACUMULADO</t>
  </si>
  <si>
    <t>2023-00298
(11001310302920230029800)</t>
  </si>
  <si>
    <t>JUZGADO 29  CIVIL CIRCUITO DE BOGOTA D.C</t>
  </si>
  <si>
    <t>CONSTRUCTORA CUZESAR S.A</t>
  </si>
  <si>
    <t>La constructora CUZESAR S.A  no ha cumplido con sus obligaciones urbanísitcas de entregar materialmente y transferir las zonas de cesión en favor del D.C.</t>
  </si>
  <si>
    <t>URBANIZACION LOS CEREZOS ETAPA 1,2,3 Y 4</t>
  </si>
  <si>
    <t>4402-1 AL 4402-7</t>
  </si>
  <si>
    <t xml:space="preserve"> AUTO ADMISORIO DE LA DEMANDA DE FECHA 21 JULIO DE 2023 SE FIJA ESTADO, SE REMITEN OFICIOS DE ACUERDO A LAS ORDENES DEL DESPACHO 29/08/23. Al despacho  desde el  29-8-2023. AUTO DE FECHA 22-1-2024 , ENTRA AL DESPACHO NUEVAMENTE EL 6-2-2024. se suscribe Acta de Recibo Parcial No. 017 donde se recibieron los controles ambientales 1, 2, 2 A, 3, 4 y los parques 1-1, 1-2, 1-3 y 2 el dia 9 de abril de 2023 , se recepciona informacion de SRI. Auto de fecha 2 de mayo fijan diligencia pacto de cumplimiento  para el 19 de noviembre de 2024 a las 10:00 AM. 28-5-2024 AL DESPACHO. 28 enero de 2025 ingresa al despacho</t>
  </si>
  <si>
    <t>(2022-00256)
11001310302620220025600.</t>
  </si>
  <si>
    <t>JUZGADO 26 CIVIL DEL CIRCUITO</t>
  </si>
  <si>
    <t>INVERSIONES NAMASTE S.A.</t>
  </si>
  <si>
    <t>CUMPLIMENTO DE SENTENCIA JUDICIAL 2004-00366
ENTREGA PREDIO INSTITUCIONAL URBANIZACIÓN CARVAJAL</t>
  </si>
  <si>
    <t>LA SOCIEDAD NAMASTE S.A., SOLICITA EL CUMPLIMENTO DE LA SENTENCIA PREOFERIDA EN EL EXPEDIENTE 2004-00366 CONSISTENTE EN 
ENTREGAR EL PREDIO INSTITUCIONAL URBANIZACIÓN CARVAJAL</t>
  </si>
  <si>
    <t>SE CONTESTO LA DEMANDA DENTRO DEL TERMINO LEGAL</t>
  </si>
  <si>
    <t>DESPACHO 01-11-2024</t>
  </si>
  <si>
    <t xml:space="preserve">(2022-00503)
11001310500420220050300
</t>
  </si>
  <si>
    <t>JUZGADO 04 LABORAL DEL CIRCUITO</t>
  </si>
  <si>
    <t>FABIO MAURICIO MATEUS</t>
  </si>
  <si>
    <t>DEPARTAMENTO ADMINISTRATIVO DE LA DEFENSORIA DEL ESPACIO PUBLICO-CORPOCIEN</t>
  </si>
  <si>
    <t>RECLAMACION DE SALARIOS Y PRESTACIONES SOCIALES POR DESPIDO INDIRECTO</t>
  </si>
  <si>
    <t>EL SEÑOR FABIO MAURICIIO MATEUS Y DAVID CASTAÑEDA LABORARON CON LA SOCIEDAD CORPCIEN, LA CUAL LE TERMINO EN FORMA UNILATERAL LOS CONTRATOS LABORALES SIN LOS DEBIDOS PERMISOS, POR LO CUAL DEMANDAN AL DADEP EN FORMA SOLIDARIA PARA EL RECONOCIMIENTO DE LOS EMOLUMENTOS ADEUDADOS.</t>
  </si>
  <si>
    <t>NO CPLICA</t>
  </si>
  <si>
    <t>EN TRAMITE DE ADMISION</t>
  </si>
  <si>
    <t>ADMISION DE LA APELACION POR EL TSDJ</t>
  </si>
  <si>
    <t>DESPACHO PARA APELACIÓN DE LA DDA 10-05-2024</t>
  </si>
  <si>
    <t xml:space="preserve">2023-00218 </t>
  </si>
  <si>
    <t xml:space="preserve">JUZGADO DOCE CIVIL DEL CIRCUITO DE BOGOTÁ </t>
  </si>
  <si>
    <t xml:space="preserve">JUAN MANUEL GONZÁLEZ GARAVITO Y OTRO  </t>
  </si>
  <si>
    <t xml:space="preserve">UNIDAD INMOBILIARIA CERRADA ASOCIACIÓN DE ACCIÓN CÍVICA SOTILEZA BRANTEVILLA – PROPIEDAD HORIZONTAL 
VINCULADOS: IDU - DADEP </t>
  </si>
  <si>
    <t>Presunta vulneración derechos colectivos como consecuencia de la obstrucción en el acceso a los bienes de uso público de la ciudad de Bogotá ubicados en el sector conocido como “Sotileza”, derivada del cerramiento ubicado sobre la Carrera 77 Bis a la altura de la Calle 128B</t>
  </si>
  <si>
    <t xml:space="preserve">Sotileza-Brantevilla Unidad 
Inmobiliaria Cerrada </t>
  </si>
  <si>
    <t>NO CUENTA CON RUPI</t>
  </si>
  <si>
    <t>30/08/2023. Se notificó personalmente por el accionante auto admisorio de la demanda que ordenó la vinculación del DADEP y el IDU. 04/09/2023. La asociación accionada presentó recurso de reposición en contra del auto admisorio de la demanda. 12/09/2023. La parte accionante descorrió traslado del recurso de reposición. 23/09/2023. Se remitió contestación de la acción por el DADEP 02/10/23. Se corrió traslado del recurso de reposición presentado por la asociación accionada en contra del auto admisorio de la demanda. 11/10/2023. Al Despacho. 12/02/24. Se notificó por estado auto que tiene por contestada la demanda por el DADEP y el IDU, corriendo traslado de las excepciones, sin pronunciamiento alguno por el demandante. 15/07/2024. Se notificó por estado auto que fija fecha para audiencia de pacto el 13 de septiembre de 2024 a la hora de las 3:00 pm. 18/07/2024. La parte demandada allega memorial solicitando adicionar auto y se ordene vincular al proceso a la sociedad Constructora Eubea S.A. y a las señoras María Sol Caycedo Rutllant, Juana Francisca Paula Caycedo Rutllant y Ana María Catalina Caycedo Rutllant. 19/07/2024. Al despacho. 26/07/2024. El despacho allegó oficio OFICIO No. 1224 a través del cual cita a audiencia de pacto de cumplimiento para el 13 de septiembre de 2024 a las 03:00 pm. 20/08/2024. La parte demandante  solicito al Despacho pronunciarse con anterioridad a la audiencia de pacto de cumplimiento que tendrá lugar el
próximo 13 de septiembre de 2024, frente al memorial del 18 de julio de 2024 en el que se solicitó “..que se adicione la providencia del 12 de julio de 2024 con la finalidad de que se ordene vincular al proceso a la sociedad constructora Eubea S.A. y a las señoras María Sol Caycedo Rutllant, Juana Francisca Paula Caycedo Rutllant y Ana María Catalina Caycedo Rutllant”. 03/09/2024. Se notificó por estado auto que ordenó vincular como parte accionada a la CONSTRUCTORA EUBEA S.A y corrió traslado de la demanda a la vinculada por el término de diez (10) días. Adicionalmente negó la vinculación a este asunto de MARIA SOL CAYCEDO RUTLLANT, JUANA FRANCISCA PAULA CAYCEDO RUTLLANT y ANA MARÍA CATALINA CAYCEDO RUTLLANT</t>
  </si>
  <si>
    <t xml:space="preserve">PARA AUDIENCIA DE PACTO </t>
  </si>
  <si>
    <t>2018-00527</t>
  </si>
  <si>
    <t>JUZGADO 16  CIVIL DEL CIRCUITO DE BOGOTA</t>
  </si>
  <si>
    <t>HERMEZ HORACIO RAMIREZ RAMIREZ</t>
  </si>
  <si>
    <t>CONSTRUCTORA ECUATORIAL LTDA.- PERSONAS INDETERMINADAS</t>
  </si>
  <si>
    <t>PERTENENCIA SOBRE PREDIOS DESTINADOS AL SUO PÚBLICO POR SENTENCIA JUDICIAL</t>
  </si>
  <si>
    <t>PERTENENCIA SOBRE PREDIOS DESTINADOS AL SUO PÚBLICO POR SENTENCIA JUDICIAL EN EL MARCO DE LA URBANIZACIÓN EL TRIGAL</t>
  </si>
  <si>
    <t>PREDIO FIGURA DESINCORPORADO CONTABA CON EL RUPI 2925</t>
  </si>
  <si>
    <t>SEGUIMIENTO A VINCULACIÓN DEL DADEP COMO INTERVINIENTE DEL PROCESO</t>
  </si>
  <si>
    <t>SEGUIMIENTO A VINCULACIÓN DEL DADEP</t>
  </si>
  <si>
    <t>2019-00735</t>
  </si>
  <si>
    <t>JUZGADO 43 CIVIL DEL CIRCUITO  DE ORALIDAD DE BOGOTÁ</t>
  </si>
  <si>
    <t xml:space="preserve">SARMIENTO LOPEZ SERAFIN </t>
  </si>
  <si>
    <t>BARRIO TIBABITA</t>
  </si>
  <si>
    <t>NO SE ENCUENTRA REGISTRADO</t>
  </si>
  <si>
    <t>SE ESPERAN DJUZGADO ENVIE OIP MEDIDAS CAUTELARES PARA NOTIFICAR</t>
  </si>
  <si>
    <t>REGISTRO MEDIDAS CAUTELARES</t>
  </si>
  <si>
    <t>2019-00849</t>
  </si>
  <si>
    <t>JUZGADO 12 - CIVIL DEL CIRCUITO DE ORALIDAD</t>
  </si>
  <si>
    <t>CENTRO MEDICO ALMIRANTE COLON</t>
  </si>
  <si>
    <t>OBTENER LA CORRECION DE LA ESCRITURA PUBLICA DE PROPIEDAD HORIZONTAL Y SE SEÑALEN LA ZONAS DE CESION - PARQUEADEROS</t>
  </si>
  <si>
    <t>NO SE ENCUETNRA REGISTRADO</t>
  </si>
  <si>
    <t>SE ESPERAN DE RESPUESTA OIP MEDIDAS CAUTELARES PARA NOTIFICAR</t>
  </si>
  <si>
    <t>2019-00214 (11001400302820190021400)</t>
  </si>
  <si>
    <t>JUZGADO 28 CIVIL MUNICIPAL DE BOGOTÁ</t>
  </si>
  <si>
    <t xml:space="preserve">JAIME EDUARDO LEON </t>
  </si>
  <si>
    <t xml:space="preserve">PEDRO MANUEL GONZALEZ </t>
  </si>
  <si>
    <t>LA  DEMANDA DE PERTENENCIA RESPECTO AL FOLIO DE MATRÍCULA INMOBILIARIA NO 50N-577253, UBICADO EN LA CARRERA 6 A 190 A 02 SE TRASLAPA CON LOS RUPI 25-39, 25-80 Y 25-90</t>
  </si>
  <si>
    <t xml:space="preserve"> BUENAVISTA DESARROLLO, DESARROLLO LEGALIZADO</t>
  </si>
  <si>
    <t xml:space="preserve">RUPI 
25-39, 25-80 y 25-90 </t>
  </si>
  <si>
    <t>TERMINADO POR DESISTIMIENTO EL 09-09-2024</t>
  </si>
  <si>
    <t xml:space="preserve">TERMINADO POR DESISTIMIENTO </t>
  </si>
  <si>
    <t>2019-00308 (11001400300620190030800)</t>
  </si>
  <si>
    <t>JUZGADO 6 CIVIL MUNICIPAL DE ORALIDAD DE BOGOTA</t>
  </si>
  <si>
    <t xml:space="preserve">MARIA EDILMA GALINDO FORERO </t>
  </si>
  <si>
    <t>PEDRO MANUEL GONZALEZ FERNANDEZ, JAIME VILLEGAS ARBELAEZ Y DEMAS PERSONAS INDETERMINADAS</t>
  </si>
  <si>
    <t>EL PREDIO OBJETO DEL PROCESO SE TRASLAPA CON EL RUPI 25-2.</t>
  </si>
  <si>
    <t>DESARROLLO BUENAVISTA</t>
  </si>
  <si>
    <t>RUPI 25-2</t>
  </si>
  <si>
    <t>SEGUIMIENTO A PROCESO-RECHAZO DE LA DEMANDA DEL 22-05-2024</t>
  </si>
  <si>
    <t>RECHAZO DE LA DEMANDA</t>
  </si>
  <si>
    <t>2019-00388
11001310300120190038801</t>
  </si>
  <si>
    <t>JUZGADO 1 CIVIL DEL CIRCUITO DE BOGOTÁ</t>
  </si>
  <si>
    <t>METROSUR LIMITADA EN LIQUIDACIÓN
- ALONSO ARTUNDUAGA PENAGOS; - ANA ROSA MORA DE BELTRAN; - ARMANDO BUITRAGO TORRES
- BRIGITTE POVEDA CANTOR; - BRIGITTI AMPARO PERALTA GUATAVITA; - CARLOS ALBERTO GOMEZ RODRIGUEZ; - DIOMEDES ROJAS TABASURA
- EDGAR ENRIQUE BELTRAN MORA; - EDGAR VELEZ DUQUE; - EMMA LIDIA ARENAS; - GLORIA BEATRIZ JIMENEZ UTIMA; - HENRY MUNEVAR MONTAÑO
- JAIRO HUMBERTO MAZO LINARES; - LORENCITA MARTINEZ RINCON; - LUZ GLEADY GARNICA
- LUZ MARINA BEJARANO QUEVEDO; - LUZ MARINA MERCHAN MORENO; - MANUEL ANTONIO CANO BERMUDEZ; - MARIA LUZ HERNANDEZ DE MANZO; 
- MARIO AURELIO CELY; - MARTHA YILDA RODRIGUEZ CAMPOS; - NATIVIDAD CASTRO LOPEZ
- OLGA TORRES DE GAMERO; - RICARDO PULIDO TORO; - SCOTIABANK COLPATRIA S. A.</t>
  </si>
  <si>
    <t>PERTENENCIA LOCALES COMERCIALES METROCUR</t>
  </si>
  <si>
    <t>LA SECRETARÍA DISTRITAL DE GOBIERNO, ELEVÓ SOLICITUD AL DADEP CON EL FIN DE QUE PROCEDIERA EN EL MARCO DE SUS COMPETENCIAS A PROMOVER ACCIÓN JUDICIAL DE PERTENENCIA CON EL FIN DE SANEAR LA TITULARIDAD DE DIEZ (10) LOCALES COMERCIALES QUE A LA FECHA SON OCUPADOS POR PARTE DE LA JUNTA ADMINISTRADORA LOCAL DE CIUDAD BOLÍVAR.</t>
  </si>
  <si>
    <t>METROSUR</t>
  </si>
  <si>
    <t>AUDIENCIA DEL ARTICULO 373 DEL C.G.P.</t>
  </si>
  <si>
    <t>2019-00879
11001310303320190087900</t>
  </si>
  <si>
    <t>JUZGADO 33 CIVIL DEL CIRCUITO DE BOGOTÁ</t>
  </si>
  <si>
    <t>PRIMEOTHER</t>
  </si>
  <si>
    <t>DECLARACION DE PERTENENCIA</t>
  </si>
  <si>
    <t>PREDIO PARTICULAR QUE SE HA USUFRUCTUADO DESDE HACE MAS DE 20 AÑOS</t>
  </si>
  <si>
    <t>SANTANA-BALKANES</t>
  </si>
  <si>
    <t>PREDIO PARTICULAR</t>
  </si>
  <si>
    <t>EL JUZGADO ORDENO CAMBIO DE COMPETENCIA FUNCIONAL, SE L ENVIARA AL JUZGADO 34 CIVIL DEL CIRCUITO</t>
  </si>
  <si>
    <t>AUTO REQUIERE AL DADEP 30-08-3034</t>
  </si>
  <si>
    <t>(2022-00436)
11001310304520220043600</t>
  </si>
  <si>
    <t>JUZGADO 45 CIVIL DEL CIRCUITO</t>
  </si>
  <si>
    <t>MARVAL S.A. - FIDUCIARIA CENTRAL S.A.</t>
  </si>
  <si>
    <t>La sociedad MARVAL S.A., ni la sociedad Fiduciaria Central S.A. no haN cumplido con sus obligaciones urbanísitcas de entregar materialmente y transferir las zonas de cesión en favor del D.C.</t>
  </si>
  <si>
    <t>Urbnazación Parques del Tintal</t>
  </si>
  <si>
    <t xml:space="preserve">2022-10-03: Auto admisorio, ordena publicar en diario de amplia circulación e informar propietarios del mazuren.
2022-10-10: Se allega solicitud de aclaración del auto admisorio sobre  información de propietarios de mazuren, puesto que en nada se relaciona con los hechos de la demanda.
2022-10-20: Se allega informe de cumplimiento sobre la publicación en diario de amplia circulación del auto admisorio.    6-8-2023 al despacho                                                                                                                                                                       2023-07-06 se requiere poder el cual se allega  cumplimiento al requerimiento de fecha 19 -5-2023 y se encuentra al despacho desde el 26-10-2023 se revisa en rama el 4-12-2023 auto de fecha 6-12-2023 reconoce personeria no tiene en cuenta notificacion, recurso de reposicion 12-12-2023. ingresa al despacho 22-1-2024 RECURSO. auto 1-11-2024 ÉNGASE notificada por conducta concluyente a la accionada Fiduciaria Central S.A. Por Secretaría procédase a la contabilización del término con el que cuenta para ejercer el derecho de defensa que le asiste, cumplido ello, retórnense las diligencias al despacho para proveer de conformidad. 
</t>
  </si>
  <si>
    <t>CONTESTACION DEMANDA</t>
  </si>
  <si>
    <t>2010-00606
11001310502320100060600</t>
  </si>
  <si>
    <t>JUZGADO 23 LABORAL DEL CIRCUITO</t>
  </si>
  <si>
    <t xml:space="preserve">MARIA VICTORIA GORDILLO - JORGE ALBERTO RINCON REINA - ADRIANA TIRADO OSPINA </t>
  </si>
  <si>
    <t>DADEP - CORPOCIEN</t>
  </si>
  <si>
    <t>LABORAL CONTRACTUAL DERIVADO DE CORPOCIEN</t>
  </si>
  <si>
    <t>PRESTACIONES SOCIALES</t>
  </si>
  <si>
    <t>CONDENA - PAGAR EN FORMA SOLIDARIA SALARIOS $237.153.686</t>
  </si>
  <si>
    <t>31-08-17 SE DIO RESPUESTA A JUZGADO INFORMANDO FECHA HASTA LA CUAL CORPOCIEN PRESTÓ SERVICIOS DADEP - A LA ESPERA MANDAMIENTO PAGO PARA EJERCER DEFENSA.
LIBRARON MANDAMIENTO DE PAGO PERO AUN NO SE HA NOTIFICADO AL DADEP.
MEDIANTE RADICADO 2018-400-023798-2 DEL 08/11/2018, NOTIFICAN EL MANDAMIENTO DE PAGO POR PARTE DEL JUZGADO.
CONTESTAR EL MANDAMIENTO DE PAGO PROPONIENDO EXCEPCIONES 
ENTRO AL DESPACHO DESDE EL 18 NOV 2020 DE NOTIFICACIÓN POR EL ESTADO DEL MISMO</t>
  </si>
  <si>
    <t>AL DESPACHO POR NUEVO REPARTO DE MAGISTRADO 12-03-2024</t>
  </si>
  <si>
    <t>2015-00144
11001310500820150014400</t>
  </si>
  <si>
    <t>JUZGADO 8 LABORAL DEL CIRCUITO</t>
  </si>
  <si>
    <t>VICTOR MANUEL YATE CRUZ</t>
  </si>
  <si>
    <t>DADEP - INCIVIAS - VAREGO</t>
  </si>
  <si>
    <t>LABORAL POR SOLIDARIDAD PRESTACIONES SOCIALES - ACCIDENTE LABORAL</t>
  </si>
  <si>
    <t>SENTENCIA DE 2DA INSTANCIA</t>
  </si>
  <si>
    <t>SENTENCIA A FAVOR 05-11-2024</t>
  </si>
  <si>
    <t>2020-00092
( 11001310500820200009200)</t>
  </si>
  <si>
    <t>JUZGADO 8 LABORAL DEL CUIRCUITO DE BOGOTÁ</t>
  </si>
  <si>
    <t>MARIA VICTORIA GORDILLO</t>
  </si>
  <si>
    <t>PRESTACIONES   SOCIALES</t>
  </si>
  <si>
    <t>LA PARTE DEMANDANTE, PRETENDE EL RECONOCIMIENTO DE SALARIOS, PRESTACIONES SOCIALES DERIVADOS DE UN CONTRATO LABORAL CON LA ENTIDAD CORPOCIEN Y SE CONDENE AL DADEP POR LA SOLIDARIDAD DEL ARTÍCULO 64 CST</t>
  </si>
  <si>
    <t>SENTENCIA A FAVOR DE LA ENTIDAD, FUE APELADA</t>
  </si>
  <si>
    <t>DESPACHO TSDJ 26-09-2024</t>
  </si>
  <si>
    <t>2021-00411
(11001310300220210041100)</t>
  </si>
  <si>
    <t>JUZGADO 2 CIVIL DEL CIRCUITO</t>
  </si>
  <si>
    <t>IGLESIA CENTRAL DENOMINACION CENTRO MISIONERO  BETHESDA</t>
  </si>
  <si>
    <r>
      <t>En visita realizada el 18 de diciembre del 2019 por parte de la Subdirección de Registro Inmobiliario del DADEP, mediante el memorando 20203030003373 del 4 de febrero del 2020 informó que “(</t>
    </r>
    <r>
      <rPr>
        <i/>
        <sz val="9"/>
        <color rgb="FF000000"/>
        <rFont val="Century Gothic"/>
        <family val="2"/>
      </rPr>
      <t>…) el predio identificado con RUPI 2-692, en la cual se evidenció que el Centro Misionero Bethesda ocupa el predio para el funcionamiento de un comedor y un estacionamiento de la Institución Educativa Liceo Bethesda</t>
    </r>
    <r>
      <rPr>
        <sz val="9"/>
        <color rgb="FF000000"/>
        <rFont val="Century Gothic"/>
        <family val="2"/>
      </rPr>
      <t>”.</t>
    </r>
  </si>
  <si>
    <t>LAS CRUCES</t>
  </si>
  <si>
    <t>RUPI   2-696</t>
  </si>
  <si>
    <t>AUDIENCIA DEL 372 Y 373 CGP</t>
  </si>
  <si>
    <t>AUDIENCIA DEL 22-01-2025</t>
  </si>
  <si>
    <t>2015-00742
(11001310301620150074200)</t>
  </si>
  <si>
    <t>JUZGADO 16 CIVIL DEL CIRCUITO DE BOGOTA D.C.</t>
  </si>
  <si>
    <t>ANA CLELIA DIAZ PACHON</t>
  </si>
  <si>
    <t>JAIME VILLEGAS ARBELAEZ</t>
  </si>
  <si>
    <t>Se evidenció una posible invasión al Espacio Público, específicamente al predio con RUPI  25-115, incluido como bien de uso público en el Inventario General de Espacio Público y Bienes Fiscales del Sector Central del Distrito Capital, a cargo del Departamento Administrativo de la Defensoría del Espacio Público, del cual se anexa la Certificación de Bienes del Patrimonio Inmobiliario Distrital - Sector Central</t>
  </si>
  <si>
    <t>RUPI  25-115</t>
  </si>
  <si>
    <t>ADMISION DE LA DEMANDA, NOTIFICACION DE LA MISMA A LOS DEMANDADOS</t>
  </si>
  <si>
    <t>AUDIENCIA DEL 372 01-11-2024</t>
  </si>
  <si>
    <t>2019-00469</t>
  </si>
  <si>
    <t>OCTAVIO ALFONSO MORENO HERRERA</t>
  </si>
  <si>
    <t>REPRESENTACIONES CONTINENTAL S.A.S- IPLAS INDUSTRIAS PLASTICAS LTDA.</t>
  </si>
  <si>
    <t>SE PRETENDE PRESCRIBIR ZONA VERDE DE LA URB. RINCÓN DEL PARAISO</t>
  </si>
  <si>
    <t>RINCÓN DEL PARAISO</t>
  </si>
  <si>
    <t>3057-4</t>
  </si>
  <si>
    <t>SEGUIMIENTO A LA INTERVENCIÓN</t>
  </si>
  <si>
    <t>CON SOLICITUD DE INTERVENCIÓN POR PARTE DEL DADEP.</t>
  </si>
  <si>
    <t>2019-00752 (11001400305120190075200)</t>
  </si>
  <si>
    <t>JUZGADO  51  CIVIL MUNICIPAL BOGOTA D.C.</t>
  </si>
  <si>
    <t>JOSÉ ANTONIO MONTERO  GALINDO</t>
  </si>
  <si>
    <t>ARQUÍMEDES OCTAVIO ROMERO</t>
  </si>
  <si>
    <t>Para el caso en particular, dicha mejora se encuentra localizada sobre el predio identificado con dirección actual DG 101A SUR 2B 63, dirección anterior DG 101A SUR 4A 35 ESTE, cedula catastral 002615201200000000,  código de sector 002615  20 12 000 00009,  folio de Matricula Inmobiliaria N° 50S-40392529 y chip AAA0172LLLW, el cual a la fecha se encuentra parcialmente  incorporado como bien de uso público en el Inventario General de Espacio Público y Bienes Fiscales del Sector Central del Distrito Capital, a cargo del Departamento Administrativo de la Defensoría del Espacio Público, identificado con RUPI 2256-22.</t>
  </si>
  <si>
    <t>MODELIA SPMZ B URBANIZACION</t>
  </si>
  <si>
    <t>RUPI 2256-22</t>
  </si>
  <si>
    <t>TERMINAR SEGUIMIENTO ES BIEN PRIVADO</t>
  </si>
  <si>
    <t xml:space="preserve">	En fecha 10-10-2024, se procede a acompañar la diligencia inicial sobre el predio objeto del proceso judicial, en compañía de la profesional Patricia Guevara Isidro de la SRI. En donde se procede a medir el inmueble y la vía aledaña al mismo, encontrando que no se presenta traslape o sobreposición del predio objeto del proceso sobre el predio de naturaleza pública con RUPI 2256-22. En consecuencia, se procedió a informar al despacho en dicho sentido y a retirarnos de la diligencia. Se termina el seguimiento al proceso por no tratarse de bien público o fiscal a cargo del DADEP.</t>
  </si>
  <si>
    <t>2019-01058</t>
  </si>
  <si>
    <t>JUZGADO 56 CIVIL MUNICIPAL DE BOGOTA D.C.</t>
  </si>
  <si>
    <t xml:space="preserve">BLANCA CECILIA TORRES GUTIÉRREZ </t>
  </si>
  <si>
    <t xml:space="preserve">ASOCIACIÓN NAZARENA DE VIVIENDA ASONAVI </t>
  </si>
  <si>
    <t xml:space="preserve">EL PREDIO OBJETO DEL PROCESO SE ENCUENTRA PARCIALMENTE INCORPORADO COMO BIEN DE USO PÚBLICO </t>
  </si>
  <si>
    <t>4107, SALEM URBANIZACIÓN, URBANISMO LEGAL</t>
  </si>
  <si>
    <t>RUPI 4107-1, 4107-2, 4107-3 y 4107-4</t>
  </si>
  <si>
    <t>SEGUIMIENTO AL PROCESO</t>
  </si>
  <si>
    <t>2017-00719
(11001400302220170071901)</t>
  </si>
  <si>
    <t>JUZGADO 22 CIVIL MUNICIPAL DE BOGOTA D.C.</t>
  </si>
  <si>
    <t xml:space="preserve">JOSÉ ANTONIO MIGUEL ROMERO PAEZ  y OFELIA CRUZ CRUZ </t>
  </si>
  <si>
    <t xml:space="preserve">JUAN FRANCISCO VARGAS SÁNCHEZ  y JUAN CLÍMACO GIRALDO GÓMEZ  </t>
  </si>
  <si>
    <t>El predio de interés, ubicado en la carrera 6 No. 189B-15 MJ, Localidad de Usaquén, no aparece con folio de matrícula 50N-577253 sino 50N-000000 y Chip AAA0117JUNN. El predio así identificado presenta un traslape parcial con la vía vehicular carrera 6. Esta vía se encuentra incluida como bien de uso público en el Inventario General de Espacio Público y Bienes Fiscales del Sector Central del Distrito Capital, a cargo del Departamento Administrativo de la Defensoría del Espacio Público, identificada con RUPI 25-2, del cual se adjunta certificación.</t>
  </si>
  <si>
    <t>RUPI 25-2,</t>
  </si>
  <si>
    <t>SENTENCIA A FAVOR DEL DTE 20-11-2024</t>
  </si>
  <si>
    <t>2021-00531</t>
  </si>
  <si>
    <t>JUZGADO 09 CIVIL MUNICIPAL</t>
  </si>
  <si>
    <t>DANIEL CORONADO GUTIERREZ EVANGELINA MOGOLLON MONTAÑA</t>
  </si>
  <si>
    <t>JUAN CLIMACO GIRALDO GOMEZ</t>
  </si>
  <si>
    <t>PROCESO DE PERTENENCIA SOBRE UN PREDIO PUBLICO</t>
  </si>
  <si>
    <t>DESARROLLO BUENA VISTA</t>
  </si>
  <si>
    <t>25-80, 25-90, 25-39</t>
  </si>
  <si>
    <t>SEGUIMIENTO AL PROCESO PARA DETERMINAR SI LA DEMANDA RECAE SOBRE PREDIOS PÚBLICOS</t>
  </si>
  <si>
    <t>2019-00854
(11001400305020190085400)</t>
  </si>
  <si>
    <t>JUZGADO 50 CIVIL MUNICIPAL.</t>
  </si>
  <si>
    <t xml:space="preserve">REINALDO RAMIREZ TARAZONA </t>
  </si>
  <si>
    <t>ARQUIMEDES OCTAVIO ROMERO Y PERSONAS INDETERMINADAS</t>
  </si>
  <si>
    <t>De acuerdo con la consulta anterior en la Ventanilla Única de Registro-VUR, se encontró que al folio de matrícula inmobiliaria 50S- 40392349 le corresponden los datos catastrales AAA0172KYYX y nomenclatura KR 2B 100F 04 SUR (DIRECCION CATASTRAL). Por otra parte, este se traslapa con Un (1) predio o zona de cesión la cual se encuentra incorporada en el Sistema de Información de la Defensoría del Espacio Público bajo el Registro Único de Patrimonio Inmobiliario con RUPI No. 2256-2 (ZONAS VIALES) VIAS VEHICULARES</t>
  </si>
  <si>
    <t>BRILLANTE</t>
  </si>
  <si>
    <r>
      <t xml:space="preserve">RUPI No. </t>
    </r>
    <r>
      <rPr>
        <b/>
        <sz val="9"/>
        <color theme="1"/>
        <rFont val="Century Gothic"/>
        <family val="2"/>
      </rPr>
      <t xml:space="preserve"> </t>
    </r>
    <r>
      <rPr>
        <sz val="9"/>
        <color theme="1"/>
        <rFont val="Century Gothic"/>
        <family val="2"/>
      </rPr>
      <t>2256-2</t>
    </r>
  </si>
  <si>
    <t>ADMISION DE LA DEMANDA, PRESENTARON INCIDENTE DE NULIDAD</t>
  </si>
  <si>
    <t>DESPACHO 02-08-2024</t>
  </si>
  <si>
    <t>2019-00781
(11001418901920190078100)</t>
  </si>
  <si>
    <t xml:space="preserve">JUZGADO 19 DE PEQUEÑAS CAUSAS Y COMPETENCIA MULTIPLE DE BOGOTA  </t>
  </si>
  <si>
    <t xml:space="preserve">AMPARO DEL SOCORRO RIVAS ARRIETA </t>
  </si>
  <si>
    <t xml:space="preserve">PEDRO MANUEL GONZALEZ FERNANDEZ  
JAIME VILLEGAS ARBELAEZ  y PERSONAS INDETERMINADAS.
</t>
  </si>
  <si>
    <t xml:space="preserve">Por otra parte, el predio identificado con dirección KR 4D 190A 01 (DIRECCION CATASTRAL), con F.M.I. 50N-679493 y CHIP AAA0117KUEP se traslapa con Tres (3) predios o zonas de cesión los cuales se encuentran incorporados en el Sistema de Información de la Defensoría del Espacio Público bajo el Registro Único de Patrimonio Inmobiliario con RUPI No. 25-2 (ZONAS VIALES) VIAS VEHICULARES- VIA VEHICULAR - CARRETERA AL GUAVIO (TRAMO 1), RUPI No. 25-7 (ZONAS VIALES) VIAS VEHICULARES y RUPI No. 25-14 (ZONAS VIALES) VIAS PEATONALES- VIA PEATONAL - P-3 MZ 16 de las cuales se anexan las respectivas certificaciones técnicas para los RUPI No. 25-2 y RUPI No. 25-14, mientras que para el RUPI No. 25-7 </t>
  </si>
  <si>
    <t xml:space="preserve">RUPI No.  25-2 ; RUPI No. 25-7 ; 25-14 </t>
  </si>
  <si>
    <t>SEGUIMIENTO PROCESAL: AUDIENCIA INICIAL</t>
  </si>
  <si>
    <t>DESPACHO 04-04-2024</t>
  </si>
  <si>
    <t>2014-00146
110013336719 20140014600</t>
  </si>
  <si>
    <t>MARIA DEL CARMEN PINZON PINZON</t>
  </si>
  <si>
    <t>INCUMPLIMIENTO CONTRATO ARRENDAMIENTO 0001-1996</t>
  </si>
  <si>
    <t>SIN RUPI</t>
  </si>
  <si>
    <t>SECUESTRO DE LA CUOTA PARTE DE UN PARQUEADERO, SE DEBE VER EN SU OPORTUNIDAD UN COSTO BENEFICIO.</t>
  </si>
  <si>
    <t>AUTO REQUIERE AL DADEP 15-05-2024</t>
  </si>
  <si>
    <t>2022-00006</t>
  </si>
  <si>
    <t>JUZGADO 13 - CIVIL DEL CIRCUITO</t>
  </si>
  <si>
    <t xml:space="preserve"> DIEGO ARMANDO RUIZ HERNANDEZ
- OSCAR JAVIER AVILA BARRERA</t>
  </si>
  <si>
    <t>WILSON FERNANDO CUADROS MONROY</t>
  </si>
  <si>
    <t>PERTENENCIA SOBRE ZONAS DE CESIÓN</t>
  </si>
  <si>
    <t>RENANIA II</t>
  </si>
  <si>
    <t xml:space="preserve"> PRESCRIPCIÓN DEL PREDIO CON FMI 50S-40145036 </t>
  </si>
  <si>
    <t xml:space="preserve"> 3583-8 </t>
  </si>
  <si>
    <t>SEGUIMIENTO A LA VINCULACIÓN DEL DADEP</t>
  </si>
  <si>
    <t xml:space="preserve"> NOTIFICACIONES </t>
  </si>
  <si>
    <t>2024-00035</t>
  </si>
  <si>
    <t>JUZGADO 48 CIVIL MUNICIPAL DE BOGOTÁ</t>
  </si>
  <si>
    <t>JOSE ANANIAS AGUIRRE BELTRANJAC BARRIO LAS BRISAS</t>
  </si>
  <si>
    <t>VENTA ZONAS DE CESIÓN</t>
  </si>
  <si>
    <t>DESARROLLO LEGALIZADO LAS BRISAS</t>
  </si>
  <si>
    <t>RUPI 858-35</t>
  </si>
  <si>
    <t>SE ENCUENTRA EN NOTIFICACIONES</t>
  </si>
  <si>
    <t xml:space="preserve">	2024-54058</t>
  </si>
  <si>
    <t xml:space="preserve">FISCALIA 186  SECCIONAL </t>
  </si>
  <si>
    <t>PECULADO</t>
  </si>
  <si>
    <t>CONVENIO SOLIDARIO NO. 110-00129-566 -0-2020, ENTRE EL DADEP Y LA JUNTA DE ACCIÓN COMUNAL URBANIZACIÓN PROTECHO BOGOTÁ II DE LA LOCALIDAD 19 CIUDAD BOLÍVA</t>
  </si>
  <si>
    <t>JUNTA DE ACCIÓN COMUNAL URBANIZACIÓN PROTECHO BOGOTÁ II</t>
  </si>
  <si>
    <t>RUPI 1703-13</t>
  </si>
  <si>
    <t>se realiza reunión en la fiscalía 186 seccional de lo cual se logra impulso procesal concernirte a la emisión de orden a policía judicial No 10307710</t>
  </si>
  <si>
    <t>2022-00357</t>
  </si>
  <si>
    <t>JUZGADO 33  CIVIL DEL CIRCUITO DE BOGOTA</t>
  </si>
  <si>
    <t>BELARMINA TIBATÁ DÍAZ Y HUGO ALBERTO VILLA INFANTE</t>
  </si>
  <si>
    <t>NULIDAD DE ESCRITURA QUE TRANSFIRIÓ A TITULO DE VENTA BIENES AFECTOS AL USO PÚBLICO</t>
  </si>
  <si>
    <t xml:space="preserve">NULIDAD DE ESCRITURA QUE TRANSFIRIÓ A TITULO DE VENTA BIENES AFECTOS AL USO PÚBLICO DEL DESARROLLO EL TINTAL </t>
  </si>
  <si>
    <t>FONTIBÓN</t>
  </si>
  <si>
    <t>734-1</t>
  </si>
  <si>
    <t>CONTESTACIÓN DE LA DEMANDA POR PARTE DEL CURADOR</t>
  </si>
  <si>
    <t xml:space="preserve">A ESPERA DE FIJACIÓN DE AUDIENCIA INICIAL. </t>
  </si>
  <si>
    <t xml:space="preserve">
2024-00663 (11001220300020240066300)</t>
  </si>
  <si>
    <t>SALA CIVIL DEL TRIBUNAL SUPERIOR DE DISTRITO JUDICIAL</t>
  </si>
  <si>
    <t>ANTONIO ABELARDO CORTES VALERO</t>
  </si>
  <si>
    <t>ESPACIO PUBLICO AFECTADO POR DECISON DEL JUZGADO 37 CIVIL DEL CIRCUITO</t>
  </si>
  <si>
    <t>La Sentencia del cinco (5) de febrero del dos mil siete (2007) fue notificada mediante edicto el día nueve (9) de febrero del 2007 quedando en firme el día veinte (20) de Febrero de 2007, en la decisión se declaró como propietario al señor ANTONIO ABELARDO CORTES VALERO, mayor de edad, domiciliado y residenciado en la ciudad de Bogotá, identificada con la cédula de ciudadanía Nro. 4.227.900, de un inmueble ubicado en la localidad 2 de Chapinero Bogotá D.C. en la calle 72 Nr. 1-60 y cuenta con una cabida de 1.415.80 metros cuadrados, y se comprenden por los siguientes linderos: OCCIDENTE, con la calle 72 en extensión de 47.1 mts; NORTE, con el lote 21 de propiedad privada en extensión de 34.90 mts; ORIENTE, con la manzana 22 de propiedad privada en extensión de 20 mts; POR EL SUR, con la manzana 22 de propiedad privada en extensión de 32.4 mts y encierra. Predio identificado con la cédula catastral Nro. 0083051901 y Folio de Matrícula Inmobiliaria 50C-246674.</t>
  </si>
  <si>
    <t>8.061.00MTS2</t>
  </si>
  <si>
    <t>OJ</t>
  </si>
  <si>
    <t>(2022 -00392)  25000233600020220039200</t>
  </si>
  <si>
    <t>ALEJANDRO SEGURA RODRIGUEZ</t>
  </si>
  <si>
    <t xml:space="preserve">INDEMNIZACIÓN PERJUICIOS   </t>
  </si>
  <si>
    <t>REPARACIÓN DIRECTA MOBILIARIO URBANO</t>
  </si>
  <si>
    <t>CONTESTACIÓN DE LA DEMANDA - VENCE EL 15 DE AGOSTO DE 2024</t>
  </si>
  <si>
    <t>CONTESTACIÓN DEMANDA - TÉRMINOS</t>
  </si>
  <si>
    <t>(2023-00022) 11001333603320230002200</t>
  </si>
  <si>
    <t>JUZGADO 33 ADMINISTRATIVO</t>
  </si>
  <si>
    <t>JEYMI HAZBLEIDY OSORIO DIAZ</t>
  </si>
  <si>
    <t>REPACIÓN DIRECTA ACCIDENTE DE TRANSITO</t>
  </si>
  <si>
    <t>AL DESPACHO PARA SENTENCIA DEL 17 DE OCTUBRE DE 2024</t>
  </si>
  <si>
    <t>(2023-00397) 11001334306020230039700</t>
  </si>
  <si>
    <t>JUZGADO 60 ADMINISTRATIVO</t>
  </si>
  <si>
    <t>CONSORCIO SANTABARBARA 2018</t>
  </si>
  <si>
    <t>CONTRACTUAL CAMEP</t>
  </si>
  <si>
    <t>CONTRACTUAL NO DEVOLUCIÓN DE PREDIOS</t>
  </si>
  <si>
    <t>RESOLUCIÓN DEL DESPACHO SOBRE RECURSO DE APELACIÓN</t>
  </si>
  <si>
    <t>APELACIÓN Y NUEVA DEMANDA</t>
  </si>
  <si>
    <t>(2023-00411) 11001310303920230041100</t>
  </si>
  <si>
    <t>JUZGADO 39 CIVIL</t>
  </si>
  <si>
    <t>FONADE</t>
  </si>
  <si>
    <t>TERMINACIÓN DE CONTRATO</t>
  </si>
  <si>
    <t>CONTRACTUAL TERMINACIÓN DE CONTRATO</t>
  </si>
  <si>
    <t>AUTO QUE ADMITE DEMANDA Y RECONOCE PERSONERÍA</t>
  </si>
  <si>
    <t>DEMANDA ADMITIDA</t>
  </si>
  <si>
    <t>(2023-00469) 25000233600020230046900</t>
  </si>
  <si>
    <t>EFECTIMEDIOS S.A.</t>
  </si>
  <si>
    <t xml:space="preserve">CONTRACTUAL  SEÑALES </t>
  </si>
  <si>
    <t>CONTRACTUAL RCLAMACIÓN</t>
  </si>
  <si>
    <t>EL 02 DE AGOSTO DE 2024, SE RESUELVEN EXCEPCIONES PREVISAS Y SE DECLARAN NO PROBADAS</t>
  </si>
  <si>
    <t>(2023-00517) 25000233600020230051700</t>
  </si>
  <si>
    <t>ETB</t>
  </si>
  <si>
    <t>REPARACIÓN DIRECTA OCUPACIÓN INMUEBLE</t>
  </si>
  <si>
    <t>EL 08 DE JULIO DE 2024 SE ALEGA DE CONCLUSIÓN POR EL DADEP</t>
  </si>
  <si>
    <t>SENTENCIA ANTICIPADA - ALEGATOS</t>
  </si>
  <si>
    <t>(2024-00290)                                                          11001334306120240029000</t>
  </si>
  <si>
    <t>JUZGADO 61 ADMINISTRATIVO DE LA SECCIÓN TERCERA DE BOGOTÁ D.C.</t>
  </si>
  <si>
    <t>CONSORCIO SANTA BARBARA 2018</t>
  </si>
  <si>
    <t>N7A</t>
  </si>
  <si>
    <t>REMISIÓN POR COMPETENCIA A TRIBUNALES ADMINISTRATIVOS DE CUNDINAMARCA</t>
  </si>
  <si>
    <t>ADMISIÓN DE LA DEMANDA</t>
  </si>
  <si>
    <t>1-2024-16170</t>
  </si>
  <si>
    <t>SECRETARÍA JURÍDICA DISTRITAL</t>
  </si>
  <si>
    <t>FONDO DE DESARROLLO  LOCAL DE CIUDAD BOLIVAR</t>
  </si>
  <si>
    <t>CONVOCANTE</t>
  </si>
  <si>
    <t>CITACIÓN AUDIENCIA PARA EL 04 DE OCTUBRE DE 2024 A LAS 9:30 A.M.</t>
  </si>
  <si>
    <t>AUDIENCIA DE MEDIACIÓN</t>
  </si>
  <si>
    <t>2023-00164</t>
  </si>
  <si>
    <t>JOSE FERNANDO RUIZ COY Y OTROS</t>
  </si>
  <si>
    <t>INVERSIONES RICO LTDA</t>
  </si>
  <si>
    <t>ADQUIRIR POR PRESCRIPCION EXTRAORDINARIA DE DOMINIO</t>
  </si>
  <si>
    <t>DESARROLLO LA IGUALDAD</t>
  </si>
  <si>
    <t xml:space="preserve">RUPI 622-47, 4187-1, 4187-2, 4187-3, </t>
  </si>
  <si>
    <t>VINCULACIÓN DADEP, A TRVÉS DEL RADICADO 20241300068751 SE SOLICITO VINCULACIÓN</t>
  </si>
  <si>
    <t>SE ESPERA VINCULACIÓN DADEP, PRONUNCIAMIENTO MEMORIAL</t>
  </si>
  <si>
    <t>2023-01481</t>
  </si>
  <si>
    <t>JUZGADO 32 CIVIL MUNICIPAL DE BOGOTA</t>
  </si>
  <si>
    <t>ENRIQUE VARGAS PÁEZ Y OTROS</t>
  </si>
  <si>
    <t>DORIS ANAVI MORENO CARRILLO</t>
  </si>
  <si>
    <t>DESARROLLO CEREZOS SECTOR LA ESPERANZA</t>
  </si>
  <si>
    <t>RUPI 299-1, 3299-3, 3299-4, 3299-5, 3299-6, 3299-7, 3299-8, 3299-9, 3299-10, 3299-11.</t>
  </si>
  <si>
    <t>REALIZAR EL ESTUDIO DE LA DEMANDA POR PARTE DE SRI Y VERIFICAR SI SE TRASLAPA EL INMUEBLE OBJETO DEPERTENENCIA CON ZONAS DE CESION 299-1, 3299-3, 3299-4, 3299-5, 3299-6, 3299-7, 3299-8, 3299-9, 3299-10, 3299-11. NO SE REGISTRA EN SIPROJ HASTA NO DETERMINAR LA NECESITA SE SOLICTAR VINCULACIÓN</t>
  </si>
  <si>
    <t>A TRAVÉS DEL RADICADO  20241300068081 SE SOLICITO REMISIÓN LINK PROCESO PARA  SRI Y VERIFICAR SI SE TRASLAPA EL INMUEBLE OBJETO DEPERTENENCIA CON ZONAS DE CESION 299-1, 3299-3, 3299-4, 3299-5, 3299-6, 3299-7, 3299-8, 3299-9, 3299-10, 3299-11.</t>
  </si>
  <si>
    <t>2024-00183</t>
  </si>
  <si>
    <t>JUZGADO 26 CIVIL DEL CIRCUITO DE BOGOTÁ</t>
  </si>
  <si>
    <t>JOSE DEL ROSARIO GUTIERRZ PADILLA Y OTROS</t>
  </si>
  <si>
    <t>DIVISION, REMATE Y ENTREGA DE DINERO CORRESPONDIENTE
 AL PROCENTAJE DE PROPIEDAD.</t>
  </si>
  <si>
    <t>RUPI 2-2332</t>
  </si>
  <si>
    <t xml:space="preserve">EL DESPACHO DEBERÁ FIJAR FECHA Y HORA PARA AUDIENCIA INICIAL </t>
  </si>
  <si>
    <t xml:space="preserve">NOTIFICACIONES </t>
  </si>
  <si>
    <t>2024-00252</t>
  </si>
  <si>
    <t>JUZGADO 27 CIVIL DEL CIRCUITO DE BOGOTA</t>
  </si>
  <si>
    <t>ARMANDO BUITRAGO BUITRAGO Y OTROS</t>
  </si>
  <si>
    <t>NOTIFICACIONES-TRAMTE OFICIO REGISTRO DEMANDA OIP</t>
  </si>
  <si>
    <t>2024-00289</t>
  </si>
  <si>
    <t>JUZGADO  1 CIVIL MUNICIPAL DE FUSAGASUGA</t>
  </si>
  <si>
    <t>CARLOS IVAN PULECIO Y OTROS</t>
  </si>
  <si>
    <t>ADMISION DEMANDA</t>
  </si>
  <si>
    <t>11001310304420230057800
(2023-00578)</t>
  </si>
  <si>
    <t>44 CIVIL DEL CIRCUITO</t>
  </si>
  <si>
    <t>JOSE VICENTE BUITRAGO</t>
  </si>
  <si>
    <t>JOSE DEL CARMEN CALDAS TUNJO</t>
  </si>
  <si>
    <t>PROTECCION DE ESPACIO PUBLICO</t>
  </si>
  <si>
    <t>En cuanto a la nomenclatura Calle 56 Sur G 81-85, CHIP AAA0045SMRJ, consultado el mapa digital de la Defensoría del Espacio Público – SIGDEP y el Sistema de Información de la Defensoría del Espacio Público-SIDEP, corresponde a un predio de mayor extensión el cual tiene inmersas áreas que se encuentran incluidas como bienes de uso público y bienes destinados al uso público en el Inventario General de Espacio Público y Bienes Fiscales del Sector Central del Distrito Capital, que lleva el Departamento Administrativo de la Defensoría del Espacio Público y se identifican con los RUPI 1011- 159, 1011-160, 1165-1, 1165-2, 1165-3, 1165-4, 1165-5, 1165-6, 1165-7, 1165-8, 1165-9”.</t>
  </si>
  <si>
    <t>GRAN BRITALIA</t>
  </si>
  <si>
    <t>RUPI 1011</t>
  </si>
  <si>
    <t>SEGUIMIENTO PARA VINCULACION DEL PROCESO POR TERMINACION</t>
  </si>
  <si>
    <t>NOTIFICACION DE LA DEMANDA</t>
  </si>
  <si>
    <t>11001310301820230000100
(2023-00001)</t>
  </si>
  <si>
    <t>18 CIVIL DEL CIRCUITO</t>
  </si>
  <si>
    <t xml:space="preserve"> CONJUTO RESIDENCIAL PARQUE METROPOLITANO ETAPA II</t>
  </si>
  <si>
    <t>DUCIARIA TEQUENDAMA S.A. </t>
  </si>
  <si>
    <t>PROTECCIÓN DEL ESPACIO PUBLICO</t>
  </si>
  <si>
    <t>EL CONJUNTO RESIDENCIAL PARQUE METROPOLITANO ETAPA II PH DEMANDA EN PERTENENCIA A LA SOCIEDAD CONSTRUCTORA FIDUCIARIA TEQUENDAMA POR ZONAS QUE SE DICEN SIN COMUNALES.</t>
  </si>
  <si>
    <t>PARQUE METROPOLITANO</t>
  </si>
  <si>
    <t>RUPI 3844</t>
  </si>
  <si>
    <t>CONTESTACION DE LA DEMANDA</t>
  </si>
  <si>
    <t>PONE EN CONOCIMIENTO 09-09-2024</t>
  </si>
  <si>
    <t>2005-00197-01</t>
  </si>
  <si>
    <t>JUZGADO 48 CIVIL DEL CIRCUITO DE BOGOTÁ</t>
  </si>
  <si>
    <t xml:space="preserve">
JORGE LUIS VACA RAMIREZ
MARIA MARGARITA ROSA FORERO DE VACA</t>
  </si>
  <si>
    <t>EMPRESA DE ACUEDUCTO Y ALCANTARILLADO DE BOGOTA</t>
  </si>
  <si>
    <t>DEFINICIÓN LINDEROS Y MOJONES</t>
  </si>
  <si>
    <t>PARQUE NACIONAL ORIENTAL SANTA ISABEL II</t>
  </si>
  <si>
    <t>16/09/2021</t>
  </si>
  <si>
    <t>SE SOLICITA REMISIÓN DE LINK PARA REALIZAR ESTUDIO Y VERIFICAR SOLICTUD VINCULACIÓN Y OBTENER PIEZAS PROCESALES ATRAVÉS DE RADICADO 20241300069681</t>
  </si>
  <si>
    <t>VERIFICACIÓN VINCULACIÓN</t>
  </si>
  <si>
    <t>2024-00282</t>
  </si>
  <si>
    <t xml:space="preserve">MARIA GLADYS TERAN DE MATTA C.C.  No. 20.903.793
MAGDA NAYIBE MATTA TERAN C.C.  52.771.492 
EDWIN JOVANY MATTA TERAN C.C. 80.002.163 
JHON ALEXANDER MATTA TERAN C.C.  No.  79.893.731 
JOSE MANUEL CAÑIZALEZ C.C. 93.130.587
INSTITUTO DE DESARROLLO URBANO – IDU Nit 899.999.081-6
EC S.A. Nit 800.250.579 
CODENSA S.A. ESP nit 830.037.248-0 
EMPRESA DE ACUEDUCTO Y ALCANTARILLADO DE BOGOTÁ Nit      899.999.094-1 
</t>
  </si>
  <si>
    <t>RUPI 2-1411</t>
  </si>
  <si>
    <t>CALIFICACIÓN DEMANDA-ADMISIÓN DEMANDA</t>
  </si>
  <si>
    <t>2024-00256</t>
  </si>
  <si>
    <t>JUZGADO 37 CIVIL DEL CIRCUITO DE BOGOTÁ</t>
  </si>
  <si>
    <t xml:space="preserve">JULIO DANIEL CASTAÑEDA BELTRAN  </t>
  </si>
  <si>
    <t xml:space="preserve">ACLARACIÓN Y/O REFORMA ESCRITURA PUBLICA </t>
  </si>
  <si>
    <t>declare que las zonas establecidas en la Escritura Pública 8538 del 12 de julio de 1.993 de la Notaría 27 del Círculo de Bogotá en su PARAGRAFO: AREA DE CESIÓN corresponden a Zonas de Cesión de Propiedad del Distrito Capital, las cuales fueron señaladas en la resolución 0019 de 1999 de planeación distrital, aclarada mediante la resolución 0859 del 25 de julio del 2014 proferidas por El Departamento Administrativo de Planeación Distrital hoy Secretaría de Planeación Distrital.</t>
  </si>
  <si>
    <t>SAN CARLOS DE TIBABUYES</t>
  </si>
  <si>
    <t>2022-00729</t>
  </si>
  <si>
    <t>JUZGADO 55 CIVIL MUNICIPAL</t>
  </si>
  <si>
    <t>JORGE EMIRO SANCHEZ PEREZ</t>
  </si>
  <si>
    <t>TERESA ROLDAN DE VANEGA</t>
  </si>
  <si>
    <t>POLIDEPORTIVO KENNEDY</t>
  </si>
  <si>
    <t>2785-1, 2785-2</t>
  </si>
  <si>
    <t>2022-01211</t>
  </si>
  <si>
    <t>JUZGADO 01 CIVIL MUNICIPAL DE BOGOTÁ</t>
  </si>
  <si>
    <t>ROSALBINA SANTAMARIA DE PARDO</t>
  </si>
  <si>
    <t>JUAN CLIMACO GIRALDO GOMEZ Y OTROS</t>
  </si>
  <si>
    <t>PERTENENCIA SOBRE PREDIO PRIVADO</t>
  </si>
  <si>
    <t>NO BUP</t>
  </si>
  <si>
    <t>TERMINAR</t>
  </si>
  <si>
    <t>SE ENCUENTRA QUE EL PREDIO NO CORRESPONDE A UN BIEN PÚBLICO EN CABEZA DEL DADEP, SE PROCEDE A TERMINAR EL PRESENTE ASUNTO.  	Mediante oficio 20232010194111 de fecha 21-12-2023, se informa al Juzgado 1 Civil Municipal de Bogotá, que de conformidad a la respuesta recibida por parte de la SDP se concluye que no existe traslape en el predio de interes identificado con nomenclatura urbana Carrera 4 B No. 191-06 MJ, manzana 17 –lote 2, CHIP No. AAA0153CAWW, y el área del predio de uso público identificado con RUPI 25-2.</t>
  </si>
  <si>
    <t>2020-00559</t>
  </si>
  <si>
    <t xml:space="preserve">FISCALIA 79 - SECCIONAL UNIDAD SEGUNDA DE LA ADMINISTRACIÓN PÚBLICA </t>
  </si>
  <si>
    <t>AURA CECILIA CUBIDES GONZALEZ</t>
  </si>
  <si>
    <t>FALSEDAD EN DOCUMENTO PÚBLICO</t>
  </si>
  <si>
    <t>BACHUE</t>
  </si>
  <si>
    <t>2015-00017</t>
  </si>
  <si>
    <t xml:space="preserve">FISCALIA 365 - DELEGADA ANTE LOS JUECES PENALES MUNICIPALES </t>
  </si>
  <si>
    <t>DUARTE GONZALEZ FERMIN, CRISTIAN ALONSO CABALLERO MORENO</t>
  </si>
  <si>
    <t>DENUNCIA PENAL - FALSEDAD EN DOCUMENTO PÚBLICO</t>
  </si>
  <si>
    <t>2022-38342</t>
  </si>
  <si>
    <t xml:space="preserve">FISCALIA 277 SECCIONAL UNIDAD FE PUBLICA Y ORDEN ECONOMICO – ORDINARIO </t>
  </si>
  <si>
    <t>CARLOS MARIO PALACIO CONGOTE</t>
  </si>
  <si>
    <t xml:space="preserve"> FRAUDE PROCESAL</t>
  </si>
  <si>
    <t xml:space="preserve">COSTA RICA </t>
  </si>
  <si>
    <t>2024-52667</t>
  </si>
  <si>
    <t xml:space="preserve">FISCALIA 380 SECCIONAL DE BOGOTÁ </t>
  </si>
  <si>
    <t xml:space="preserve"> AMENAZAS</t>
  </si>
  <si>
    <t>2024-58473</t>
  </si>
  <si>
    <t>UMBARILA VELOZA DANIEL AUGUSTO</t>
  </si>
  <si>
    <t>2023-29747</t>
  </si>
  <si>
    <t xml:space="preserve">FISCALIA 83 - SECCIONAL UNIDAD DE PATRIMONIO ECONOMICO </t>
  </si>
  <si>
    <t>CUADROS MORENO CARLOS JULIO</t>
  </si>
  <si>
    <t>INACTIVO</t>
  </si>
  <si>
    <t>2024-66584
110016000050202466584</t>
  </si>
  <si>
    <t>Fiscalía
OFICINA DE ASIGNACIONES - LOCALES - BOGOTÁ</t>
  </si>
  <si>
    <t>RAFAEL ESGUERRA</t>
  </si>
  <si>
    <t>FALSEDAD MATERIAL EN DOCUMENTO PUBLICO</t>
  </si>
  <si>
    <t>UNA VEZ PERFECCIONADA LA PRESENTE INVESTIGACIÓN.
CORRESPONDIENTE A; PREDIO UBICADO EN LA CALLE 71 NO. 5 - 72 RUPI 2-1012 CON
MATRÍCULA INMOBILIARIA NO. 50C207623 Y PREDIO UBICADO CALLE 71 NO. 5 - 58 RUPI 2-1011 CON MATRÍCULA INMOBILIARIA
NO
50C-208538</t>
  </si>
  <si>
    <t>2-1012</t>
  </si>
  <si>
    <t>2024-00386
110013103016-2024-00386-00</t>
  </si>
  <si>
    <t>CONSTRUCTORES SOLAR;
FIDUCIARIA BOGOTA</t>
  </si>
  <si>
    <t>CABIDA Y LINDEROS</t>
  </si>
  <si>
    <t xml:space="preserve">“En atención a la radicación de la referencia por la cual se solicitó el trámite de CERTIFICACION DE CABIDA Y LINDEROS para el predio con nomenclatura oficial CL 5B SUR 5 08, Código Homologado de Identificación Predial CHIP AAA0000BDBR, la Unidad Administrative Especial de Catastro Distrital -UAECD se permite informar”:
Por lo anteriormente expuesto, la Unidad Administrativa Especial de Catastro Distrital - UAECD, formula y pone a consideración de los propietarios del predio de interés la siguiente propuesta de rectificación de linderos, la cual se asocia al piano del predio adjunto. Vale la pena precisar, que esta propuesta no puede ser modificada ni utilizada como certificación de cabida y linderos:
</t>
  </si>
  <si>
    <t>LAS BRISAS</t>
  </si>
  <si>
    <t>2-369</t>
  </si>
  <si>
    <t>1.648 MTS2</t>
  </si>
  <si>
    <t>EN NOTIFICACION DE LA DEMANDA</t>
  </si>
  <si>
    <t>ADMITE LA DEMANDA 18-09-2024</t>
  </si>
  <si>
    <t>2022-00327
11001400306420220032700</t>
  </si>
  <si>
    <t>DECLARATIVO
PEERTENENCIA</t>
  </si>
  <si>
    <t>JUZGADO 064 CIVIL MUNICIPAL</t>
  </si>
  <si>
    <t>MARIA CECILIA TORRES MORENO
- MARIA ELVIA TORRES MORENO</t>
  </si>
  <si>
    <t>FRANCISCO ANDRADE</t>
  </si>
  <si>
    <t>CONSULTADO EL MAPA DIGITAL DE LA DEFENSORÍA DEL ESPACIO PÚBLICO – SIGDEP Y EL SISTEMA DE INFORMACIÓN DE LA DEFENSORÍA DEL ESPACIO PÚBLICO-SIDEP POR LA NOMENCLATURA ENCONTRADA EN LA VUR, SE ESTABLECIÓ QUE EL PREDIO ASÍ DEFINIDO SE TRASLAPA EN UN ÁREA APROXIMADA DE 555 M2 CON UN ÁREA INCLUIDA COMO BIEN DESTINADO AL USO PÚBLICO EN EL INVENTARIO GENERAL DE ESPACIO PÚBLICO Y BIENES FISCALES DEL SECTOR CENTRAL DEL DISTRITO CAPITAL, A CARGO DEL DEPARTAMENTO ADMINISTRATIVO DE LA DEFENSORÍA DEL ESPACIO PÚBLICO Y SE IDENTIFICA CON EL RUPI 2568-2 DEL CUAL SE ANEXA LA CERTIFICACIÓN CORRESPONDIENTE”.</t>
  </si>
  <si>
    <t>RAMAJAL</t>
  </si>
  <si>
    <t>RUPI 2-2568</t>
  </si>
  <si>
    <t>955.46 MTS</t>
  </si>
  <si>
    <t>CON EL RADICADO DADEP 2024130052441 SE HIZO MANIFESTACIONES DEL PREDIO MATERIA DE LA LITIS</t>
  </si>
  <si>
    <t>AUTO AVOCA CONOCIMIENTO 16-08-2024</t>
  </si>
  <si>
    <t>2024-01178
11001400304520240117800</t>
  </si>
  <si>
    <t>DECLARATIVO DE NULIDAD E.P.</t>
  </si>
  <si>
    <t>JUZGADO 45 CIVIL MUNICIPAL</t>
  </si>
  <si>
    <t>CARLOS ALBERTO BECERRA</t>
  </si>
  <si>
    <t>NULIDAD E.P.</t>
  </si>
  <si>
    <t>por medio del presente escrito me permito presentar demanda DECLARATIVA para que dentro del trámite previsto en el artículo 368 y ss del Código General del Proceso se declare la NULIDAD ABSOLUTA DE LA ESCRITURA PUBLICAS NRO. 3952 29 de mayo de 1987 otorgada en la Notaria 27 del Círculo de Bogotá, inscrita en la anotación primera (1) de los folios de matrícula inmobiliaria Nrs. 050S-1104867 y 050S-1104868 que afectó un predio del Distrito Capital identificado con el folio de matrícula inmobiliaria 050S-40534837, en contra del señor CARLOS ALBERTO BECERRA NEIRA, persona mayor de edad, domiciliada y residenciada en la ciudad de Bogotá, identificada con la cédula de ciudadanía Nro. 19.309.611 y se decrete la
Nulidad de las anotaciones 2 y 3 de los folios de matrículas inmobiliarias citados.</t>
  </si>
  <si>
    <t>HOLANDA</t>
  </si>
  <si>
    <t>2498-7</t>
  </si>
  <si>
    <t>144 MTS2</t>
  </si>
  <si>
    <t>SEGUIMIENTO PARA ADMISION DE LA DEMANDA</t>
  </si>
  <si>
    <t>DESPACHO PARA CALIFICAR DEMANDA 10-09-2024</t>
  </si>
  <si>
    <t>2024-00435 
11001310300320240043500</t>
  </si>
  <si>
    <t> JUZGADO TERCERO CIVIL DEL CIRCUITO DE BOGOTÁ</t>
  </si>
  <si>
    <t>IVESUR COLOMBIA S.A.</t>
  </si>
  <si>
    <t xml:space="preserve">VULNERACIÓN DE DERECHOS COLECTIVOS POR PARTE DE IVESUR COLOMBIA S.A.A AL INCUMPLIR LAS OBLIGACIONES DE ENTREGA Y TITULACIÓN A FAVOR DEL DISTRITO CAPITAL DE BOGOTÁ A TRAVÉS DEL DEPARTAMENTO ADMINISTRATIVO DE LA DEFENSORÍA DEL ESPACIO PÚBLICO – DADEP-, DE LAS ZONAS DE CESIÓN DEL URBANISMO EN EL PREDIO UBICADO  EN  LA CARRERA 56 NO. 19-84 DE LA LOCALIDAD DE PUENTE ARANDA </t>
  </si>
  <si>
    <t>IVESUR COLOMBIA</t>
  </si>
  <si>
    <t>4256-2</t>
  </si>
  <si>
    <t xml:space="preserve">19/09/2024. Radicación demanda por el DADEP. 07/10/2024. Al Despacho para admitir demanda. 18/11/2024. Se notificó por estado auto que inadmitió la demanda. 21/11/24. Subsanación de la demanda por el DADEP. 29/11/24. Al Despacho </t>
  </si>
  <si>
    <t xml:space="preserve">PENDIENTE ADMISIÓN DEMANDA </t>
  </si>
  <si>
    <t>2024-03072
(11001418903320240307200)</t>
  </si>
  <si>
    <t>DECLARATIVO VERBAL</t>
  </si>
  <si>
    <t>JUZGADO 33 DE PEQUEÑAS CAUSAS</t>
  </si>
  <si>
    <t>ARGOLIDER</t>
  </si>
  <si>
    <t>EL COBRO DE LAS GANANCIAS OBTENIDAS DEL INMUEBLE DE COPROPIEDAD</t>
  </si>
  <si>
    <t>$14.000.000.oo</t>
  </si>
  <si>
    <t>2-164</t>
  </si>
  <si>
    <t>34.35MTS2</t>
  </si>
  <si>
    <t>ADMISION DE LA DEMANDA</t>
  </si>
  <si>
    <t>DESPACHO PARA CALIFICAR DEMANDA 06-11-2024</t>
  </si>
  <si>
    <t>2024-00537
(11001310303220240053700)</t>
  </si>
  <si>
    <t>JUZGADO 32 CIVIL DEL CIRCUITO</t>
  </si>
  <si>
    <t>DEFESNSORIA DEL ESPACIO PUBLICO</t>
  </si>
  <si>
    <t>SOCIEDAD INMOVI LTDA</t>
  </si>
  <si>
    <t>PROTECCION DERECHOS COLECTIOVOS</t>
  </si>
  <si>
    <t>LA SOCIEDAD INMOVI INCUMPLIO CON LA OBLIGACION DE HACER ENTREGA DE LAS ZONAS DE CESIÓN DESARROLLO VILLA RICA</t>
  </si>
  <si>
    <t>VILLA RICA</t>
  </si>
  <si>
    <t>1381-22</t>
  </si>
  <si>
    <t>13.252MTS2</t>
  </si>
  <si>
    <t>DESPACHO PARA CALIFICAR DEMANDA 08-11-2024</t>
  </si>
  <si>
    <t>2024-00569
(11001310302920240056900)</t>
  </si>
  <si>
    <t>DECLARATIVO DE NULIDAD DE E.P.</t>
  </si>
  <si>
    <t>JUZGADO 29 CIVIL DEL CIRCUITO</t>
  </si>
  <si>
    <t>2024-00575
(1100131030290057500)</t>
  </si>
  <si>
    <t>JORGE ALBERTO MEDINA SANTOYO</t>
  </si>
  <si>
    <t>PROTECCION DE BIEN FISCAL</t>
  </si>
  <si>
    <t>PARTICULARES PRETENDEN QUEDARSE CON UN BIEN FISCAL</t>
  </si>
  <si>
    <t>NUEVA ZELANDA</t>
  </si>
  <si>
    <t>2-2317"</t>
  </si>
  <si>
    <t>USAQUEB</t>
  </si>
  <si>
    <t>338MTS2</t>
  </si>
  <si>
    <t>2001-00029</t>
  </si>
  <si>
    <t>TRIBUNAL ADMINISTRATIVO DE CUNDINAMARCA - SECCION CUARTA - SUBSECCION B</t>
  </si>
  <si>
    <t>GLORIA PATRICIA SEGURA</t>
  </si>
  <si>
    <t>ALCALDIA LOCAL DE SAN CRISTOBAL - ALCALDIA MAYOR - SOCIEDAD SAN ROSA</t>
  </si>
  <si>
    <t>VINCULADO POR EL DESPACHO</t>
  </si>
  <si>
    <t xml:space="preserve">RECUPERACION ESPACIO PUBLICO </t>
  </si>
  <si>
    <t xml:space="preserve">INDEMNIZACION POR LA SUMA DE 16.000.000.000 A CAJA DE VIVIENDA POPULAR POR FALLAS CONSTRUCTIVAS - PARA QUE COMPAREZCA A HACER ESCRITURAS A DISTRITO CAPITAL </t>
  </si>
  <si>
    <t>SANTA ROSA - ALPES DEL ZIPA</t>
  </si>
  <si>
    <t>1292</t>
  </si>
  <si>
    <t>SIN ORDENES - DADEP VINCULADO RES SEGEN CUMPLIMIENTO FALLO</t>
  </si>
  <si>
    <t>se asistió a mesa de trabajo el dia 15 julio de 2022, se elaboró memorando 20221100055893 de fecha 10-8-2022 a SAI mediante orfeo 20223010058933 se da respuesta aducienco carencia de competencia para conocer, hacer seguimiento o impulsar actuaciones administrativas surtidas en las alcaldías locales por infracción al régimen de obras y urbanismo que versen sobre inmuebles de propiedad privada. Por último, indican que como resultado de la mesa de trabajo efectuada en el mes de julio
de 2022, no se suscribieron compromisos a cargo de la Subdirección de Administración Inmobiliaria y del Espacio Público. se consulta la web de la rama el proceso se radico  memorial al despacho desde el 14-12-2022. se asisite a mesa de trabajo interinstitucional el dia 30 de Mayo de 2023. 16-6-2023 al despacho memorial. se asiste a reunion interinstitucional  19 diciembre de 2023 a la cual se asiste. mediante orfeo de fecha 20233000198691 de fecha 28-12-2024 se remite el inventario de predios incorporados en el inventario de bienes del Distrito del sector del Barrio Santa Rosa._x000D_</t>
  </si>
  <si>
    <t>SRI-SGIEP</t>
  </si>
  <si>
    <t>2001-00544</t>
  </si>
  <si>
    <t xml:space="preserve">TRIBUNAL ADMINISTRATIVO DE CUNDINAMARCA - SECCION SEGUNDA </t>
  </si>
  <si>
    <t>ESTANISLAO ESCALANTE BARRETO</t>
  </si>
  <si>
    <t>ALCALDIA MAYOR - SEC SALUD - IDU - SEC OBRAS - ALCALDIA LOCAL DE KENNEDY</t>
  </si>
  <si>
    <t>COMITÉ</t>
  </si>
  <si>
    <t>RECUPERACION DE RIO TUNJUELITO POR CONTAMINACION FRIGORIFICO GUADALUPE</t>
  </si>
  <si>
    <t>FRIGORIFICO GUADALUPE</t>
  </si>
  <si>
    <t>ACOMPAÑAMIENTO RECUPERACION ESPACIO PUBLICO</t>
  </si>
  <si>
    <t>SE ALLEGA INFORME DE CUMPLIMIENTO POR PARTE DE LA DRA LUZ ELENA RODIRGUEZ ALLEGANDO INFORME DEL IDU A LA SENTENCIA. 
MEDIANTE DECRETO 818 DE 26/12/2020 SE ARTICULA EL CUMPLIMEINTO DEL FALLO JUDICIAL, el dia 3 de junio de 2022 se instala  la Comisión para el goce de
un ambiente sano, la salubridad pública en la ronda hídrica del río Tunjuelo., se radica por parte de la Alcaldia Local de kennedy informe de cumplimiento al juzgado de conocimiento el 24-06-2022. 13-4-2023 reunion del comite intersectorial. El 17 mayo de 2024 se remtio informe a la SJD sobre las actuaciones años 2022 a 2024. Mesa de trabajo 24-5-2024 se informa por parte de gobierno como lideres de la comision para el dia 14 junio de 2023 presencial. el enlace de gobierno es:alfonso.moreno@gobiernobogota.gov.co</t>
  </si>
  <si>
    <t>2002-00152</t>
  </si>
  <si>
    <t>JOSE YAMID SANMIGUEL</t>
  </si>
  <si>
    <t>ALCALDIA MAYOR - CVP - IDIGER - EAAB</t>
  </si>
  <si>
    <t>GAVILANES</t>
  </si>
  <si>
    <t>RECUPERACION RONDA Y ZAMPA</t>
  </si>
  <si>
    <t>SANTA CECILIA - SANTA RITA - SAN PEDRO - BERLIN - BILBAO - TIBABUYES OCCIDENTAL - TIBABUYES II</t>
  </si>
  <si>
    <t>2875 - 468 - 2427 - 2969 - 1373 - 2835 - 3439 - 1605 - 2875</t>
  </si>
  <si>
    <t>MEDIANTE LA RESOLUCION 306 DEL 06-10-2006, INVOLUCRA PARA EL CUMPLIMIENTO DEL FALLO EMPRESA DE ACUEDUCTO Y ALCANTARILLADO DE BOGOTÁ EAAB E.S.P., CAJA DE VIVIENDA POPULAR, IDIGER, SECRETARIA DE GOBIERNO - ALCALDIA LOCAL DE SUBA, DADEP, SECRETARIA DISTRITAL DE AMBIENTE. MEDIANTE RADICADO 20222030023983 LA SRI INFORME LAS ACTUACIONES ADELANTADAS PRA DAR CUMPLIMIENTO AL FALLO. MEDIANTE RADICADO 2022030043441 DEL 05-04-2022 SE SOLICITO A LA SDP DEFINIR COPMO SE ENCUENTRA DEFINIDO EN EL DECRERO DISTRITAL 555 DE 2021, EL SUELO DE PROTECCIÒN Y ESPACIO PÚBLIOCO DE LOS DESARROLLOS LEGALIZADOS. MEDIANTE EL RADICADO 20222030004331 DEL 05-04-2022 SE SOLICITO A LA CAJA DE VIVIENDA POPULAR INFORMAR EL ESTADO DE LA TRASNFERENCIA DE LOS 46 PREDIOS VIABILIZADOS  DE ACUERDO CON LA RESPUESTA DADA AL DADEP MEDIANTE EL RADICADO 20182030157311 DEL 03-12-2018, DONDE SE SOLICITO QUE SE ENVIARAN LOS INSUMOS TÈCNICOS JURIDIDOS, CARTOGRAFICOS, RESOLUCIONES Y DEMAS SOPORTES DE LOS PREDIOS QUE HAN ADQUIRIDO PARA REALIZAR EL ANALISIS Y DETERMINAR LA TRASNFERENCIA A FAVOR DEL DISTRITO CAPITAL PARA AVANZAR CON EL CUMPLIMIENTO DEL FALLO JUDICIAL. Mediante orfeo 20221100141531 de 12 de septiembre de 2022 se reporta a la SJD que a la fecha no se está a la espera de la remisión de insumos técnicos, jurídicos, cartográficos por parte de la SECRETARIA DISTRITAL DE PLANEACIÓN Y LA CAJA DE VIVIENDA POPULAR para realizar la transferencia a favor del Distrito Capital. 15-02-2024 SOLICITUD DE INFORME SJD ESTADO DE AVANCE CUMPLIMIENTO DE FALLO SE SOLICITO A LA SRI</t>
  </si>
  <si>
    <t>CUMPLIMIENTO FALLO</t>
  </si>
  <si>
    <t>2003-00035</t>
  </si>
  <si>
    <t>TRIBUNAL ADMINISTRATIVO DE CUNDINAMARCA - SECCION CUARTA - SUBSECCION A</t>
  </si>
  <si>
    <t>LIGIA ELENA PINTO DE MURCIA Y OTROS</t>
  </si>
  <si>
    <t xml:space="preserve">ALCALDIA MAYOR - PLANEACION - SEC GOBIERNO - ALCALDIA LOCAL DE CIUDAD BOLIVAR - IDIGER </t>
  </si>
  <si>
    <t>TRIGAL DEL SUR INCORPORACION SUELO DE PROTECCION</t>
  </si>
  <si>
    <t>REMOCION EN MASA INCORPORACION COMO SUELO DE PROTECCION</t>
  </si>
  <si>
    <t>TRIGAL DEL SUR</t>
  </si>
  <si>
    <t>ACOMPAÑAMIENTO RECUPERACION ESPACIO PUBLICO - INCORPORACION PREDIOS</t>
  </si>
  <si>
    <t>SEGUIMIENTO AL CUMPLIMIENTO DEL FALLO - SE SEGUIRÁ ASISTIENDO A MESAS DE TRABAJO QUE SE CONVOQUEN PARA EL EFECTO. Oficio de fecha 7-6-2022 SDP  por medio del cual se recomienda a la SJD  orientar la estrategia para que los pagos por reasentamientos ya realizados dieran la posibilidad de la transferencia del derecho de dominio al Distrito de aquellos predios de propiedad de las familias reasentadas. Esa gestión permitiría dar aplicación a lo establecido en el artículo 34 del Decreto Distrital 555 de 2022. El 5 de marzo de 2024 se elabora oficio con destino a la CVP solicitando los insumos juridicos para proceder con la incorporacion del suelo de proteccion y de espacio publico en los predios, por otro lado se fija or parte de la Secretaria juridica distrital fecha de mesa de trabajo el  2 de Mayo de 2024. Por otro lado se solicita por parte de la SJD para el dia 17 de abril de 2024 los informes de las acciones realizadas para el cumplimiento del fallo.</t>
  </si>
  <si>
    <t>2003-02010</t>
  </si>
  <si>
    <t>TRIBUNAL ADMINISTRATIVO DE CUNDINAMARCA - SECCION SEGUNDA - SUBSECCION A</t>
  </si>
  <si>
    <t>JAC URBANIZACION GILMAR</t>
  </si>
  <si>
    <t>DADEP - SEC GOBIERNO - ALCALDIA LOCAL DE SUBA</t>
  </si>
  <si>
    <t>URBANIZACIÒN GILMAR</t>
  </si>
  <si>
    <t>ENTREGA DE ZONAS DE CESION</t>
  </si>
  <si>
    <t>CALLE 164 CON CARRERA 56 B</t>
  </si>
  <si>
    <t xml:space="preserve">RECIBIR </t>
  </si>
  <si>
    <t>SEGUIMIENTO MESA DE TRABAJO ALCALDÍA LOCAL SUBA PARA EVENTUAL COMPENSACIÓN ZONA VERDE E INTERVENCIÓN VIA PÚBLICA IDU. PARA ARCHIVO</t>
  </si>
  <si>
    <t>2003-02530</t>
  </si>
  <si>
    <t>TRIBUNAL ADMINISTRATIVO DE CUNDINAMARCA - SECCION CUARTA</t>
  </si>
  <si>
    <t>ROBERTO RAMIREZ ROJAS</t>
  </si>
  <si>
    <t>ALCALDIA LOCAL DE SANTAFE</t>
  </si>
  <si>
    <t>VENDEDORES ESPACIO PUBLICO CARRERA 7 DESDE PALACIO NARIÑO HASTA CALLE 24 - EJES VIALES</t>
  </si>
  <si>
    <t>INTEGRA COMITÉ DE VERIFICACION CUMPLIMIENTO FALLO</t>
  </si>
  <si>
    <t>A) AMPÁRASE EL DERECHO COLECTIVO AL GOCE Y DISFRUTE DEL ESPACIO PÚBLICO, AFECTADO POR LAS VENTAS INFORMALES DE VENDEDORES ESTACIONARIOS, SEMI-ESTACIONARIOS Y AMBULANTES, UBICADOS EN LAS CALLES Y ANDENES DE I) LA CALLE 19, ENTRE CARRERAS 3A Y 15; II) LA CALLE 14, ENTRE CARRERAS 5A Y 10 A • III) LA CARRERA LOA ENTRE CALLES LOA Y 20; IV) DECRETO 098 DE 2004 PARA DAR CUMPLIMIENTO AL FALLO. DADEP REALIZA  SEGUIMENTO AL CUMPLIMIENTO DEL FALLLO - DADEP NO TIENE ORDEN ESPECIFICA - APOYA OPERATIVOS - AUTO FIJA FECHA 2003-002530 FIJA AUDIENCIA 13 DE OCTUBRE DE 2022 A LAS 9:00 A.M. AUTO 11 DE OCTUBRE DE 2022 REPROGRAMA AUDIENCIA DE VERIFICACION FALLO PARA EL 31 DE OCTUBRE DE 2022. AUDIENCIA DE INSPECCION JUDICIAL PROGRAMADA PARA EL 22-02-2024 SUSPENDIDA POR ORDEN PUBLICO. 21-02-2024 AUTO FIJA FECHA AUDIENCIA 07-05-2024. auto del 06-05-2024 reprograma audiencia para el 17-05-2024.</t>
  </si>
  <si>
    <t>2004-00702</t>
  </si>
  <si>
    <t>MARY LUZ MARTINEZ CRUZ</t>
  </si>
  <si>
    <t>ALCALDIA MAYOR - SEC GOBIERNO - DADEP - ALCALDIA LOCAL DE KENNEDY</t>
  </si>
  <si>
    <t xml:space="preserve">INVASION ESPACIO PUBLICO </t>
  </si>
  <si>
    <t>CERRAMIENTO REJA METALICA Y CASETA VIGILANCIA</t>
  </si>
  <si>
    <t>AMERICAS SECTOR AVENIDA GALAN</t>
  </si>
  <si>
    <t>OPERATIVO DE 03 DE OCTUBRE DE 2017 RETIRA CERRAMIENTOS Y SE SUPERAN HECHOS DEMANDA - SE PROCEDERÁ A INFORMAR JUZGADO SOLICITANDO ARCHIVO.
EL 24 DE OCTUBRE DE 2018 SE REMITE INFORME DE CUMLIMIENTO DEL FALLO. SE REGISTRA Revisión procesos rama judicial: desde 18 de dic 18 DEVUELTA DEL DESPACHO PARA ARCHIVAR</t>
  </si>
  <si>
    <t>CUMPLIIMIENTO FALLO - PARA SOLICITAR ARCHIVO</t>
  </si>
  <si>
    <t>2005-00662</t>
  </si>
  <si>
    <t>TRIBUNAL ADMINISTRATIVO DE CUNDINAMARCA - SECCION SEGUNDA - SUBSECCION B</t>
  </si>
  <si>
    <t>SONIA ANDREA RAMIREZ LAMY</t>
  </si>
  <si>
    <t>SDP - DAMA - SEC GOBIERNO - ALCALDIA LOCAL DE KENNEDY</t>
  </si>
  <si>
    <t>CERROS ORIENTALES</t>
  </si>
  <si>
    <t>PROTECCION DE CERROS ORIENTALES</t>
  </si>
  <si>
    <t>SIN ORDEN</t>
  </si>
  <si>
    <t>SEGUIMIENTO- Audiencia de verificacion de fallo 20-10-2022, requerimiento incidente de desacato de fecha 3-5-2023, se verifican las ordenes las cuales van dirigidas a la  CAR para que en el término de un mes contando a partir de la notificación de esta decisión, para que allegue informe ante el Despacho, en aras de verificar la ejecución de la medida preventiva, que con acierto y en cumplimiento de sus funciones, impuso en contra de la SOCIEDAD LUNA BRILLANTELU Y CIA S.C.A y el señor JUAN DIEGO LÓPEZ ARANGO, asi como al EEABB. AUTO DE FECHA 22 DE ABRIL DE 2024 determinaciones a otras entidades y no al DADEP. La Subdirección de Gestión Inmobiliaria y de Espacio Público de esta Defensoría, efectuara el acompañamiento a las Inspecciones de Policía y
Alcaldías Locales en las tareas de restitución para los predios localizados en AOPP, e incorporados en el inventario de esta Defensoría que presentan ocupaciones ilegales. AUTO DE FECHA 5 junio de 2024 conmina. Auto de 29-10-2024 Audiencia de verificacion AP 2005-00662 8 AM</t>
  </si>
  <si>
    <t>SEGUIMIENTO</t>
  </si>
  <si>
    <t>2006-00096</t>
  </si>
  <si>
    <t xml:space="preserve">JUZGADO 25 ADMINISTRATIVO </t>
  </si>
  <si>
    <t xml:space="preserve">JORGE ARTURO SALAMANCA FERNANDEZ </t>
  </si>
  <si>
    <t xml:space="preserve">ALCALDIA MAYOR DE BOGOTA - DADEP - IDRD - SEC GOBIERNO - ALCALDIA LOCAL BARRIOS UNIDOS </t>
  </si>
  <si>
    <t>CONJUNTO RESIDENCIAL ALTAVISTA</t>
  </si>
  <si>
    <t>PLAN DE ACCION ALCALDIA MAYOR</t>
  </si>
  <si>
    <t xml:space="preserve">TENIENDO EN CUENTA EL ACTA DE TOMA DE POSESIÓN NO. 056 DE FECHA 17
DE SEPTIEMBRE DE 2015, EL PLANO URBANÍSTICO DEFINITIVO CU2-BU 15/4-02 Y LA RESOLUCIÓN DE
APROBACIÓN URBANÍSTICA NO. RES 03-2-0014 DEL 23 DE ENERO DE 2003, PARA DAR CUMPLIMIENTO AL FALLO SE HAN REALIZADO ACTUACIONES POR PARTE DE LA SIR MEDIANTE LOS RADICADOS 20202030058921 DEL 10-06-2020 DIRIGIDO A LA FIDUCARIA DAVIVIENDA SOLICITANDO SI PRETENDEN CONTINUAR CON EL TRÁMITE DE TRANSFERENCIA Y TITULACIÓN DE LAS ZONAS DE CESIÓN OBLIGATORIAS, DEBERÁ SOLICITAR Y TRAMITAR LA MODIFICACIÓN DE LA RESOLUCIÓN MEDIANTE LA CUAL SE APRUEBA EL PROYECTO URBANÍSTICO. SOLICITUD A SRI ESTADO DE ZONAS DE CESION
</t>
  </si>
  <si>
    <t>2006-00356</t>
  </si>
  <si>
    <t>JUZGADO 37 ADMINISTRATIVO DE BOGOTA</t>
  </si>
  <si>
    <t>EFRAIN FORERO MOLINA</t>
  </si>
  <si>
    <t xml:space="preserve">ALCALDIA LOCAL DE KENNEDY - PERSONERIA - IPES - SEC SALUD </t>
  </si>
  <si>
    <t>VENDEDORES ORDENA INCOPORAR ZONAS DE CESION</t>
  </si>
  <si>
    <t>TERMINAL PESQUERO</t>
  </si>
  <si>
    <t>INCORPORAR LOS PREDIOS DE CESION QUE SE SEÑALAN EN LEVANTAMIENTO TOPOGRAFICO</t>
  </si>
  <si>
    <t>SEGUIMIENTO SRI ELABORACIÓN ESCRITURA PÚBLICA PARA LA TITULACIÓN DE LAS ZONAS DE CESIÓN, auto 14 julio de 2022 auto niega incidente , la SRI informa que a la fecha 18-11-2022 se realizó la  resitucion de las zonas verdes, de control ambiental y vial contenidas en el plano F-242/1mediante 2 escrituras públicas y ya estan incorporadas las zonas al inventario general de espacio público.  se consulta en el VUR y se verifica la titularidad. ORFEO . 20242030021371 DE FECHA 21 -2-2024  SE INFORMA que la urbanizadora   transfirió mediante Escritura Pública N° 1864 del
09/07/2013 de la Notaría 61 de Bogotá debidamente registrada, el derecho real de dominio y posesión a favor de Bogotá Distrito Capital de 7 predios.</t>
  </si>
  <si>
    <t>CUMPLIMIENTO FALLO-ARCHIVO</t>
  </si>
  <si>
    <t>2008-00006
11001333100620080000600</t>
  </si>
  <si>
    <t xml:space="preserve">JUZGADO 6 ADMINISTRATIVO </t>
  </si>
  <si>
    <t xml:space="preserve">HENRY JARAMILLO GONZALEZ </t>
  </si>
  <si>
    <t xml:space="preserve">DADEP - IDRD - JARDIN BOTANICO - SEC AMBIENTE </t>
  </si>
  <si>
    <t>RECUPERACION ESPACIO PUBLICO</t>
  </si>
  <si>
    <t>PARQUE METROPOLITANO SAN CARLOS INVASION VIVERO</t>
  </si>
  <si>
    <t>CENTRO URBANO BOSQUE SAN CARLOS - HOSPITAL FUNDACION SAN CARLOS</t>
  </si>
  <si>
    <t>477-667</t>
  </si>
  <si>
    <t>RECUPERAR E INCORPORAR ZONAS DE CESION</t>
  </si>
  <si>
    <t>MESAS DE TRABAJO CON EL URBANIZADOR PARA LOGRAR CUMPLIMIENTO DEL FALLO.
29 DE NOVIEMBRE SE REMITIÓ INFORME DE VERIFICACIÓN DE FALLO.
MEDIANTE AUTO DEL 15 DE FEBRERO DE 2019, EL JUZGADO 6 ADVO SOLICITA A LA FUNDACIÓN  INFORME RESPECTO DEL CUMPLIMEINTO DEL FALLO DEL JUZGADO 6 CIVIL DEL CTO SE ALLEGA NFORME A LA SJD EN MARZO DE 2022 POR PARTE DE LA DRA SANDRA CAROLINA LOPEZ VIVEROS- Subdirección de registro Inmobiliario. se consulta la web de la rama el 15-7-2022 recibe memoriales- 14-6-2023 CUADERNO DESACATO *Ingresa el proceso al despacho del señor JUEZ DR. MAYFREN PADILLA TELLEZ, hoy 14 de junio de 2023 - informando que la parte accionante allego solicitud de tramite de desacato con solicitud cautelar. proceso al despacho 5-9-2023.  el 29-2-2023 se remite informe al apoderado de SJD, Ingresa al despacho el 20-3-2024. Auto de fecha 7 Mayo de 2024; abstenerse de abrir incidente de desacato, conforme a lo expuesto en la parte motiva del proveido SEGUNDO: Por Secretaria, OFICIESE a la Superintendencia de Notariado y Registro y a la Oficina de Registro de Instrumentos Publicos de Bogota Zona Sur para que informen el estado de la correspondiente actuacion de registro de la Escritura Publica No. 2186 del 27 de diciembre de 2021 otorgada por la Notaria 75 de Bogota, correspondiente a Declaratoria de propiedad Publica de las zonas de cesion Urbanizacion Bosque de San Carlos, la cual fue radicada con el numero 2022-45358. En igual sentido, oficia al juez de la AP 2010-00522 oficiar para que informe el estado de cumplimiento de la AP 2010-00522 por parte de la Fundacion H san Carlos. se radica informe SJD 5 julio de 2024 al despacho sobre espacio de participacion se haran trimestrales. Auto de fecha 8 de agosto de 2024 requiere al dadep para que en el termino de 30 dias rinda informe  en el refleje que ha iniciado todos los trámites administrativos y judiciales para la efectiva transferencia y titulación de las zonas de cesión a favor del Distrito Capital, en los términos del punto (i) del ordinal cuarto de la sentencia, so pena de abrir incidente de desacato en su contra.</t>
  </si>
  <si>
    <t>2008-00322</t>
  </si>
  <si>
    <t>TRIBUNAL ADMINISTRATIVO DE CUNDINAMARCA - SECCIÓN PRIMERA</t>
  </si>
  <si>
    <t>JARLINS MONTENEGRO SAENZ</t>
  </si>
  <si>
    <t>ALCALDIA LOCAL DE KENNEDY</t>
  </si>
  <si>
    <t>COLEGIO CARVAJAL</t>
  </si>
  <si>
    <t>ASOCIACION PROVIVIENDA DE TRABAJADORES TIENE COLEGIO CARVAJAL</t>
  </si>
  <si>
    <t>18/06/2013</t>
  </si>
  <si>
    <t>DECLARATORIA DE PROPIEDAD PUBLICA</t>
  </si>
  <si>
    <t xml:space="preserve">EN CUMPLIMIENTO DEL FALLO - SEGUIMIENTO ACCIONES DE ESCRITURACION .
El 20 de mayo de 2022 se solicitó la vinculación y apertura de incidente de desacato en contra de la SNR por no dar cumplimiento a lo dispuesto por el despacho judicial en sentencia ejecutoriada de segunda instancia . 08/02/2023. Sjca solicitó medida cautelar consistente en la SUSPENSIÓN DE LAS ORDENES DADAS EN EL PROCESO DE NULIDAD Y RESTABLECIMIENTO DEL DERECHO 2004-00366, como quiera que son contrarias a las dadas en el medio de control de protección de derechos colectivos 2008-00322 hasta que se resuelvan las acciones adelantadas y por adelantar dentro de estos dos procesos 05/07/2024. Se corrió traslado de la solicitud de medida cautelar. 17/07/2024. Al Despacho sin pronunciamiento </t>
  </si>
  <si>
    <t>2009-00052</t>
  </si>
  <si>
    <t>JUZGADO 19 ADMINISTRATIVO</t>
  </si>
  <si>
    <t>LUIS EDUARDO MARTINEZ GUTIERREZ</t>
  </si>
  <si>
    <t xml:space="preserve">ALCALDIA MAYOR - ALCALDIA LOCAL DE KENNEDY - DADEP - IDU - EAAB </t>
  </si>
  <si>
    <t>RESTITUCION BIENES DE USO PUBLICO RIO FUCHA OCUPADAS POR PARTICULARES - RIO FUCHA - NICOLAS ESGUERRA</t>
  </si>
  <si>
    <t xml:space="preserve">ALSACIA </t>
  </si>
  <si>
    <t xml:space="preserve">RECUPERACION INMEDIATA ESPACIO PUBLICO </t>
  </si>
  <si>
    <t>SEGUIMIENTO DEL CUMPLIMIENTO DEL FALLO (SE REALIZO MESA DE TRABAJO CITADA POR PARTE DE LA ABOGADA DE LA SECRETARIA JURIDICA DISTRITAL EL 23 DE FEBRERO ED 2022, CON EL FIN DE REVISAR Y ACTUALIZAR LAS ACTIVIDADES QUE SE HAN ADELANTADO PARA EL CUMPLIMIENTO DE LA SENTENCIA, EN LA CUAL SE DEJO COMO COMPROMISOS CITAR MESAS DE TRABAJO CON CAJA DE VIVIENDA POPULAR Y HABITAT PARA INICIOS DEL MES DE MARZO DE 2022). LLEGADA LA FECHA SE LLEVA A CABO MESA DE TRABAJA SE ESTABLECE COMO COMPROMISOS LOS SIGUIENTES: Presentación de un informe en el cual se indique si las familias objeto de reubicación son aptas para los programas que oferta cada Entidad. Hábitat, IDIGER y Caja de Vivienda Popular  y Conseguir acta de la mesa Paymes – alcaldía Alcaldía Local de Kennedy. Mesa de trabajo de fecha 14/06/2022. POR STADO DE 23 DE ENERO DE 2023, SE NOTIFCA AUTO DEL 20 DEL MISMO MES Y AÑO, QUE EN SU PARTE RESOLUTIVA SEÑALA: "CONCEDER el término de 10 días contados a partir de la ejecutoria del presente proveído, para que las partes y los particulares, rindan informe escrito final y unificado, que dé cuenta del cumplimiento de la sentencia proferida por el 29 de abril de 2014 y confirmada por el Tribunal Administrativo de Cundinamarca Sección Primera Subsección “C” de Descongestión el 26 de septiembre de 2014. Se asisite a mesa de trabajo el dia 26-5-2023 sin embargo no se establecen compromisos para el DADEP. mesa de trabajo 16-8-2023 sec juridica, memorando de SGIEP 20233000033323 informe actuaciones cumplimiento del fallo. se solicita informe gestiones  20241300016193 de fecha 12-3-2024 a SGIEP.</t>
  </si>
  <si>
    <t>2009-00080</t>
  </si>
  <si>
    <t>JUZGADO 36 ADMINISTRATIVO DE BOGOTÁ PRIMERA INSTANCIA TRIBUNAL ADMINISTRATIVO DE CUNDINAMARCA SECCION PRIMERA SUBSECCIÓN B</t>
  </si>
  <si>
    <t>LUIS ORLANDO DELGADILLO AYALA</t>
  </si>
  <si>
    <t>ALCALDIA MAYOR - DADEP - OTROS</t>
  </si>
  <si>
    <t>HACIENDA SAN SIMON</t>
  </si>
  <si>
    <t>REGISTRO Y ENTREGA DE ZONAS DE CESION</t>
  </si>
  <si>
    <t>SAN SIMON</t>
  </si>
  <si>
    <t>SENTENCIA FAVORABLE 1ª INSTANCIA 2019-09-16. AUTO QUE ADMITE RECURSO DE APELACION 2019-12-13. AUTO QUE DECRETA PRUEBAS 2020-09-03. 2020-11-25 TRASLADO ALEGATOS DE CONCLUSIÓN 2ª INSTANCIA. 2020-11-27. 17-11-2023 PRESENTACIÓN DE ALEGATOS DE CONCLUSIÓN 2ª INSTANCIA. TRASLADO RECURSO DE REPOSICIÓN, INTERPUESTO EN CONTRA DEL AUTO DE FECHA 10 DE NOVIEMBRE DE 2020, SE FIJA FECHA EL 10 DE DICIEMBRE, INICIA TRASLADO 11 DE DICIEMBRE, FINALIZA 15 DE DICIEMBRE DE 2020.	EL PROCESO SE ENCUENTRA AL DESPACHO DESDE EL 18 DE ENERO DE 2021, PENDIENTE DE QUE SE RESUELVA EL RECURSO DE REPOSICIÓN INTERPUESTO POR EL APODERADO DE MALUBU S.A. CONTRA EL AUTO NOTIFICADO POR ESTADO DE FECHA 23 DE NOVIEMBRE DE 2020 (AUTO QUE CORRIÓ TRASLADO PARA ALEGAR). 08 Oct 2021 AUTO QUE RESUELVE REPOSICIÓN REPONE AUTO QUE CORRE TRASLADO DE DOCUMENTOS Y CORRE TRASLADO PARA ALEGAR DE CONCLUSIÓN, DECRETA PRUEBA DE OFICIO Y UNA VEZ SE ALLEGUE LA INFORMACIÓN REQUERIDA SE ORDENA CORRER TRASLADO A LAS PARTES DE LA PRUEBA DOCUMENTAL. SOLO SE VISUALIZARÁ CUANDO TODAS LAS FIRMAS ESTEN REALIZADAS.  2021-10-15 ACLARACIÓN DE AUTO. SOLICITANDO SE ACLARE LA FECHA DEL AUTO REQUERIDO EN EL NUMERAL 1 DE LA PARTE RESOLUTIVA DEL AUTO DEL 8 DE OCTUBRE DE 2021, POR PARTE DE LA CONTRALORÍA.25/10/2021. 2022-08-16 AL DESPACHO EL  17-02-2022. AUTO DEL  24-08-2022 CORRE TRASLADO DE PRUEBAS INCORPORADAS. 27-09-2022 DESCORRE TRASLADO DE RESPUESTA DADEP MANIFESTANDO QUE NO SE HA CUMPLIDO LO SOLICITADO POR EL DESPACHO Y SOLICITANDO AL DADEP Y UAECD QUE SUGIERA LA ALTERNATIVA PARA EL CUMPLIMIENTO DEL FALLO, SE DEBE PRONUNCIARSE EN LOS ALEGATOS DE CONCLUSIÓN.26-01-2024 CONTINUA AL DESPACHO PENDIENTE SENTENCIA.</t>
  </si>
  <si>
    <t>SEGUNDA INSTANCIA</t>
  </si>
  <si>
    <t>2009-00257</t>
  </si>
  <si>
    <t>JUZGADO 13 ADMMINISTRATIVO</t>
  </si>
  <si>
    <t>ENRIQUE LEON CARDENAS</t>
  </si>
  <si>
    <t>ALCALDIA MAYOR - ALCALDIA LOCAL DE KENNEDY - DADEP - SEC SALUD - SEC AMBIENTE - SEC MOVILIDAD</t>
  </si>
  <si>
    <t>RECUPERACION ESPACIO PUBLICO BARRIO  MARIA PAZ</t>
  </si>
  <si>
    <t>MARIA PAZ</t>
  </si>
  <si>
    <t>RECUPERAR ESPACIO PUBLICO</t>
  </si>
  <si>
    <t>Se realiza audiencia de verificación de cumplimiento de fallo el día 28 de febrero de 2022, posteriormente se realiza otra audiencia de verificación de cumplimiento de fallo el 28 de junio de 2022, a las 9:00 am, septiembre 27 de 2022 notifica por estado auto que auto decide solicitudes y fija fecha para audiencia de inspección judicial para diciembre 2 de 2022 a las 8:00 a.m. se interpone recurso de reposición contra auto el 26 de septiembre de 2022, noviembre 08 de 2022 fija en lista traslado de 3 días del recurso de reposición propuesto por Bogotá D.C. EL DIA 2 DE DICIEMBRE DE 2022, SE REALIZÓ INSPECCION JUDICIAL EN LE BARRIO MARIA PAZ, DE ACUERDO CON LO ORDENADO EN AUTO DE 26 DE SEPTEMBRE DE 2022. el 23-02-2023 se allega al despacho informe de gestion unificadas por parte de la Apoderada de la SJD. El 30-3-2023 ingresa el proceso al despacho por solicitud de incidente de de desacato. el proceso ingreso al despacho el 30-3-2023 , se revisa la web de la rama y se registra como ultima actuacion la recepcion de memoriales el 11 de abril de 2023 por parte de EMRS ALLEGÓ SOLICITUD EL 17-3-2023.  Mediante auto de fecha 14 DE ABRIL DE 2023 el despacho requiere informe informe para el 31 de Mayo de 2023, a su vez de acuerdo a la conformacion de las mesas de trabajo de fija como fecha 30-6-2023 y 1-9-2023 para la asistencia del DADEP. DADEP participa en MEGATOMA  el 14-12-2023. se radica informe de las 3 comisiones al juzgado por parte del apoderado de SJD el dia 2 de febrero de 2024. Reunion 12-3-2024 se programaran reuniones todos los ultimos  jueves de cada mes se hara  mesas de trabajo, se debe programar  recorrido segun oficio concejo 01 de marzo de 2024. auto de fecha 8 Mayo de 2024 ADICIONAR el auto admisorio del incidente de desacato, de 4 de septiembre de 2023 la vinculacion de la directora Lucia bastidas, se da traslado por termino de 3 dias para pronunciarse sobre hechos nuevos, y adicionalmente se ordena inspeccion judicial 14 de junio, 16 de agosto y 4 septiembre a los lideres de cada comision. AL DESPACHO 21-5-2024 COM RECURSO REPOSICION PARCIAL AUTO 8 MAYO DE 2024. se apoyo en la megatoma el dia 13 de agosto de 2024 con 25 defensores de espacio publico. inspeccion judicial 18 octubre de 2024  Auto de fecha 6 de Noviembre de 2024 auto PRIMERO.- REQUERIR a la Personería de Bogotá, para que como lo hizo en diciembre de 2022, conforme consta en memorial a folios 7603 y ss. del expediente; de ser posible, aporte registros fotográficos y videos con tecnología DRON, que permitan verificar hora y fecha de su producción; en los que se evidencie las condiciones actuales del sector del Barrio María Paz; de cinco (5) fechas y horas
tomadas de manera aleatoria. Recurso de reposicion apoderado DC contra auto de fecha 6 noviembre e 2024. proxima megatoma 28 Noviembre de 2024. auto 12 de diciembre de 2024 resuelve  SEGUNDO.- ACCEDER para que Bogotá, D.C. - Sector Central, y las demás entidades de todos los órdenes y niveles, e intervinientes en esta acción popular, dentro del mes siguiente a la notificación de esta providencia, aporten registros fotográficos, y de video que evidencien las condiciones actuales del Barrio María Paz, de cinco (5) fechas y horas aleatorias, donde se pueda evidenciar la dirección, fecha y hora de su producción, y las remitan al expediente en el citado término.  14-01-2025 SJD radica fotografias del DC. , 20 Enero de 2025 Personeria allega material fotografico.</t>
  </si>
  <si>
    <t>2010-00116</t>
  </si>
  <si>
    <t>JUZGADO 43 ADMINISTRATIVO SECCION CUARTA</t>
  </si>
  <si>
    <t>NELSON ENRIQUE SAENZ</t>
  </si>
  <si>
    <t>ALCALDIA MAYOR - ALCALDIA LOCAL DE BOSA - DADEP - TECNI INTEGRAL - SUDEIN LTDA</t>
  </si>
  <si>
    <t>INVASION ESPACIO PUBLICO ANDEN TECNI INTEGRAL SUDEIN</t>
  </si>
  <si>
    <t>TECNI INTEGRAL Y SUDEIN</t>
  </si>
  <si>
    <t>SIN ORDENES AL DADEP - EXHORTA ALCALDIA LOCAL DE BOSA</t>
  </si>
  <si>
    <t>SEGUIMIENTO AL CUMPLIMIENTO DEL FALLO. 2019-03-19 SIN RECURSO TERMINACIÓN DE PROCESO.</t>
  </si>
  <si>
    <t>EN CUMPLIMIENTO DE FALLO</t>
  </si>
  <si>
    <t>2010-00164</t>
  </si>
  <si>
    <t>JUZGADO 39 ADMINISTRATIVO DE BOGOTÁ</t>
  </si>
  <si>
    <t>JORGE HUMBERTO VARGAS ROJAS</t>
  </si>
  <si>
    <t xml:space="preserve">DISTRITO CAPITAL Y  SECRETARIA DISTRITAL DE PLANEACION </t>
  </si>
  <si>
    <t xml:space="preserve">INVASION QUIRINAL </t>
  </si>
  <si>
    <t xml:space="preserve">CAMBIO DE USO DE VIA VEHICULAR A PARQUE </t>
  </si>
  <si>
    <t>PABLO SEXTO</t>
  </si>
  <si>
    <t>175-75</t>
  </si>
  <si>
    <t>COORDINAR CON LA SDP LA MODIFICACION DE PLANOS URBANIZTICOS POR CAMBIO DE USO DEL SUELO</t>
  </si>
  <si>
    <t>SEGUIMIENTO AL CUMPLIMIENTO DEL FALLO se llevo mesa de trabajo de fecha 14/7/2022 a cargo de la SJD. mesa de trabajo 19-5-2023, MESA DE TRABAJO 22 de noviembre de 2023, con el fin de revisar y actualizar las actividades que se han adelantado para el cumplimiento de la sentencia proferida por el Juzgado Treinta y Nueve (39) Administrativo de Descongestión del Circuito de Bogotá de fecha 28 de julio de 2011, modificada parcialmente por el Tribunal Administrativo de Cundinamarca Sección Primera Subsección “A” el 6 de junio de 2013. 23-10-2024 POR PARTE DE SJD SE SOLICITO INFORME A LA ALCALDIA.</t>
  </si>
  <si>
    <t>2010-00252</t>
  </si>
  <si>
    <t>TRIBUNAL ADMINISTRATIVO - DESCONGESTION - SECCION TERCERA</t>
  </si>
  <si>
    <t>BENJAMIN POLANIA</t>
  </si>
  <si>
    <t>ALCALDIA LOCAL DE FONTIBON - SEC PLANEACION - SEC GOBIERNO - CURADOR URBANO 2 - CONSTRUCTORA BOLIVAR - URBANIZACION SABANA GRANDE II</t>
  </si>
  <si>
    <t>ZONA COMUNAL EN AREAS DE CESION SABANA GRANDE II</t>
  </si>
  <si>
    <t>SABANA GRANDE 1, 2, 3 Y 4</t>
  </si>
  <si>
    <t>COMITÉ VERIFICACION CUMPLIMIENTO FALLO</t>
  </si>
  <si>
    <t xml:space="preserve">SEGUIMIENTO CUMPLIMIENTO DE FALLO 100% SOLICITUD DE APODERADA SJD SEGUIMIENTO PRONUNCIAMIENTO DESPACHO FIJAR AUDIENCIA DE VERIFICACIÓN DE FALLO O ARCHIVO.
MEDIANTE OFICIO 20224000160312 del 15 de Julio la DEFENSORÍA DEL PUEBLO. 02-08-2022 Cita a Comité de Verificación se realizará el día 5 de agosto de 2022, a las 8.30 a.m. en las instalaciones de la Defensoría del Pueblo- Regional Bogotá, ubicada en la carrera 9 No. 16-21 segundo piso y estará presidido por la Doctora Ana Julia Ortiz Sierra, Defensora Pública adscrita a la Unidad de Defensoría Pública del Programa de Derecho Administrativo de la Regional Bogotá.  2024-04-10 AUTO QUE RESUELVE MEDIANTE AUTO DEL 09 DE ABRIL DE 2024 SE TIENE POR CUMPLIDAS UNAS ÓRDENES, PARCIALMENTE LA SENTENCIA Y REQUIERE PREVIA APERTURA DE INCIDENTE DE DESACATO. </t>
  </si>
  <si>
    <t>2010-00271</t>
  </si>
  <si>
    <t>JUZGADO 13 - ADMINISTRATIVO SECCIÓN SEGUNDA</t>
  </si>
  <si>
    <t>FELIPE ANDRES BERNAL TOVAR</t>
  </si>
  <si>
    <t>ALCALDIA MAYOR - ALCALDIA LOCAL DE MARTIRES - DADEP - MOVILIDAD</t>
  </si>
  <si>
    <t>INVASION VEHICULOS Y MOTOS CALLE 15 ENTRE CARRERA 14 Y 17</t>
  </si>
  <si>
    <t>LA FAVORITA</t>
  </si>
  <si>
    <t>CUMPLIMIENTO DE SENTENCIA 28 DE ABRIL DE 2017, SE HA REALIZADO SEGUIMIENTO DE LAS ORDENES IMPUESTAS PARA PRESERVAR EL ESPACIO PÚBLICO. SE INTERPUSO RECURSO DE APELACIÓIN 2017-06-21. 2017-08-18 AUTO QUE ADMITE RECURSO DE APELACIÓN. 2019-07-23 RESUELVE: PRIMERO. NO SELECCIONAR para revisión la sentencia proferida por el Tribunal Administrativo de Cundinamarca, Sección Primera, Subsección A, el 8 de noviembre de 2018. SEGUNDO. NOTIFICAR la presente providencia, por estado, a las partes y al Ministerio Público. TERCERO. Ejecutoriada esta providencia, DEVOLVER el expediente al tribunal de origen para lo de su cargo. 2019-08-09 AUTO QUE NO SELECCIONA PARA REVISION. 2021-10-08 INFORME DADEP. MESAS DE TRABAJO TRIMESTRALES. 2021-11-05 AUTO QUE ORDENA REQUERIR.2021-12-14 AUTO FIJA FECHA DE AUDIENCIA. AUTO DE 11 DE OCTUBRE DE 2022 que ordena: 1. Solicitar a la Procuraduría General de la Nación, Defensoría del Pueblo y Personería de Bogotá rendir los informes requeridos, indicando los avances que se evidencien en el sector del barrio de la Favorita respecto a las actividades adelantadas en el cumplimiento de las órdenes impartidas en el fallo, por parte de las entidades accionadas; y realizar las funciones de verificación y seguimiento en el sector en las oportunidades y tiempos que se consideren necesarios. 2. Fijar el día 22 de noviembre de 2022 a las 9:00 de la mañana, como fecha para realizar audiencia presencial de verificación de cumplimiento de la sentencia proferida dentro de la presente acción popular. 2023-06-24 AUTO QUE ORDENA REQUERIR. 2023-12-19 AUTO INTERLOCUTORIO. Requiere al INSTITUTO PARA LA ECONOMÍA SOCIAL -IPES, a la SECRETARIA DE GOBIERNO - ALCALDÍA LOCAL DE LOS MÁRTIRES y al DEPARTAMENTO ADMINISTRATIVO DE DEFENSORIA DELESPACIO PÚBLICO –DADEP- para que, a más tardar el próximo jueves 18 de enero de 2024, remitan los informes requeridos por el despacho judicial. MARZO 07 DE 2024 NOTIFICA POR ESTADO AUTO QUE FIJA FECHA PARA AUDIENCIA DE VERIFICACIÓN DE CUMPLIMIENTO DE FALLO PARA MARZO 19 DE 2024 A LAS 8:30 A.M. 19-03-2024 ACTA DE AUDIENCIA. 2024-03-22  Se allega evidencia de reunión virtual interinstitucional para coordinación de cumplimiento a orden del despacho proferida en Audiencia del 19/03/2024, relacionada con la elaboración de censo de locales comerciales en sector de La Favorita. MAYO 21 DE 2024 NOTIFICA POR ESTADO AUTO QUE ORDENA REQUERIR A ENTIDADES. 06-06-24 Mesa de trabajo interinstitucional para cumplimiento de sentencia. 12-06-24.Presentación informe al Director Distrital de Gestión judicial. 20-06-24 Mesa de trabajo con el Ministerio público para organizar la entrega del requerimiento judicial a los propietarios de los establecimientos de comercio del barrio la Favorita. JUNIO 28 DE 2024 NOTIFICA POR ESTADO AUTO QUE FIJA FECHA PARA AUDIENCIA DE COMITÉ DE VERIFICACIÓN PARA JULIO 29 DE 2024 A LAS 10:30 A.M. LA CUAL SE LLEVARÁ A CABO DE MANERA PRESENCIAL Y ORDENA LA COMPARECENCIA OBLIGATORIA DE LOS FUNCIONARIOS TITULARES DE LAS ENTIDADES DESCRITAS EN EL PRESENTE AUTO .29-08-2024 AUDIENCIA DE SEGUIMIENTO DE CUMPLIMIENTO FALLO.12-11-2024 Audiencia verificación cumplimiento de fallo profiere auto requiere a SAE, comunicación pronunciamiento predio. 12-12-2024 fija audiencia cumplimiento de fallo, modificada para el 11 de febrero de 2025. Reunión SAE 12 DE DICIEMBRE DE 2024</t>
  </si>
  <si>
    <t>2010-00404
11001333101020100040400</t>
  </si>
  <si>
    <t>JUZGADO 10 - ADMINISTRATIVO SECCIÓN SEGUNDA</t>
  </si>
  <si>
    <t>VEEDURIA PAIS TRANSPARENTE</t>
  </si>
  <si>
    <t>DISTRITO CAPITAL - ALCALDIA LOCAL DE KENNEDY - DADEP</t>
  </si>
  <si>
    <t>INVASION ESPACIO PUBLICO AV BOYACA CALLE PRIMERA Y SEGUNDA SUR HASTA CARRERA 71D</t>
  </si>
  <si>
    <t>2232-18</t>
  </si>
  <si>
    <t>Audiencia de pacto de cumplimiento llevada a cabo el día 06 de abril de 2022, Ante la falta de ánimo conciliatorio y la inasistencia de la totalidad de las partes interesadas, se declara fallida, Se emite respuesta con Radicado DADEP No. 20221100182571 de 17/11/22 al auto de pruebas de 03/11/22, donde se solicita prueba de oficio.  Mediante auto de fecha 2 de marzo de 2023 se pone en conocimiento ( POR 3 DIAS ) de las demas partes del proceso el informe rendido por SRI del DADEP. AUTO de fecha 15 Junio de 2023  se resuelve:  INCORPORAR los documentos allegados por el Jefe de la Oficina Jurídica de la Defensoría del Espacio Público – DADEP y CORRER TRASLADO a las partes y al agente del Ministerio Público por el término de cinco (5) días para que presenten por escrito sus alegatos y concepto respectivo. El 15-6-2023 INCORPORA DOCUMENTOS, CIERRA PERIODO PROBATORIO Y CORRE TRASLADO POR EL TPERMINO DE 5 DÍAS PARA ALEGATOS. al despacho para sentencia  7-5-2023 se revisa proceso el 23-5-2024 ENVIO A OTROS DESPACHOS. admite recurso de apelacion presentado por la parte demandada 13-8-2024. al despacho 18-9-2024 para resolver recurso.</t>
  </si>
  <si>
    <t>RECURSO APELACION</t>
  </si>
  <si>
    <t>2010-00537
11001333101420100053703</t>
  </si>
  <si>
    <t>JUZGADO 14 - ADMINISTRATIVO SECCIÓN SEGUNDA</t>
  </si>
  <si>
    <t>GLEISON PINEDA</t>
  </si>
  <si>
    <t>INVASION POR CERRAMIENTO ZONA DE CESION RESERVA BOSQUES DE LA COLINA</t>
  </si>
  <si>
    <t>BOSQUES DE LA COLINA</t>
  </si>
  <si>
    <t>2022-7</t>
  </si>
  <si>
    <t>14/11/17</t>
  </si>
  <si>
    <t xml:space="preserve"> RESTITUCIÓN DEL ESPACIO PÚBLICO INFRINGIDO POR LOS PROPIETARIOS DEL PREDIO CON MATRICULA 50N-20358538 </t>
  </si>
  <si>
    <t>SEGUIMIENTO PROCESAL -  IMPUGNACIÓN: MEDIANTE AUTO DE 9 DE FEBRERO DE 2018 EL TRIBUNAL ADMINISTRATIVO DE CUNDINAMARCA  (MP: FREDY IBARRA) ADMITIÍO RECURSO DE APELACIÓN CONTRA EL FALLO IMPUGNADO .
EN FIRME PROVIDENCIA DE FECHA 9 DE FEBRERO DE 2018 MEDIANTE LA CUAL SE DISPUSO ADMITIR EL RECURSO DE APELACIÓN PRESENTADO POR EL APODERADO JUDICIAL DEL DISTRITO CAPITAL EN CONTRA DE LA SENTENCIA DE FECHA 14 DE NOVIEMBRE DE 2017 PROFERIDA PRO EL JUZGADO 14 ADMINISTRATIVO ORAL DEL CIRCUITO JUDICIAL DE BOGOTÁ.
AL DESPACHO DESDE EL 19/|10/2020 PARA SENTENCIA DE SEGUNDA INSTANCIA .  el 8-9-2022 Revoca numeral 3 sentencia primera instancia . Documento firmado electrónicamente por:CESAR GIOVANNI CHAPARRO RINCON, Moises Rodrigo Mazabel Pinzon, Oscar Armando Dimate Cardenas. el 12-3-2024 mediante orfeo 20241300016033 memorando a SGIEP solicitando informacion sobre las actuaciones para el cumplimiento del fallo. Mediante orfeo  20243000018493 de fecha 3-4-2024 SGIEP remite acta de retiro de cierre metalico  pendiente que la alcaldia local gestione el  permiso de la secretaría de Ambiente concepto y autorización para el retiro de los setos. se recibe alcance informe SGIEP   20243010020053 de abril de 2024. Mediante memorando de fecha 24-5-2024  20243010024513 se remite informacion - auto de fecha 19 junio de 2024 Obedece y cumple, da por terminado proceso y ordena archivo.</t>
  </si>
  <si>
    <t>AUTO DE ARCHIVO</t>
  </si>
  <si>
    <t>2011-0002</t>
  </si>
  <si>
    <t>TRIBUNAL CONTENCIOSO ADMINISTRATIVO DE CUNDINAMARCA - SECCIÓN PRIMERA SUBSECCION B</t>
  </si>
  <si>
    <t>LUIS ALFREDO LOZANO ALGAR</t>
  </si>
  <si>
    <t>SUPERINTEDENCIA DE NOTARIADO Y REGISTRO - DADEP - UAECD - ALCALDIA LOCAL DE KENNEDY</t>
  </si>
  <si>
    <t>RINCON DE LOS ANGELES- LA GLORIA</t>
  </si>
  <si>
    <t>RESTITUCION ESPACION PUBLICO ADJUDICADO EN REMATE</t>
  </si>
  <si>
    <t>SOLICITUD DE LA DIAN. DESDE EL 24 DE OCTUBRE ENTRA AK DESPACHO CON DICHA SOLICITUD el proceso se encuentra al despacho  por memorial presentando por el Sr. Camilo Araque allegando PODER concedido por la Jefe de la Oficina Asesora Jurídica de la Superintendencia de Notariado y Registro desde el 2 de Mayo de 2022. al despacho fecha de ultma consulta 8/8/2022, se profiere fallo de primera instancia de fecha 28 Julio de 2022- en apelacion- Notariado  y registro, PLAY PARK Y UAECD apelan. se realizo mesa de trabajo con la SJD y CATASTRO  el dia 8 septiembre, se esta a la espera de la decision de una accion de lesividad que cursa en el mismo despacho. EL 23-9-2022 SE RADICA RECURSO DE APELACION -MIN VIVIENDA A LA SENTENCIA 28-7-2022 FAVORABLE AL DADEP. 25-11-2022 constancia secretarial auto de fecha 9-6-2023 Al despacho para pronunciarse sobre apelacion sentencia desde el 29 Junio de 2023. hoy 24-10-2024 el proceso se encuentra al despacho sin novedad.</t>
  </si>
  <si>
    <t>APELACION SENTENCIA</t>
  </si>
  <si>
    <t>2011-00278
(11001333102820110027800)</t>
  </si>
  <si>
    <t>22/08/11</t>
  </si>
  <si>
    <t>JUZGADO 28 - ADMINISTRATIVO SECCIÓN SEGUNDA</t>
  </si>
  <si>
    <t>PEDRO ELIAS NIÑO</t>
  </si>
  <si>
    <t>IDU - ALCALDIA LOCAL DE USAQUEN - SEC PLANEACION - DADEP</t>
  </si>
  <si>
    <t>NO PROLONGACION CARRERA 15 HOY 7D BARRIO BARRANCAS</t>
  </si>
  <si>
    <t xml:space="preserve"> El 17 de junio de 2022 se corre traslado para presentar alegatos de conclusión los cuales son presentados en oportunidad por conducto de la SJD,fallo de segunda instancia de fecha 4 de otubre de 2023 ordenando modificar los numerales 5° y 7° de la sentencia de primera instancia y adicionando el numeral catorce.9-11-2023 auto obedezcase y cumplase. 12-12- 2023 auto ordene requerir cumplimiento de sentencia. Se realizó reunión interinstitucional de seguimiento en la cual la Secretaría Distrital de Planeación y la Secretaría Distrital del Hábitat se comprometieron a reunirse el 11 de enero para evaluar el cumplimiento del artículo 5º del fallo respecto a iniciar el proceso administrativo de Formalización.De acuerdo con lo anterior, se tiene agendada reunión para el día 6 de febrero
de 2024, como quiera que, de acuerdo con lo señalado por la Secretaría Distrital del Hábitat del estudio que se realice por parte del Comité Técnico de Legalización y Formalización Urbanística en reunión de finales de enero se establecerán claridades frente al instrumento urbanístico reseñado por el Juzgado para cumplir con las finalidades de la acción popular. En ese orden de ideas, se tiene agendada reunión para el 6 de febrero fecha en el cual se acordará cronograma. Se asiste a reunion sin embargo  se establecen compromisos para la Secretaría Distrital del Hábitat: Estudio de viabilidad, Secretaria Distrital de Planeación y alcaldia local teniendo en cuenta que la ultima orden es para el dadep de recibir las zonas. se asiste a mesa de trabajo en la alcaldia local usaquen el 11-3-2024. EL 11 DE MARZO DE 2024  se radico ante el juzgado viable la aplicación del el concepto no viabilidad de plicacion del  instrumento de Regularización/Formalización concepto emitido por SDP. el 12 -3-2024 ingresa al DESPACHO. 24 JUNIO DE 2024 SE REALIZA VISITA A LA ZONA POR PARTE DE LA SRI . Acta de reunion JAC Desarrollo legalizado Barrancas 20244000062322 del 26/03/2024. se remite a SJD y el 27-6-2024 se radica por parte de SJD informe al despacho. el 16-1-2025 auto ordena cumplimiento entidades da 10 dias. se remite informe  a SJD orfeo 20251300009381 de fecha 29-1-2025.</t>
  </si>
  <si>
    <t>2012-00013</t>
  </si>
  <si>
    <t>JUZGADO 3 ADMINISTRATIVO</t>
  </si>
  <si>
    <t>WILLIAM CARDENAS ALDANA</t>
  </si>
  <si>
    <t>CAJA DE VIVIENDA POPULAR</t>
  </si>
  <si>
    <t>ENTREGA ZONAS DE CESION</t>
  </si>
  <si>
    <t>ENTREGA  E INCORPORACION ZONAS DE CESION PIJAOS</t>
  </si>
  <si>
    <t>LAS LOMAS</t>
  </si>
  <si>
    <t>285</t>
  </si>
  <si>
    <t>RESOLUCION SEC GRAL - RECIBO Y ESCRITURACION DE LAS ZONAS DE CESION</t>
  </si>
  <si>
    <t xml:space="preserve">SEGUIMIENTO DEL CUMPLIMIENTO DEL FALLO (SE REALIZO MESA DE TRABAJO SOLICITADA POR LA CAJA DE LA VIVIENDA POPULAR Y CITADA POR PARTE DE LA ABOGADA YINDRY PEREZ ABOGADA DE LA SUBDIRECCIÓN DE REGISTRO INMOBILIARIO EL 17 DE FEBRERO DE 2022, CON EL FIN DE REVISAR Y ACTUALIZAR LAS ACTIVIDADES QUE SE HAN ADELANTADO PARA EL CUMPLIMIENTO DE LA SENTENCIA. LA CAJA DE LA VIVIENDA POPULAR INFORMA QUE SE ENCUENTRAN A LA ESPERA DE LA IMPLEMENTACIÓN DEL NUEVO P.O.T, EN ARAS DE FORMALIZAR UNA ACTUALIZACIÓN DE LOS PLANOS URBANÍSTICOS EN EL MARCO DE UNA PROPUESTA DE POSIBLE SOLUCIÓN POR PRESENTAR ANTE EL SDP PARA IMPLEMENTAR EL NUEVO URBANISMO Y PODER EFECTUAR LA DEBIDA ENTREGA DE LAS ÁREAS RESTANTES, QUE SE RELACIONAN CON LAS VÍAS Y DOTACIONALES). 
LA PROPUESTA HACE REFERENCIA A LA MODIFICACIÓN URBANÍSTICA REGULARIZACIÓN MANZANEO, LA CUAL SE DEBE REVISAR SI ES PROCEDEN DE ACUERDO AL RESUELVE DEL FALLO.    el  8 de Marzo de 2022 se lleva a cabo mesa de trabajo interinstitucional llevada a cabo el día 20 de octubre de 2021, con el fin de revisar y actualizar las actividades que se han adelantado para el cumplimiento de la sentencia proferida por el Juzgado Tercero Administrativo del Circuito de Bogotá, Sección Primera del 23 de agosto de 2012, confirmada por el Tribunal Administrativo de Cundinamarca Sección Segunda Sub Sección D del día 27 de septiembre de 2012 y el cumplimiento de los compromisos adquiridos en la mesa de trabajo llevada a cabo el día 20 de octubre de 2021.   mesa de trabajo interinstitucional llevada a cabo el día 06 de julio de 2022 con   SJD asistió apoderadode SRI, cronograma de acercamientos con la comunidad, e invitar a la ALRUU y a la Caja de La Vivienda Popular  enviado el 3/08/2022 medante correo electronico a SJD .    La alcaldia local debe Adelantar las actuaciones administrativas tendientes a la recuperación de la invasión del espacio público de acuerdo del tipo 1, 2, y 3 , la CVP debe Programar 2 jornadas para el acercamiento con la comunidad para las tipologías 4 y 5 y combinadas y comunicar a la Dirección Distrital de Gestión Judicial las fechas y Realizar la actualización cartográfica del plano deber ser manzaneo y deslinde, el cual se presentará al Comité de Planeación Distrital.Se llevo a cabo Mesa de trabajo el 16 de febrero. se cita a mesa de trabajo por parte del concejo de bogota para el dia jueves 23 febrero a las 7:30 am, SE PROGRAMA mesa de trabajo en el CONCEJO DE BOGOTA para el dia 14 de JULIO de 2023 a las 6:30 pm. el El día 9 de octubre de 2023 se dio cumplimiento del numeral quinto del Auto del nueve (9) de agosto de dos mil veintitrés (2023). apoderada SJD. Mediante orfeo 20241300026681 del 4-3-2024 informe juzgado cumplimiento auto de fecha 12 febrero de 2024. Mediante ESCRITURA 1788 del 2024-09-27 se incorporo la zona de cesion  escolar identificados con RUPI 285-28 Metros cuadrados:  3.055.09 M2.
</t>
  </si>
  <si>
    <t>2012-00345
2010-00345</t>
  </si>
  <si>
    <t>ALCALDIA MAYOR - ALCALDIA LOCAL DE SUBA - DADEP</t>
  </si>
  <si>
    <t>CERRAMIENTO ZONAS DE CESION BOSQUES DE LA COLINA</t>
  </si>
  <si>
    <t>BOSQUES LA DE COLINA</t>
  </si>
  <si>
    <t>3420-5</t>
  </si>
  <si>
    <t>EN TRÁMITE DE SEGUNDA INSTANCIA - AL DESPACHO PARA FALLO ESTA PENDIENTE DE FALLO DESDE EL 5 DE MAYO DE 2016. el 24 de Marzo de 2020:SE ADVIERTE QUE DICHA NOTIFICACIÓN SE TENDRÁ EN CUENTA A PARTIR DEL DÍA SIGUIENTE HÁBIL AL LEVANTAMIENTO DE LAS MEDIDAS TOMADAS POR EL CONSEJO SUPERIOR DE LA JUDICATURA FRENTE A LA
CONTENCIÓN DE SANIDAD PÚBLICA, AL IGUAL QUE LOS TÉRMINOS QUE A ESTA CORRESPONDAN. SE LE NOTIFICA ELECTRÓNICAMENTE A LAS PARTES CORRESPONDIENTES DEL PROCESO, EL FALLO DE LA ACCIÓN POPULAR Nº 2010-0345  En cumplimiento de lo ordenado por el Despacho, en la providencia del 5 de marzo de 2020 que ordenó devolver el expediente al Juzgado de origen, envío el proceso para lo de su cargo. - Cuaderno apelación sentencia con 58 folios. - Cuaderno No. 1 con 432 folios más un CD. - Cuaderno No. 2 del folio 433 al 942. - Cuaderno denominado C2 con 74 folios. - Cuaderno Tribunal Sala de Descongestión con 4 folios. sin movimiento desde el año 2020 en sirproj se da por terminado por SJD desde el 28-7-2020 con el registro LA ORDEN SE LE DA AL PARTICULAR, EN CASO DE QUE NO CUMPLA LO DEBE HACER LA ALCALDÍA.</t>
  </si>
  <si>
    <t>2013-00026</t>
  </si>
  <si>
    <t>JUZGADO 2 - ADMINISTRATIVO DE ORALIDAD</t>
  </si>
  <si>
    <t xml:space="preserve">EDIFICIO BELMONTE III PH </t>
  </si>
  <si>
    <t>DADEP - SEC PLANEACION - ALCALDIA MAYOR</t>
  </si>
  <si>
    <t xml:space="preserve">PATIASSAO </t>
  </si>
  <si>
    <t>INVASION ESPACION PUBLICO ZONAS DE CESION COLEGIO COLSUBSIDIO Y FEMENINO</t>
  </si>
  <si>
    <t>PATIASSAO</t>
  </si>
  <si>
    <t>SEGUIMIENTO DEL PROCESO - PROCESO SUSPENDIDO POR FORMULA DE CONCILIACIÓN CUYO CUMPLIMIENTO AVANZA - SE ADELANTA ESCRITURA PÚBLICA PARA ACLARACIÓN DE CABIDA Y LINDEROS se revsa en la web de la rama y registra: 2018-09-12	ARCHIVO DEFINITIVO	CAJA 353 DE 2018 sigue igual fecha de consulta 10/08/2022</t>
  </si>
  <si>
    <t>2013-00230</t>
  </si>
  <si>
    <t>TRIBUNAL ADMINISTRATIVO DE CUNDINAMARCA - SECCION PRIMERA</t>
  </si>
  <si>
    <t>JAIME POSADA DIAZ</t>
  </si>
  <si>
    <t>DADEP , Superintendencia de Notariado y Registro, Oficina de Instrumentos Públicos de Bogotá – Zona Centro; Juez 37 Civil del Circuito de Bogotá, Inspector 3 “C” de Policía Localidad de Santafe D.C., Catastro Distrital y contra el particular Antonio Abelardo Cortés Valero.</t>
  </si>
  <si>
    <t>EL CASTILLO CHAPINERO</t>
  </si>
  <si>
    <t>PRESCRIPCION POR PERTENENCIA ZONAS DE CESION EL CASTILLO CHAPINERO</t>
  </si>
  <si>
    <t>17/03/2022</t>
  </si>
  <si>
    <t>Sentencia de primera instancia desfavorable del 24 de febrero de 2022, se interpone recurso de apelación el día 23 de marzo de 2022 con Radicado DADEP No. 20221100035151. el 16/05/2022 auto concede recurso de apelación. el 23 de mayo de 2022 se remite proceso al consejo de estado con el fin de resolver recurso de apelación, se admite el recurso de apelación el 13 de septiembre de 2022, se verifica en la pagina de la rama judicial el 17/01/23 y el proceso continua al despacho.  AUTO 4-9-2023  a Requiérase a la parte demandada Superintendencia de Notariado y Registro para que en el término máximo de diez (10) días, contados a partir de la recepción de la respectiva comunicación, otorgue poder a un nuevo abogado para que represente sus intereses en este asunto. ENVIO CONSEJO DE ESTADO 23-5-2022. Sentencia 11 septiembre de 2024, confirma decision  24 febrero de 2022, improcedencia de la AP.</t>
  </si>
  <si>
    <t>FALLO DE SEGUNDA INSTANCIA ARCHIVO.</t>
  </si>
  <si>
    <t>2014-00070
11001333704020140007000</t>
  </si>
  <si>
    <t>JUZGADO 40 ADMINISTRATIVO</t>
  </si>
  <si>
    <t xml:space="preserve">HECTOR APACHE SANCHEZ -  JORGE ALBERTO CARDENAS PUENTES </t>
  </si>
  <si>
    <t xml:space="preserve">DADEP - UAESP - SEGEN - ALCADIA LOCAL SUBA - SEC AMBIENTE - HOSPITAL SUBA - EAAB - IDU - POLICIA NACIONAL  </t>
  </si>
  <si>
    <t xml:space="preserve">HUMEDAL CORDOBA </t>
  </si>
  <si>
    <t xml:space="preserve">HUMEDAL CLL 167 A LA 170 </t>
  </si>
  <si>
    <t xml:space="preserve">GRANADA UPZ 18 </t>
  </si>
  <si>
    <t>2109-10</t>
  </si>
  <si>
    <t xml:space="preserve">Se ordena al DADEP, que dentro de sus competencias, realice las actuaciones administrativas, para restablecer en forma plena el disfrute de un ambiente sano y garantizar la salubridad y la seguridad publica, en el canal Córdoba entre las calles 167 y 170 sobre la carrera 54. para lo cual deberán realizar acciones como: ubicación de señalización de vallas en el sector donde se informe a la comunidad que el canal Córdova es un colector exclusivo de aguas lluvias e indique las sanciones que se impondrán por conductas que le causen daño, campañas de limpieza que comprenda levantamiento de escombros y demás residuos sólidos ajenos al ecosistema del sector, impedir que en la ronda del canal y de los predios paralelos se instale población indigente transitoria o permanente, instar a las personas públicas y privadas que dentro de sus competencias ejecuten las tareas tendientes a conservación del canal y demás que sean de su ámbito. </t>
  </si>
  <si>
    <t>Seguimiento, cumplimiento de sentencia, se envía respuesta a la personeria de Bogotá de requerimiento de cumplimiento de fallo con Radicado DADEP No. 20221100104621 de 19/07/22. 2024-01-30	EXPEDIENTE DIGITAL</t>
  </si>
  <si>
    <t>CUMPLIMIENTO  DE FALLO</t>
  </si>
  <si>
    <t xml:space="preserve">2015-00277
11001333502820150027701
</t>
  </si>
  <si>
    <t>JUZGADO 28 ADMINISTRATIVO DE ORALIDAD DE BOGOTA</t>
  </si>
  <si>
    <t>LUIS ORLANDO PADILLA</t>
  </si>
  <si>
    <t>ALCALDIA LOCAL DE SUBA</t>
  </si>
  <si>
    <t>MEJORAMIENTO PARQUE PUBLICO BARRIOS PORTALES DEL NORTE II</t>
  </si>
  <si>
    <t xml:space="preserve">PORTALES DEL NORTE </t>
  </si>
  <si>
    <t>2279-1992</t>
  </si>
  <si>
    <t>16/07/21</t>
  </si>
  <si>
    <t>Sentencia Favorable de Primera Instancia el 16/07/2021 respecto de la cual la parte vencida interpuso recurso de apelación el cual fue concedido el 9/08/2021
 El 22 de marzo de 2022 entra al despacho de segunda instancia para resolver recurso de apelación interpuesto por el accionante. auto de fecha 20-11-2023 tribunal resuelve otras solicitudes y devuelve al despacho para estudiar viabilidad de recurso de apelacion. el 15-1-2024 ingresa al despacho para sentencia de 2° instancia. SIN NOVEDAD 29-5-2024.</t>
  </si>
  <si>
    <t xml:space="preserve"> APELACIÓN  SENTENCIA</t>
  </si>
  <si>
    <t>2015-00288</t>
  </si>
  <si>
    <t>JUZGADO 32 - ADMINISTRATIVO DE ORALIDAD</t>
  </si>
  <si>
    <t>LUIS GABRIEL MERO ERAZO</t>
  </si>
  <si>
    <t>ALCALDIA MAYOR - ALCALDIA LOCAL DE ENGATIVA - DADEP - IDU - IPES - MOVILIDAD</t>
  </si>
  <si>
    <t>VENDEDORES INFORMALES PORTAL DE LA 80</t>
  </si>
  <si>
    <t>BOCHICA MULTICENTRO I Y II</t>
  </si>
  <si>
    <t>MEDIANTE SENTECIA DEL 22 DE MAYO DE 2020 EL TAC :
DECLÁRASE LA VULNERACIÓN DEL DERECHO COLECTIVO AL GOCE DEL ESPACIO PÚBLICO Y LA UTILIZACIÓN Y DEFENSA DE LOS BIENES DE USO PÚBLICO POR PARTE DEL DISTRITO CAPITAL – ALCALDÍA MAYOR DE BOGOTÁ – ALCALDÍA LOCAL DE ENGATIVÁ, DEPARTAMENTO ADMINISTRATIVO DE LA DEFENSORÍA DEL ESPACIO PÚBLICO Y EL INSTITUTO PARA LA ECONOMÍA SOCIAL - IPES, POR LAS RAZONES EXPUESTAS EN LA PARTE MOTIVA DE ESTA PROVIDENCIA. EN CONSECUENCIA, AMPÁRASE EL DERECHO COLECTIVO AL GOCE DEL ESPACIO PÚBLICO Y LA UTILIZACIÓN Y DEFENSA DE LOS BIENES DE USO PÚBLICO AFECTADO POR LA INDEBIDA OCUPACIÓN DEL ESPACIO PÚBLICO CORRESPONDIENTE A LOS ANDENES DEL PERÍMETRO DEL CENTRO COMERCIAL PORTAL DE LA 80 Y EL PORTAL DE LA 80 DE TRANSMILENIO - COMPRENDIDOS POR EL COSTADO NORTE DE LA AVENIDA CALLE 80 ENTRE TRANSVERSAL 96 Y LA CARRERA 102; CALLE 79 Y LA TRANSVERSAL 100 A ENTRE LA CARRERA 102 Y LA CALLE 82 - POR PARTE DE VENDEDORES INFORMALES ESTACIONARIOS, SEMI-ESTACIONARIOS Y AMBULANTES. 
21-04-2022 10:00 AM AUDIENCIA DE VERIFICACIÓN. 
08-07-2022 AUTO ORDENA REQUERIR AL DADEP Y ALE REMITIR INFORME DE ACTIVIDADES DESARROLLADAS EN CUMPLIMIENTO DEL FALLO No 6. AUTO FIJA AUDIENCIA DE CUMPLIMIENTO DE FALLO 10-10-2023 A LAS 3:00 P.M.. SE LLEVA A CABO LA AUDIENCIA Y SE DA POR CUMPLIDA LA ORDEN No 6 DEL FALLO SE CONCEDE UN TERMINO DE UN MES PARA PRESENTAR ACTIVIDADES DEL No 7 DEL FALLO POR PARTE DE LA ALE Y IPES, DADEP DEBE REALIZAR SEGUIMIENTO AL SER PARTE DEL COMUTE VERIFICADOR.12-12-2024 AUTO FIJA AUDIENCIA DE CUMPLIMIENTO DE FALLO.30-01-2025: AUDIENCIA DE VERIFICACION CUMPLIMIENTO DE FALLO.</t>
  </si>
  <si>
    <t>2015-00366</t>
  </si>
  <si>
    <t>24/04/15</t>
  </si>
  <si>
    <t>JUZGADO 29 - ADMINISTRATIVO DE ORALIDAD</t>
  </si>
  <si>
    <t>LUIS GABRIEL MELO ERAZO</t>
  </si>
  <si>
    <t>ALCALDIA MAYOR - ALCALDIA LOCAL DE KENNEDY - DADEP - IDU - IPES - MOVILIDAD</t>
  </si>
  <si>
    <t>VENDEDORES INFORMALES PLAZA DE LAS AMERICAS</t>
  </si>
  <si>
    <t>ANTIGUO HIPODROMO DE TECHO ETAPA I Y II</t>
  </si>
  <si>
    <t>888-3</t>
  </si>
  <si>
    <t>26/07/18</t>
  </si>
  <si>
    <t xml:space="preserve"> Fallo de segunda instancia proferido el 02-06-2021 que ordena recuperar Zona de espacio píublico.El 12 de diciembre de 2023 se le hizo control a este proceso encontrando que el expediente se encuentra en la oficina de apoyo pendiente de archivo  se solicito informe mediante correo de fecha 27 agosto de 2024 a la SGIEP.</t>
  </si>
  <si>
    <t>2015-00496</t>
  </si>
  <si>
    <t>JUZGADO 22 - ADMINISTRATIVO DE ORALIDAD</t>
  </si>
  <si>
    <t>RESIDENTES DEL BARRIO BOLIVIA</t>
  </si>
  <si>
    <t>DADEP - SEGEN - ALCALDIA LOCAL DE ENGATIVA - SEC AMBIENTE - SEC PLANEACION</t>
  </si>
  <si>
    <t>ENTREGA ZONAS DE CESION AV CALLE 90 CON ALO</t>
  </si>
  <si>
    <t>BOLIVIA MANZANA L</t>
  </si>
  <si>
    <t>2294-18</t>
  </si>
  <si>
    <t>SEGUIMIENTO PROCESAL - SENTENCIA 29-10-2020, PRESENTACION RECURSO DE APELACIÓN- VENCIDO EL TERMINO PARA ALEGAR SE ENCUENTRA AL DESPACHO PARA RESOLVER. AUTO DEL 30 DE AGOSTO DE 2022, FIJA AUDIENCIA PARA EL 06-09-2022 RECURSO DE APELACIÓN.</t>
  </si>
  <si>
    <t>PRIMERA INSTANCIA- PERIODO PROBATORIO</t>
  </si>
  <si>
    <t>2015-00902 / 2011-00052 (11001310300120150090200)</t>
  </si>
  <si>
    <t xml:space="preserve">ANDRES EDUARDO DEWNDEY MONTERO </t>
  </si>
  <si>
    <t>ALCALDIA LOCAL DE USAQUEN - DADEP</t>
  </si>
  <si>
    <t>INVASION ESPACIO PÚBLICO</t>
  </si>
  <si>
    <t>CERRAMIENTO ILEGAL QUE INVAIDE ESPACIO PÙBLICO - CARRERA 17 Y AV 19 CON CALLES 159 Y 160</t>
  </si>
  <si>
    <t xml:space="preserve">JARDINES DE ORIENTE </t>
  </si>
  <si>
    <t>ZONA DE CESION - AREA DE CONTROL AMBIENTAL</t>
  </si>
  <si>
    <t>153-2</t>
  </si>
  <si>
    <t>SEGUIMIENTO PROCESAL - SURTIDAS LAS NOTIFICACIONES - REQUERIMIENTO AL DEMANDADO PARA FORMALIZAR NOTIFICACIONES.
ADMITE DEMANDA EL 19 DE JULIO DE 2019 , el 25 de febrero 2020 se requiere actor popular, el 20 de agosto de 2021 se profere auto desgnando apoderado, y se fija en estados. el dia 29/9/2022 se consulta la web de la rama sin movimiento. 20-8-2021 despacho fija estado.ultimo actuación - designa apoderado- 11-22-2023 SIN NOVEDAD PROCESAL 29-5-2024</t>
  </si>
  <si>
    <t>PRIMERA INSTANCIA - NOTIFICACIONES</t>
  </si>
  <si>
    <t>2016-00066</t>
  </si>
  <si>
    <t>BERNANDO COBOS DIAZ</t>
  </si>
  <si>
    <t>ALCALDIA MAYOR - DADEP</t>
  </si>
  <si>
    <t>NULIDAD PROCESO LICITACION CAMEP</t>
  </si>
  <si>
    <t>AV CARACAS</t>
  </si>
  <si>
    <t>669-12 - 669-13 - 669-16</t>
  </si>
  <si>
    <t>SEGUIMIENTO PROCESAL: AUDIENCIA PACTO CUMPLIMIENTO FALLIDA</t>
  </si>
  <si>
    <t>PRIMERA INSTANCIA - PRUEBAS</t>
  </si>
  <si>
    <t>2016-00503 - 2017-00105</t>
  </si>
  <si>
    <t>JUZGADO 55 ADMINISTRATIVO - JUZGADO 9 CIVIL DEL CIRCUITO</t>
  </si>
  <si>
    <t xml:space="preserve">LUIS EDUARDO PIAR MALDONADO </t>
  </si>
  <si>
    <t>DADEP - SEGEN - ALCALDIA LOCAL DE SUBA</t>
  </si>
  <si>
    <t xml:space="preserve">CERRAMIENTO NIZA IX PREDIO PRIVADO </t>
  </si>
  <si>
    <t>NIZA IX</t>
  </si>
  <si>
    <t>SEGUIMIENTO PROCESAL - SE ASISTIÓ A PACTO DE CUMPLIMIENTO - PLEITO ENTRE PARTICULARES.
PRNUNCIAMIENTO SECRETARIA JURIDICA CON OFICIO 2019-400-004455-2</t>
  </si>
  <si>
    <t>PRIMERA INSTANCIA - PERIODO PROBATORIO</t>
  </si>
  <si>
    <t>2003-02526</t>
  </si>
  <si>
    <t xml:space="preserve">TRIBUNAL ADMINISTRATIVO DE CUNDINAMARCA SECCIÓN 4 SUBSECCIÓN B </t>
  </si>
  <si>
    <t xml:space="preserve">ANGELA LOZADA DE LA CRUZ Y OTROS </t>
  </si>
  <si>
    <t xml:space="preserve">ALCALDIA LOCAL DE CANDELARIA - </t>
  </si>
  <si>
    <t>VENDEDORES CALLE 10 ENTRE 11 Y 12</t>
  </si>
  <si>
    <t>ACUMULADA CON 2003-02530</t>
  </si>
  <si>
    <t>2015-00697</t>
  </si>
  <si>
    <t xml:space="preserve">JUZGADO 24 ADMINISTRATIVO  </t>
  </si>
  <si>
    <t>ANGELICA LINARES JIMENEZ</t>
  </si>
  <si>
    <t>ALC LOCAL BARRIOS UNIDOS - IDU - MOVILIDAD - SDP - IDPC - DADEP</t>
  </si>
  <si>
    <t>INSTALACIÓN REDUCTORES Y SEMAFORIZACIÓN CRA 18 63 61</t>
  </si>
  <si>
    <t xml:space="preserve">SEGUIMIENTO PROCESAL </t>
  </si>
  <si>
    <t>PRIMERA INSTANCIA - NOTIFICACIÓN DE DEMANDA</t>
  </si>
  <si>
    <t>2017-00061</t>
  </si>
  <si>
    <t>17/02/17</t>
  </si>
  <si>
    <t xml:space="preserve">JUZGADO 48 ADMINISTRATIVO DEL CIRCUITO DE BOGOTA </t>
  </si>
  <si>
    <t xml:space="preserve">HERNÁN RAMIRO AMAYA GUEVARA </t>
  </si>
  <si>
    <t xml:space="preserve">CORPORACIÓN EDUCATIVA INDOAMERICANA, DISTRITO CAPITAL, ALCALDIA MAYOR, SEC GOBIERNO, ALCALDIA LOCAL DE TEUSAQUILLO Y POLICIA METRIPOLITANA DE BGOTÁ </t>
  </si>
  <si>
    <t>ESTACIONAMIENTO EP UNIVERSIDAD INDOAMERICANA</t>
  </si>
  <si>
    <r>
      <rPr>
        <sz val="9"/>
        <color rgb="FF000000"/>
        <rFont val="Century Gothic"/>
        <family val="2"/>
      </rPr>
      <t>SENTENCIA DE  PRIMERA INSTANCIA 10/10/2017 Y DE SEGUNDA INSTANCIA DEL 10 DE JUNIO DE 2020: ORDENÓ  CULMINAR LOS PARQUEADEROS EN LAS INSTANLACONES
Se ampara el derecho o interés colectivo al goce del espacio público, vulnerado por la acción u omisión de la Policía Nacional, Distrito Capital,
Dirección de Tránsito y Transporte de la Policía Nacional — Seccional Bogotá y la Corporación Educativa Indoamericana Limitada, con ocasión de la invasión del espacio público que se presenta en el sector comprendido entre la carrera 15 bis entrel calles 39 y 39 bis y entre las calles 38 a 39 bis carreras 14 a 16 del sector de Teusaquillo de Bogotá D. C.Se allega informe de cumplimiento el 11/11/2021. 28/0672024 Se notificó por estado auto que convoca audiencia de verificación de cumplimiento, la cual se llevará a cabo el día</t>
    </r>
    <r>
      <rPr>
        <sz val="9"/>
        <color rgb="FFFF0000"/>
        <rFont val="Century Gothic"/>
        <family val="2"/>
      </rPr>
      <t xml:space="preserve"> 5 </t>
    </r>
    <r>
      <rPr>
        <sz val="9"/>
        <color rgb="FF000000"/>
        <rFont val="Century Gothic"/>
        <family val="2"/>
      </rPr>
      <t xml:space="preserve">de diciembre de 2024 a las ocho y treinta de la mañana (08:30 a.m.), </t>
    </r>
    <r>
      <rPr>
        <sz val="9"/>
        <color rgb="FFFF0000"/>
        <rFont val="Century Gothic"/>
        <family val="2"/>
      </rPr>
      <t xml:space="preserve"> la diligencia debe comparecer, el Procurador Judicial Delegado ante este Despacho Judicial, el Representante Legal de la Corporación Educativa IndoamericanaLimitada, el Comandante de la policía Metropolitana de Bogotá, el Comandante de la estación de Policía de Teusaquillo y los Representantes Legales del Distrito Capital,
Alcaldía Local de Teusaquillo y la dirección de Tránsito y Transporte de la policía Nacional Seccional Bogotá. </t>
    </r>
    <r>
      <rPr>
        <sz val="9"/>
        <color rgb="FF000000"/>
        <rFont val="Century Gothic"/>
        <family val="2"/>
      </rPr>
      <t xml:space="preserve">31/07/2024, Accionante allegó memorial solicitando apertura incidente de desacato </t>
    </r>
  </si>
  <si>
    <t>2017-00170
11001333400620170017000</t>
  </si>
  <si>
    <t xml:space="preserve">CARLOS ERNESTO BONILLA OSORIO </t>
  </si>
  <si>
    <t xml:space="preserve">ALCALDIA LOCAL DE ENGATIVA </t>
  </si>
  <si>
    <t>INVASION ESPACIO PUBLICO</t>
  </si>
  <si>
    <t xml:space="preserve">CERRAMIENTOS  QUE IMPIDEN LA UTILIZACIÓN  PUBLICA DE LA CALLE 85  Y LA CARRERA 95D, ASI COMO LAS ZONAS PUBLICAS COMPRENDIDAS ENTRE LA CARRERA 95 Y ALO </t>
  </si>
  <si>
    <t>1498-2</t>
  </si>
  <si>
    <t>ACUDIENCIA DE PACTO DE CUMPLIMIENTO PROGRAMADA PARA EL 04 de marzo de 2020 SOLICITUD DE MEDIDA CUATELAR POR APRTE DEL ACCIONANTE NOTIFICADA EL 12 DE FEBRERO - TERMINO 5 DIAS, ALEGATOS DE CONCLUSION PRESNETADOS AL DESPACHO  21-06-2022 SJ.D, el dia 21-10-2022 Ingresa  al Despacho  informando que se encuentra vencido el término de traslado Secretarial respecto de la solicitud de nulidad procesal por indebida notificación propuesta por el abogado que representa los intereses de la Nación - Ministerio de Vivienda, Ciudad y Territorio sobre el auto de fecha 13 de junio de 2022. 1-11-2023 Auto ordena :CORRIJASE la notificación por estado del auto de 13 de junio de 2022. Para tal efecto, por Secretaría remítaseel correo electrónico contentivo del estado No. 034 de 14 de junio de 2022 a la dirección de notificaciones señalada por el 8Exp. No. 11001-33-34-006-2017-00170-00Accionante: Carlos Ernesto Bonilla Osorio Acción PopularMinisterio de Vivienda, Ciudad y Territorio y una vez se recepcione el acuse de recibo, en virtud de lo dispuesto en el artículo 33de la Ley 472 de 1998, sele otorgará únicamente a dicho MInisterio el término de cinco (5) días, para que presente sus alegatos de conclusión. 19-01-2023 ALEGATOS DE CONCLUSION MIN VIVIENDA. auto de fecha 11 enero de 2023 auto corrije notificacion al Ministerio de Vivienda, Vencido el anterior término ingrese el expediente al Despacho para proferir la sentencia correspondiente. ingresa para sentencia el 6-2-2023. SE REVISA WEB DE LA RAMA SIGUE SIN NOVEDAD PROCESAL 29-5-2024.</t>
  </si>
  <si>
    <t>2017-00144</t>
  </si>
  <si>
    <t xml:space="preserve">JUZGADO 51 ADMINISTRATIVO </t>
  </si>
  <si>
    <t xml:space="preserve">MERCEDES GRIJALBA RAMIREZ </t>
  </si>
  <si>
    <t>ENTREGA ZONAS DE CESIÓN CVP URBANIZACIÓN PIJAOS</t>
  </si>
  <si>
    <t>ACCON DE GRUPO URBANIZACIÓN PIJAOS</t>
  </si>
  <si>
    <t>FALLO DEL 20 DE NOVIEMBRE DE 2018, EN EL CUAL RESUELVE DECLARAR LA EXCEPCIÓN DE CADUCIDAD PROPUESTA.
20/09/2019 AL DESPACHO DEL MAGITRADO DEL TRIBUNAL PARA SENTENCIA DE ACUERDO AL RECURSO PRESENTADO. se notfica por estado auto que resuelve impedimento el 2 de febrero de 2022, se radica memorial por parte de la SJD el 3 de junio de 2022. El 17 junio de 2022 se admite recurso de apelacion nterpuesto por el apoderado del grupo actor contra la sentencia del 20 de noviembre de 2018, proferida por el Juzgado Cincuenta y Uno Administrativo del Circuito Judicial de Bogotá. auto de fecha 17 junio de 2022 admite recurso por el TRIBUNAL ADMINISTRATIVO DE CUNDINAMARCA. 12-12-2022 al despacho Ingresa al despacho del DR. LUIS MANUEL LASSO LOZANO medio de control citado en la referencia, notificado y cumplido lo anterior, vencido el término para alegar el 06 de diciembre de 2022. El día 06 de diciembre de 2022, se allega alegatos por parte de Caja de da Vivienda Popular de Bogotá. El día 06 de diciembre de 2022, se allega alegatos por parte de la parte accionante. El día 09 de diciembre de 2022, se allega alegatos por parte de Bogotá Distrito Capital-Secretaría Distrital de Planeación-Secretaría Distrital de Gobierno - Alcaldía Local de Rafael Uribe Uribe.Sírvase proveer.12-12-2022 INGRESA AL DESPACHO. ( SIN NOEVEDAD PROCESAL 28-6-2023) auto de fecha 3-8-2023 avoca conocimiento  tribunal admin de cundinamarca. el 15-8-2023 ingresa al despacho. se revisa el proceso sin novedad procesal 29-5-2024. Sentencia de fecha 18-9-2024 CONFIRMAR la sentencia del 20 de noviembre de 2018,
proferida por el Juzgado Cincuenta y Uno Administrativo de Bogotá confirmando que operó la caducidad. ARCHIVAR</t>
  </si>
  <si>
    <t>2017-00185</t>
  </si>
  <si>
    <t>2020-00128</t>
  </si>
  <si>
    <t xml:space="preserve">JUZGADO 48 ADMINISTRATIVO DEL CIRCUITO BOGOTA </t>
  </si>
  <si>
    <t xml:space="preserve">ÁNGELA ESCOBAR DE GUTIERREZ - JOSE LUIS ROCHA ANGULO </t>
  </si>
  <si>
    <t xml:space="preserve">DISTRITO CAPITAL - ALCALDIA MAYOR - ALCALDIA LOCAL DE TEUDAQUILLO - IDRD - DADEP </t>
  </si>
  <si>
    <t>CIERRE ZONA 14 PARQUE SIMON BOLIVAR</t>
  </si>
  <si>
    <t>PARQUE METROPOLITANO SIMON BOLIVAR</t>
  </si>
  <si>
    <t>19/07/2021</t>
  </si>
  <si>
    <t>Sesión ordinaria de la mesa de trabajo llevada a cabo el día 26 de abril de 2022, con el fin de revisar y actualizar las actividades que se han adelantado para el cumplimiento de la sentencia proferida por el Juzgado 48 administrativo del circuito de fecha 7 de junio de 2018, confirmada parcialmente por el Tribunal Contencioso Administrativo de Cundinamarca - Sección Primera Subsección B el día 24 de junio de 2021, Se realiza reunión de mesa de trabajo el día 21 de junio de 2022, el 26/09/22, Se realiza reunión de mesa de trabajo. 07-02-2024 Auto ordena enviarle al Tribunal. 2024-11-28 AL DESPACHO.</t>
  </si>
  <si>
    <t>SENTENCIA DESFAVORABLE 2ª INSTANCIA</t>
  </si>
  <si>
    <t>2017-00078</t>
  </si>
  <si>
    <t>23/06/17</t>
  </si>
  <si>
    <t xml:space="preserve">JUZGADO 45 ADMINISTRATIVO </t>
  </si>
  <si>
    <t>AMPARO LUCIA RIVILLAS MORENO</t>
  </si>
  <si>
    <t>ALCALDIA LOCAL DE SUBA - DADEP - OTROS</t>
  </si>
  <si>
    <t>INVASIÓN ESPACIO PÚBLICO ESTACIONAMIENTO VEHÍCULOS VILLA DEL PRADO</t>
  </si>
  <si>
    <t xml:space="preserve">URBANIZACIÓN VILLA DEL PRADO </t>
  </si>
  <si>
    <t xml:space="preserve"> CESIÓN - ZONAS VIALES  </t>
  </si>
  <si>
    <t>2646-21,   2646-72 Y 2646-84</t>
  </si>
  <si>
    <t>14/02/19</t>
  </si>
  <si>
    <t>Sentencia ejecutoriada:1 mes para presenatr diagnostico de andenes: 2. DIAGNOSTICO ANDNES 2. MEDIDAS Y PLAZOA PARA RECONSTRUCCION.27-05-2024 PRESENTACION DE INFORME CUMPLIMIENTO DE FALLO CONTRATO DE OBRA IDU.
y 3. INCLUIR MEDIDAS PARA QUE NO SE USE EL ESPACIO PUBLICO - 3 meses para: 1. reconstruccion de los andenes y 2. DADEP 5 jornadas de concientización del uso del EP.
Se alega allega informe de cumplimiento el 18-11-2021 Entra al despacho y el IDU allega Informe Cumplimiento el 10-11-2021
Al despacho desde el 11-02-2022.
Mediante Auto del 06/05/2022 el Juzgado REQUIERE al Distrito Capital de Bogotá en cabeza de la Alcaldía Local de Suba y de la Secretaría Distrital de Movilidad, al Departamento Administrativo de la Defensoría del Espacio Público y al Instituto de Desarrollo Urbano – IDU, para que, en el término de 15 días, informen sobre las gestiones que han realizado para dar cumplimiento a las órdenes del fallo de 14 de febrero de 2019, por lo cual el 3 de junio de 2022 se allegó al despacho informe de cumplimento.</t>
  </si>
  <si>
    <t xml:space="preserve">658739	</t>
  </si>
  <si>
    <t>2019-00020
(11001333400320190029100)</t>
  </si>
  <si>
    <t>JUZGADO 45 ADMINISTRATIVO DEL CIRCUITO DE BOGOTA</t>
  </si>
  <si>
    <t xml:space="preserve">MARCO FIDEL SUAREZ RAMIREZ </t>
  </si>
  <si>
    <t>DISTRITO CAPITAL 
DADEP- SECRETARÍA DE GOBIERNO</t>
  </si>
  <si>
    <t xml:space="preserve">NULIDAD DECRETO 552 DE 2018
DEMOS </t>
  </si>
  <si>
    <t xml:space="preserve">APROVECHAMIENTO 
ECONOMICO DEL ESPACIO 
PUBLICO </t>
  </si>
  <si>
    <t>CONTESTACION DE LA DEMANDA 17  el 17/06/2021 Ordena remitir a Juzgado 3 Administrativo de Bogota proceso para que acumule ORDENA EL ENVÍO DEL EXPEDIENTE AL JUZGADO TERCERO PARA SU ACUMULACIÓN AL PROCESO 2019-00291. Notificado por estados de 14 may 2021. el 15 de juno de 2022 se hace consulta en la web de la rama y se regstra lo siguiente:  TRIBUNAL ADMINISTRATIVO DE CUNDINAMARCA SECCIÓN PRIMERA -SECRETARIA- INFORME SECRETARIAL PASO AL DESPACHO BOGOTÁ D.C., 31 DE MAYO DE 2022 Ingresa al despacho informando que se dio cumplimiento a lo ordenado en auto de fecha 8 de abril de 2022. A folios 1230 y siguientes del proceso, obra escrito de la accionante, informándole al Despacho, que el 12 de febrero de 2022, radico ante el Consejoi de Estado, solicitud de aclaración y complementación de la providencia de fecha 3 de febrero de 2020. A folios 1237 y siguientes del proceso, obra oficio procedente de la Sección Primera del Consejo de Estado, remitiendo la pieza procesal solicitada. el 21 de julio de 2022 se radican memoriales. Al despacho 31-5-2022.ORDENA EL ENVÍO DEL EXPEDIENTE AL JUZGADO TERCERO PARA SU ACUMULACIÓN AL PROCESO 2019-00291. 16-6-2023 Actuación de Cambio de Termino realizada el 16/06/2023 ,17-1-1024 expediente digital. sin noviedad procesal 29-5-2024.</t>
  </si>
  <si>
    <t xml:space="preserve">
2021-00121</t>
  </si>
  <si>
    <t>JUZGADO 12 ADMINISTRATIVO SEC SEGUNDA ORAL BOGOTA</t>
  </si>
  <si>
    <t>WILSON MANRIQUE CASTAÑEDA</t>
  </si>
  <si>
    <t xml:space="preserve"> DADEP, ALCALDIA LOCAL DE BARRIOS UNIDOS,  SECRETARÍA DISTRITAL DE MOVILIDAD, SECRETARÍA DISTRITAL DE HÁBITAT, SECRETARÍA DISTRITAL DE PLANEACIÓN.</t>
  </si>
  <si>
    <t>INVASION ESPACIO PUBLICO EN EL BARRIO SIETE DE AGOSTO-BARRIOS UNIDOS</t>
  </si>
  <si>
    <t>USO PUBLICO</t>
  </si>
  <si>
    <t>Exhortar al DADEP para que
participe en la ejecución de operativos de sensibilización o recuperación
del espacio público que lidere la Alcaldía Local de Barrios Unidos. Lo
anterior deberá mantenerse hasta la implementación y entrada en
funcionamiento efectivo del programa estacionamiento en la vía de que trata el ordinal Segundo de la parte resolutiva de la sentencia de primera
instancia.</t>
  </si>
  <si>
    <t>TUTELA 2022-02196, 22 de abril de 2022, La ciudadana LUZ FARFÁN CASALLAS, señala que a la fecha no ha habido decisión de segunda instancia por parte de la SECCIÓN PRIMERA DEL TRIBUNAL ADMINISTRATIVO DE CUNDINAMARCA, que resuelva el recurso de apelación en contra de la decisión de primera instancia de la sentencia del 17 de noviembre de 2021 emitida por el JUZGADO 12 ADMINISTRATIVO DE ORALIDAD DE BOGOTÁ, dentro de la acción popular No. 2021-00121, además de lo anterior, el día 23 de febrero del presente año, radicó un derecho de petición dirigido al DIRECTOR DE TRANSITO Y TRANSPORTE de Bogotá, con el objeto que se adelantara las acciones concretas y definitivas tendientes a erradicar la invasión del espacio público vial y la respuesta no resolvió la petición de fondo, por ende se le están vulnerando sus derechos fundamentales al debido proceso, acceso a la administración de justicia y el derecho de petición.sentencia de segunda instancia proferida el 10 de noviembre de 2022. Auto de fecha 7-2-2023 auto niega solicitud de aclaracion y adicion de la sentencia por parte del Tribunal. se devuelve expediente. Mesa de trabajo interinstitucional de fecha 25-5-2023, se requiere por parte de SJD para la próxima mesa de trabajo que todas las entidades comparezcan con el apoyo técnico a fin de la elaboración del cronograma de compromisos. 16 junio de 2023 se hace visita a la zona asiste profesionales de SGIE. Mesa de trabajo programada para el 24 -11-2023. auto de fecha 15-12-2023  NIEGA LAS SOLICITUDES DE CUMPLIMIENTO - CONFORMAR EL COMITÉ DE VERIFICACIÓN DE CUMPLIMIENTO DE LA SENTENCIA - REQUIERE A LAS DEMANDADAS - FIJA FECHA DE AUDIENCIA PARA EL 01/03/2024 A LAS 09:30 AM  cita a las SECRETARÍA DISTRITAL DE MOVILIDAD, a la ALCALDÍALOCAL DE BARRIOS UNIDOS y a la DIRECCIÓN DE TRÁNSITO Y TRANSPORTE DE BOGOTÁ  como integrantes del comite de verificacion del fallo. FIJA DILIGENCIA DE VERIFICACION PARA EL  6 DICIEMBRE DE 2024 A LAS 10:30 AM. Mesa de trabajo presencual AP 2021-00121 2:30 PM A 4:30 PM PRESENCIAL., se programa fecha para verificacion de cumplimiento el QUINCE (15) DE JULIO DE DOS MIL VEINTICINCO (2025) A PARTIR DE LAS DOS Y TREINTA DE LA TARDE (2:30 p.m.)</t>
  </si>
  <si>
    <t>2021-00244
11001333500820210024400</t>
  </si>
  <si>
    <t>27/08/21</t>
  </si>
  <si>
    <t>JUZGADO 8 ADMINISTRATIVO DE BOGOTÁ</t>
  </si>
  <si>
    <t>Corporación Vista Pública</t>
  </si>
  <si>
    <t>IDPAC - Caja de Vivienda Popular – DADEP - Alcaldía Local de Barrios Unidos - Colombia Telecomunicaciones S.A. ESP</t>
  </si>
  <si>
    <t>Ocupación de espacio público los de los inmuebles donde la extinta JAC del barrio Modelo Norte desarrollaba sus actividades, esto es, el Foro Comunal, ubicado en la carrera 56 N°. 66 A -18 o Calle 66 A N°. 54 – 40 y el predio situado en la carrera 57 N°. 67 A -58.</t>
  </si>
  <si>
    <t>Protección de lo derechos colectivos a la defensa del patrimonio público y la moralidad administrativa</t>
  </si>
  <si>
    <t xml:space="preserve">26/09/2024 </t>
  </si>
  <si>
    <t>CONTESTACIÓN DE LA DEMANDA EL 10/09/2021
SE REFORMA LA DEMANDA APORTANDO PRUEBAS NUEVAS EL 7/02/2022 
El proceso se encuentra en etapa de pruebas según lo ordenado en audiencia de pacto de cumplimiento del 4 de abril de 2022. 27/09/2023. Notificación fallo de primera instancia que ordenó la protección de derechos colectivos al IDPAC y ordenó al DADEP hacer parte del Comité de Verificación de fallo. 28/09/23. Mediante correo electrónico el DADEP remitió concepto sobre la improcedencia de presentar recurso de apelación en contra del fallo de primera instancia.23/10/23. Se notificó por estado auto que concedió recurso de apelación presentado por el IDPAC. 25/10/2023. Reparto y radicación ante el TAC. 26/10/2023. Al Despacho por reparto. 29/08/2024. Se notificó por estado auto que admitió recurso de apelación</t>
  </si>
  <si>
    <t xml:space="preserve">PARA ADMITIR RECURSO DE APELACIÓN CONTRA SENTENCIA DE PRIMERA INSTANCIA </t>
  </si>
  <si>
    <t>2021-00214
(11001333704220210021400)</t>
  </si>
  <si>
    <t>JUZGADO 42 ADMINISTRATIVO DE BOGOTÁ</t>
  </si>
  <si>
    <t>LILIANA DEL ROSARIO PEÑALOZA FUENTES</t>
  </si>
  <si>
    <t>DADEP, POLICIA METROPOLITANA DE BOGOTA, IPES, ALCALDIA.LOCAL-USAQUÉN.</t>
  </si>
  <si>
    <t>iINVASION ESPACIO PUBLICO EN EL CANAPRO</t>
  </si>
  <si>
    <t>invasión del espacio público ubicado en los alrededores del
Conjunto Residencial Canapro, por parte de vendedores ambulantes y de algunos comerciantes que ubican elementos de sus locales comerciales en los andenes, y también por parte de conductores particulares que estacionan y
lavan sus automotores sobre la vía pública</t>
  </si>
  <si>
    <t>CANAPRO</t>
  </si>
  <si>
    <t>95-2-
95-3</t>
  </si>
  <si>
    <t>26/10/2022</t>
  </si>
  <si>
    <t>15-02-2024</t>
  </si>
  <si>
    <t>2021-11-19 auto de trámite, el despacho requiere a la SDIS, a la Alcaldía Local de Usaquén a la Secretaría Distrital de Movilidad al DADEP para que presenten informes técnicos, los cuales se envían antes de la audiencia de pacto de cumplimiento programada para el dia 01 de agosto del presente año a las 2:00 pm, Se declara fallida la continuación a la audiencia de pacto de cumplimiento, por la inasistencia de la Policía Nacional, El 14 de septiembre de 2022, se presentan alegatos de conclusión de 1 instancia, Sentencia de 1 instancia 26/10/2022 Declarar probada la excepción de falta de legitimación en la causa por pasiva del DADEP noviembre 10 de 2022 notifica por estado auto que concede recurso de apelación interpuesto y sustentado por la parte demandada en contra de la sentencia de primera instancia.11-09-2023 al despacho para  decidir.15-02-2024 Sentencia de segunda instancia. 13-06-2024 Surtido el recurso de alzada,se resuelve obedecer y cumplir lo resuleto por el Tribunal  Administrativo de Cundinamarca.</t>
  </si>
  <si>
    <t>SENTENCIA SEGUNDA INSTANCIA</t>
  </si>
  <si>
    <t>2021-00099
(11001333704020210009900)</t>
  </si>
  <si>
    <t>JUZGADO 40 ADMINISTRATIVO DE ORALIDAD DE BOGOTÁ</t>
  </si>
  <si>
    <t>CRISTIAN STIVEN TAMBO LÓPEZ Y OTROS</t>
  </si>
  <si>
    <t>SECRETARÍA DISTRITAL DE AMBIENTE -DADEP, URBANIZADORA MARÍN VALENCIA S.A., CURADURÍA URBANA NO. 3 DE BOGOTÁ, PROCURADURÍA GENERAL DE LA NACIÓN, PERSONERO DE BOGOTÁ D.C., -EAAB; CONSEJO DE BOGOTÁ, SECRETARIA DISTRITAL DE PLANEACIÓN, FIDUCIARIA BANCOLOMBIA SA.</t>
  </si>
  <si>
    <t xml:space="preserve">AFECTACIÓN DE DERECHOS COLECTIVOS - HUMEDAL </t>
  </si>
  <si>
    <t>MANIFIESTA EL ACTOR QUE EL PLAN DE MANEJO AMBIENTAL DEL HUMEDAL EL BURRO FUE APROBADO MEDIANTE RESOLUCIÓN NO. 4383 DEL 30 DE OCTUBRE DE 2008 MEDIA EN LA CUAL NO SE INCLUYO EL AREA DENOMINADA COMO HUMEDAL EL BURRITO. ACTUALMENTE AL PREDIO EN MENCIÓN SE LE CONCEDIÓ LA LICENCIA DE URBANIZACIÓN POR PARTE DE LA CURADURÍA URBANA NO. 3 DE BOGOTÁ SEGÚN RESOLUCIÓN DEL 26 DE JUNIO DE 2020. COMO PRODUCTO DE LA VISITA TÉCNICA POR PARTE DE LA S DE AMBIENTE SE EMITE DOCUMENTO DEOMINADO "JUSTIFICACIÓN DE LA INCORPORACIÒN DEL SECTOR EL BURRITO AL HUMEDAL EL BURRO COMO SOPORT TÉCNICO DE LA MEDIDA DE PROTECCIÓN ". EL 11 DE OCTUBRE DE 2012 LA SECRETARIA DE AMBIENTE EPIE RESOLUCIÓN 1238 POR LA CUAL SE ADOPTAN MEDIDAS DE PROTECCIÓN DE UN ECOSISTEMA Y SE TOMAN OTRAS MEDIDAS.EL DIA 16 DE DICIEMBRE DE 2019 LA S DE AMBIENTE EMITE RESOLUCIÓN 3643 POR LA CUAL SE DEROGA LA RESOLUCIÓN 1238 DE 2012.
SOLICITA LA PARTE ACTORA SE DECLARE QUE LA SDA VULNERÓ LOS DERECHOS COLECTIVOS INVOCADOS Y SE PROTEJAN SOBRE EL ECOSISTEMA DENOMINADO HUMEDAL EL BURRITO, SE RETORNE LA MEDIDA DE PROTECCIÓN QUE TENIA EL CITADO HUMEDAL, QUE SEA DECLARADO COMO PARQUE ECOLÓGICO DISTRITAL DE HUMEDAL Y SE ANEXE AL POT, SOLICITAR A LA EAAB REALIZAR EL REALINDERAMIENTO Y ORDENAR A LA SDA REALIZAR LAS INVERSIONES NECESARIAS Y ACCIONES PARA HACER CESAR EL DAÑO CONTIGENTE Y VULNERACIÓN DE LOS DERECHOS COLECTIVOS, AL CONCEJO Y ALCALDIA INCLUIR EN EL POT EL CITADO HUMEDAL.</t>
  </si>
  <si>
    <t>30/03/2023</t>
  </si>
  <si>
    <t xml:space="preserve">Sin Ordenes para el Dadep. </t>
  </si>
  <si>
    <t>Se envía insumo a la Secretaria Jurídica Distrital para alegatos de conclusión con Radicado DADEP No. 20221100038821 de fecha 29 de marzo de 2022. Los cuales fueron presentados al juzgado por el Apoderado de la Secretaria Jurídica Distrital, el mismo día 29 de marzo de 2022, se verifica en la pagina de la rama judicial el 17/11/2022 y el proceso continua al despacho desde el 07/04/2022
SENTENCIA DEL 30/03/2023 NIEGA PRETENSIONES DE LA DEMANDA</t>
  </si>
  <si>
    <t>2021-00235
(11001333704020210023500)</t>
  </si>
  <si>
    <t>21-09-2014</t>
  </si>
  <si>
    <t>FUNDACIÓN TERRITORIOS BIODIVERSOS</t>
  </si>
  <si>
    <t>ALCALDÍA MAYOR DE BOGOTÁ, CONSTRUCTORA
AMARILO S.A.S., FIDUCIARIA DE BOGOTÁ S.A. como vocera del FIDEICOMISO LAGOS DE TORCA</t>
  </si>
  <si>
    <t xml:space="preserve">PLAN PARCIAL EL BOSQUE </t>
  </si>
  <si>
    <t>SE SOLICITA SE AMPARE LA DEFENSA Y PROTECCIÓN DE LOS DERECHOS E INTERESES COLECTIVOS AL GOCE DE UN AMBIENTE SANO; LA EXISTENCIA DEL EQUILIBRIO ECOLÓGICO Y EL MANEJO Y APROVECHAMIENTO RACIONAL DE LOS RECURSOS NATURALES PARA GARANTIZAR SU DESARROLLO SOSTENIBLE, SU CONSERVACIÓN, RESTAURACIÓN O SUSTITUCIÓN. LA CONSERVACIÓN DE LAS ESPECIES ANIMALES Y VEGETALES, LA PROTECCIÓN DE ÁREAS DE ESPECIAL IMPORTANCIA ECOLÓGICA, DE LOS ECOSISTEMAS SITUADOS EN LAS ZONAS FRONTERIZAS, ASÍ COMO LOS DEMÁS INTERESES DE LA COMUNIDAD RELACIONADOS CON LA PRESERVACIÓN Y RESTAURACIÓN DEL MEDIO AMBIENTE; EL GOCE DEL ESPACIO PÚBLICO Y LA UTILIZACIÓN Y DEFENSA DE LOS BIENES DE USO PÚBLICO; EL DERECHO A LA SEGURIDAD Y PREVENCIÓN DE DESASTRES PREVISIBLES TÉCNICAMENTE; LA REALIZACIÓN DE LAS CONSTRUCCIONES, EDIFICACIONES Y DESARROLLOS URBANOS RESPETANDO LAS DISPOSICIONES JURÍDICAS, DE MANERA ORDENADA, Y DANDO PREVALENCIA AL BENEFICIO DE LA CALIDAD DE VIDA DE LOS HABITANTES. PRESENTACION DE INFORMES TRIMESTRALES.</t>
  </si>
  <si>
    <t>ADMITE PROCESO 14 DE SEPTIEMBRE DE 2021 Y MEDIDA CAUTELAR Y ADMISIÓN, CONTESTACION DEMANDA 28 DE SEPTIEMBRE NIEGA MEDIDAS CAUTELARES 17 DE NOVIEMBRE DE 2021.
AUDIENCIA DE PACTO DE CUMPLIMIENTO SUSPENDIDA EL 20 DE ENERO DE 2022. 22-04-2024 SE LLEVO A CABO AUDIENCIA DE VERIFICACION DE FALLO, SE FIJA INSPECCION JUDICIAL PARA EL 05-08-2024 A LAS 9:00 AM
MESAS DE TRABAJO CELEBRADAS CON LAS ENTIDADES EN LOS MESES DE MARZO Y ABRIL. AUDIENCIA DE PACTO DE CUMPLIMIENTO 20 DE ABRIL. PRESENTACION DE INFORMES 
29-|07-2022 SENTENCIA QUE DECIDE SOBRE LA APROBACIÒN DE PACTO DE CUMPLIMIENTO, CONCEDE TERMINO DE 10 DIAS PARA AJUSTAR CRONOGRAMA. SENTENCIA APRUEBA PACTO DE CUMPLIMIENTO EJECUTORIADA 4 DE AGOSTO DE 2022. 11 DE OCTUBRE DE 2022 SE ALLEGA PRIMER INFORME DE CUMPLIMIENTO DE FALLO. INFORME MENSUAL ESTADO DE AVANCE 23-08-2023. PACTO DE CUMPLIMIENTO. AUDIENCIA DE VERIFICACION CUMPLIMIENTO DE FALLO 22-01-2024. PRESENTACION DE INFOMRE 1 DE ABRIL DE 2024. AUDIENCIA DE SEGUIMIENTO DE FALLO CON PRESENTACION Y INFORMES.</t>
  </si>
  <si>
    <t xml:space="preserve">SENTENCIA APRUEBA PACTO DE CUMPLIMIENTO </t>
  </si>
  <si>
    <t>2020-00003</t>
  </si>
  <si>
    <t>JUZGADO 35 ADMINISTRATIVO DE ORALIDAD DE BOGOTÁ</t>
  </si>
  <si>
    <t>PERSONERIA DISTRITAL DE BOGOTÁ</t>
  </si>
  <si>
    <t>Alcaldía Mayor de Bogotá D. C.
- Alcaldía Local de Teusaquillo
- Secretaría Distrital de Planeación
- Secretaría Distrital de Movilidad
- Secretaría Distrital de Cultura Recreación y Deporte
- Instituto Distrital de Patrimonio Cultural
DADEP</t>
  </si>
  <si>
    <t>ACCESO A INFRAESTRUCTURA</t>
  </si>
  <si>
    <t>SOLICITA SE DECLARE QUE LAS ENTIDADES DEMANDADAS SE ENCUENTRAN VULNERANDO LOS DERECHOS COLECTIVOS AL GOCE DEL ESPACIO PUBLICO , LA DEFENSA DEL PATRIMONIO CULTURAL , LA REALIZACIÓN DE LAS CONSTRUCCIONES, EDIFICACIONES Y DESARROLLOS URBANOS RESPETANDO LAS DISPOSICIONES JURÍDICAS DE MANERA ORDENADA.</t>
  </si>
  <si>
    <t>Al despacho para decidir 2024-12-05. 06-02-2025 MEMORIAL SOLICITA DESVINCULACIÓN.</t>
  </si>
  <si>
    <t>2021-00275
(11001333501820210027500)</t>
  </si>
  <si>
    <t>JUZGADO  18  ADMINISTRATIVO DE  BOGOTÁ D. C</t>
  </si>
  <si>
    <t>DAVID GARZÓN GÓMEZ Y JUAN MANUEL GONZÁLEZ
GARAVITO</t>
  </si>
  <si>
    <t>UNIDAD PARA LA ATENCIÓN Y REPARACIÓN INTEGRAL A LAS VÍCTIMAS (UARIV), DISTRITO CAPITAL – ALCALDÍA MAYOR DE BOGOTÁ, DISTRITO CAPITAL - SECRETARÍA DISTRITAL DE GOBIERNO, DISTRITO CAPITAL - SECRETARÍA DISTRITAL DE GOBIERNO - ALCALDÍA LOCAL DE CHAPINERO, DISTRITO CAPITAL - SECRETARÍA DISTRITAL DE INTEGRACIÓN SOCIAL, DISTRITO CAPITAL - SECRETARÍA DISTRITAL DE SEGURIDAD, CONVIVENCIA Y JUSTICIA, DISTRITO CAPITAL - DEPARTAMENTO aDMINISTRATIVO DE LA DEFENSORÍA DEL ESPACIO PÚBLICO (DADEP) Y SECRETARÍA DISTRITAL DE
SALUD</t>
  </si>
  <si>
    <t>INVASION DE ESPACIO PÚBLICO</t>
  </si>
  <si>
    <t>726-7</t>
  </si>
  <si>
    <t>Audiencia de pacto de cumplimiento el día 02 de diciembre de 2021, el 15 de febrero de 2022 Se presenta memorial solicitando la terminación anticipada del proceso por existir carencia actual de objeto, por hecho superado, octubre 21 de 2022 notifica por estado auto que resuelve solicitud a parte actora y requiere nuevamente. Auto de fecha 3-2-2023 resuelve PRIMERO: NEGAR la solicitud de terminación anticipada del proceso elevada por la apoderada de Bogotá Distrito Capital - Alcaldía Mayor de Bogotá, Secretaría Distrital de Gobierno -Alcaldía Local de Chapinero - Secretaría Distrital de Integración Social -Secretaría Distrital de Seguridad, Convivencia y Justicia - Departamento Administrativo de la Defensoría del Espacio Público (DADEP) y Secretaría Distrital de Salud.SEGUNDO: PONER en conocimiento de los accionantes y los coadyudantes la Resolución 198 de 8 de julio de 2022 (con los anexos) que resolvió el recurso de apelación dentro del proceso verbal abreviado de policía, expediente 20215344900103391E, radicado DADEP 2022- 40004751-2 del 7 de marzo de 2022, que se allegó por correo electrónico de 9 de noviembre de 2022. TERCERO: Vencido el término anterior, el expediente deberá ingresar inmediatamente para proveer sobre la terminación anticipada del proceso, conforme fue solicitado por las autoridades demandadas. AUTO QUE ORDENA PONER EN CONOCIMIENTO de fecha 3-2-2023 ( se revisa la web de la rama 28-6-2023 sin novedad procesal). auto de fecha 6 -10-2023 requiere dadep para presentar informe, mediante orfeo 20231300165321 de 27-10-2023  se remite informe requerido por el juzgado. ingresa al despacho el 22-11-2023. auto ordena requerir 26-2-2024. el 4 .3 2024 apoderado SJD radica escrito del DADEP.  proceso ingresa al despacho el 3-5-2024. para resolver incidente de desacato. auto notificado 22 julio de 2024 se abstiene de abrir incidente y ordena en 10 dias a la alcaldia local de chapinero remitir documentación. Auto de fecha 23 -10-2024 corre traslado alegatos de conclusion por 5 dias. auto 15 noviembre de 2024 repone auto que corre traslado alegatos conclusion requiere alcaldia local allegar unas pruebas que faltaban. da terminod e 10 dias.</t>
  </si>
  <si>
    <t>(2021-00290)
11001334104520210029000</t>
  </si>
  <si>
    <t>JUZGADO  25 ADMINISTRATIVO DE ORALIDAD DE BOGOTÁ D. C</t>
  </si>
  <si>
    <t>SOCIEDAD HERMODITEX S.A.S Y OTROS</t>
  </si>
  <si>
    <t>INSTITUTO DE DESARROLLO URBANO IDU;
ALCALDÍA LOCAL DE PUENTE ARANDA-FONDO DE
DESARROLLO LOCAL DE PUENTE ARANDA;
CONSORCIO GAMA CIELOS ABIERTOS;
CONSORCIO INTERDESARROLLO; BOGOTÁ D.C.-  IPES -DADEP</t>
  </si>
  <si>
    <t>SE SOLICITA POR INVASION DE ESPACIO PUBLICO DE  LA INTERVENCION EN LA CARRERA 52C ENTRE CALLE 40 SUR Y AUTOPISTA SUR, EN LA LOCALIDAD DE PUENTE ARANDA</t>
  </si>
  <si>
    <t>LA ALQUERIA</t>
  </si>
  <si>
    <t>2224-6 AL 2224-10</t>
  </si>
  <si>
    <t>El 19 de abril de 2022, el tribunal resuelve rechazar por improcedente el recurso de apelación interpuesto en contra del auto del 12 de noviembre de 2021, mediante el cual se negó la solicitud de medida cautelar. Mayo 31 de 2022 notifica por estado auto que fija fecha para pacto de cumplimiento para julio 27 de 2022 a las 10:30 a.m. El despacho previamente a la audiencia remite correo aplazando la audiencia, el 26 de agosto, octubre 24 de 2022 notifica por estado auto que fija fecha para audiencia de pacto para 15 de febrero 2023 a las 8:30 a.m.  el 5 de mayo de 2023 auto decreta pruebas. el 16-6-2023 adicion auto decreta pruebas. el 30-6-2023 recurso de reposicion.  25-8-2023 auto no repone. se revisa el proceso hoy 21-11-2023 continua en secretaria. 13-9-2023 se radica memorial hoy 14 diciembre de 2023 se consulta y permanece igual EL 8-4-2024 AUTO CONCEDER A LA DEMANDANTE EL TÉRMINO de veinte (20) días, para que aporte DICTAMEN PERICIAL decretado en su favor el 5 de mayo de 2023, AUTO 7 JUNIO DE 2024 TRASLADO ALEGATOS CONCLUSION.17-06-2024 SE PRESENTARON ALEGATOS DE CONCLUSIÓN POR PARTE DE LA APODERADA DE SECRETARIA JURIDICA DISTRITAL.</t>
  </si>
  <si>
    <t>2021-00155
(11001333502520210015500)</t>
  </si>
  <si>
    <t>PEDRO NEL LADINO MONROY</t>
  </si>
  <si>
    <t>DADEP, CONCEJO DE BOGOTA, ALC.LOCAL-ENGATIVÁ, SECRETARÍA DISTRITAL DE AMBIENTE, SECRETARÍA DISTRITAL DE MOVILIDAD, SECRETARÍA DISTRITAL DE PLANEACIÓN.</t>
  </si>
  <si>
    <t>AFECTACIÓN DE DERECHOS COLECTIVOS - UBICACION BARES Y DISCOTECAS EN ZONAS RESIDENCIALES</t>
  </si>
  <si>
    <t>LA PARTE DEMANDANTE INTERPONE DEMANDA DEBIDO AL DAÑO CONSTANTE POR LA CONTAMINACIÓN AUDITIVA, USO INADECUADO DEL SUELO QUE SUFREN LOS PODERDANTES DIARIAMENTE EN LOS ESTABLECIMIENTOS UBICADOS ENTRE LA AVENIDA ROJAS Y LA AVENIDA BOYACÁ POR LA CALLE 53, MÁS EXACTAMENTE ENTER LA AVENIDA CARRERA 70 Y CARRERA 72 DONDE FUNCIONAN BARES Y DISCOTECAS, UBICADOS EN EL BARRIO NORMANDIA, LOCALIDAD DE ENGATIVA, EN BOGOTÁ, POR LA UBICACIÓN DE BARES Y DISCOTECAS EN SUELO DE CARACTER RESIDENCIAL</t>
  </si>
  <si>
    <t>2803</t>
  </si>
  <si>
    <t>SEGUIMIENTO Mediante auto de (12) de julio de dos mil veintidós (2022) resuelve VINCULAR como terceros interesados a los representantes legales de los establecimientos de comercio – bares y/o discotecas, CHUPE LA LUPE Y MI RANCHO LICORERO, Consultada la página de la rama Judicial el  dia 08 de agosto de 2022 se observa como última actuación traslado por 10 días excepciones (pendiente notificación auto), se verifica el 17-01-2023 y conserva la ultima actuación. Ficha Siproj 199, auto del 17 de enero  fija audiencia de pacto de cumplimiento para el proximo 21 de febrero a las 9:30 am. Auto notificacion personal  de fecha 20-2-2023 ordena PRIMERO: VINCULAR como terceros interesados a los propietarios de los inmuebles donde funcionan los siguientes establecimientos de comercio... SEGUNDO: A efectos de individualizar los propietarios de los inmuebles, por secretaría ofíciese a la Oficina de Registro de Instrumentos Públicos para que se sirva remitir con destino a este proceso, dentro de los diez (10) días contados a partir del recibo del oficio, los certificados de tradición y libertad de los inmuebles identificados con la dirección referida en el numeral primero de esta providencia... TERCERO: Cumplido lo dispuesto en el numeral anterior, por Secretaría a través de la Oficina de Apoyo para los Juzgados Administrativos de Bogotá, en la forma establecida en el artículo 21 de la Ley 472 de 1998 y el CPACA, procédase a Notificar personalmente, a los titulares del dominio de los inmuebles en la dirección de los inmuebles donde funcionan los establecimientos de comercio referidos en el numeral primero. auto de fecha 15 de junio de 2023 se emiten ordenes a la Secretaría Distrital de Ambiente, Subdirección Calidad de Aire, Auditiva y Visual, ordenando a esta entidad remitir informe en 5 dias siguientes. se fija diligencia para pruebas el 28-11-2023 en audiencia de pacto de fecha 11-10-2023. AUDIENCIA DE PRUEBAS EL 28-11-2023. proceso al despacho desde el  24-1-2024. auto de fecha 5 septiembre de 2024 ordena a la  Subdirección de Calidad del Aire, Auditiva y Visual de la Secretaría de Ambiente para que se sirva allegar con destino a este proceso el informe técnico que de cuenta de las cuatro (4) visitas técnicas de seguimiento, el 20-9-2024 oficio requiere REQUIERE SECRETARIA DE AMBIENTE - ALCALDÍA LOCAL DE ENGATIVA Y ESTACIÓN DE POLICIA DE ENGATIVA ACCIÓN POPULAR 2021-00155 - TÉRMINO 20 DÍAS Auto 31-10-2024 inspeccion judicial 29-11-24 a las 4pm. auto de fecha 10-12-2024 emite ordenes, ninguna al dadep</t>
  </si>
  <si>
    <t>2021-00106</t>
  </si>
  <si>
    <t>JUZGADO  10 ADMINISTRATIVO DE ORALIDAD DE BOGOTÁ D. C</t>
  </si>
  <si>
    <t>ARGEMIRO VELANDOA ORTEGON</t>
  </si>
  <si>
    <t>SECRETARIA DISTRITAL DE GOBIERNO, ALCALDIA LOCAL DE KENNEDY, DADEP, SECRETARIA DISTRITAL DE MOVILIDAD Y OTROS</t>
  </si>
  <si>
    <t>ACCIONADO</t>
  </si>
  <si>
    <t>PRESUNTA VULNERACIÒN DE DERECHOS COLECTIVOS A LA TRANQUILIDAD, PAZ, EL DESCANSO, LA CONVIVENCIA EN FAMILIA, GOCE DEL ESPACIO PÚBLICO Y AMBIENTE SANO.</t>
  </si>
  <si>
    <t>POR MEDIO DE LA PRESENTE ACCIÓN EL REPRESENTANTE LEGAL DE LA AGRUPACION DE VIVIENDA COMFENALCO PRIMAVERA UBICADA EN LA CALLE 2 NO. 93-27 COMPUESTA POR 182 CASAS PRETENDE LA PROTECCIÓN DE LOS DERECHOS COLECTIVOS A LA TRANQUILIDAD, PAZ, CONVIVENCIA EN FAMILIA, AL GOCE DEL ESPACIO PÚBLICO PARA RETIRAR DEL FRENTE Y DEL ENTORNO DE DICHO INMUEBLE A LOS BICITAXISTAS Y VENDEDORES AMBULANTES QUE ALLÍ PERMANECEN ASI COMO LOS CARROS, TRICICLOS, ZORRAS, CARROS DE PERROS CALIENTES, COMIDAS RÁPIDAS Y DEMÁS VEHICULOS QUE PERMANECEN FRENTE AL CITADO INMUEBLE YA QUE GENERAN PROBLEMA DE INSEGURIDAD Y SALUBRIDAD Y SE RECUPERE EL ESPACIO PÚBLICO QUE DICHAS PERSONAS HAN VENIDO COCUPANDO DE FORMA IRREGULAR Y QUE LA POLICIA DEL CUADRANTE HAGA PRESENCIA PARA QUE NO HAYA REINCIDENCIA TENIENDO EN CUENTA QUE HACE APROXIMADAMENTE DOS AÑOS LOS VENDEDORES AMBULANTES SE APODERARON DEL ESPACIO PÚBLICO DE LA CICLORUTA EN LA CARRERA 93 CON CALLE 2 PARA VENDER TODA CLASE DE PRODUCTOS CAUSANDO ESCANDALOS PUES TIENEN EQUIPOS DE SONIDO Y ALTAVOCES PARA PROMOCIONAR SUS PRODUCTOS Y EL NÚMERO DE VENDEDORES HA VENIDO AUMENTANDO EN GRAN MANERA QUE PARECE UNA PLAZA DE MERCADO Y DESDE HACE APROXIMADAMENTE UN AÑO LOS BICITAXISTAS DE LA ZONA HAN TOMADO EL FRENTE DEL CONJUNTO Y PARTE DE LA CICLORRUTA ALAMEDA EL PORVENIR COMO PARADERO PARA RECOGER Y DESCARGAR PASAJEROS EN EL DIA Y PARTE DE LA NOCHE EN LA CICLORUTA Y EN LA CALLE 2 POR LA CARRERA 93 GENERANDO PROBLEMAS DE BASURAS Y CONTAMINACIÓ AMBIENTAL.</t>
  </si>
  <si>
    <t>CIUDADELA PRIMAVERA</t>
  </si>
  <si>
    <t>2487-21 
 2487-5.</t>
  </si>
  <si>
    <t>EL 12/03/2020 SE CONTESTO LA DEMANDA 
FIJA AUDIENCIA PACTO DE CUMPLIMIENTO 19 MAYO 2021 2:30 P.M. - TIENE EN CUENTA CONTESTACIONES, ADICIONES, DECLARA INFUNDADO IMPEDIMENTO PLANTEADO POR LA PROCURADORA 97 JUDICIAL I PARA ASUNTOS ADTIVOS - REQUIERE ENTIDADES PÚBLICAS Y PRIVADAS VINCULADAS EN EL TÉRMINO 10 DÍAS RINDAN INFORME DE LAS TAREAS DESPLEGADAS - RECONOCE PERSONERÍA -
MEDIANTE AUTO DE 18/08/2021: VINCÚLESE COMO LITISCONSORCIO NECESARIO A LA SECRETARÍA DE EDUCACIÓN DISTRITAL, EL MINISTERIO DE EDUCACIÓN NACIONAL, LA POLICÍA NACIONAL Y EL DEPARTAMENTO ADMINISTRATIVO DE LA DEFENSORÍA DEL ESPACIO PÚBLICO. 
MODIFICAR EL ORDINAL 5° DEL AUTO DEL 12 DE MARZO DE 2021, POR LAS RAZONES EXPUESTAS. RECONOCER PERSONERÍA A LA ABOGADA PAOLA EDITH CADENA SANTOS COMO APODERADA DE LA UNIVERSIDAD CATÓLICA DE COLOMBIA. RECONOCER PERSONERÍA AL ABOGADO CARLOS EDUARDO ORTIZ ROJAS COMO APODERADO DE LA UNIVERSIDAD COLEGIO MAYOR DE CUNDINAMARCA. 2023-06-16 PRESENTACION ALEGATOS DE CONCLUSION. CONTINUA AL DESPACHO PARA SENTENCIA DESDE EL 05-07-2023.</t>
  </si>
  <si>
    <t>2019-00380</t>
  </si>
  <si>
    <t>JUZGADO 55 ADMINISTRATIVO DE BOGOTA</t>
  </si>
  <si>
    <t>MARIA EUGENIA SERRANO DE OLAVE</t>
  </si>
  <si>
    <t>DADEP, CAR, IDIGER, IDU, JARDIN BOTANICO, ALCALDIA LOCAL DE BOSA, DE KENNEDY, CIUDAD BOLIVAR, PUENTE ARANDA, TUNJUELITO, SECRETARÍA DISTRITAL DE AMBIENTE, SECRETARÍA DISTRITAL DE MOVILIDAD, SECRETARÍA DISTRITAL DE PLANEACIÓN, SECRETARÍA DISTRITAL DE SALUD.</t>
  </si>
  <si>
    <t xml:space="preserve">TOMAR MEDIDAS OPORTUNAS Y EFICIENTES QUE PERMITAN CONTRIBUIR A MEJORAR LA CALIDAD DEL AIRE </t>
  </si>
  <si>
    <t xml:space="preserve"> 05 de mayo de 2022 entra al despacho para fallo. El 17/01/2023 se verifica en la pagina de la rama judicial y el proceso continua al despacho. 12-12-2024 SENTENCIA NIEGA PRETENSIONES.</t>
  </si>
  <si>
    <t>03 de mayo de 2022  presentación de alegatos de conclusión 1ª instancia</t>
  </si>
  <si>
    <t>2014-00025</t>
  </si>
  <si>
    <t>JUZGADO 3 CIVIL DEL CIRCUITO</t>
  </si>
  <si>
    <t>ALIANZA FIDUCIARA VOCERA DEL PATRIMONIO AUTONOMO</t>
  </si>
  <si>
    <t>IDU, DADEP, SECRETARIA DE GOBIERNO, SDP,ALCALDIA LOCAL DE SUBA.</t>
  </si>
  <si>
    <t>DEFENSA DERECHOS COLECTIVOS PLAN PARCIAL EL BOSQUE</t>
  </si>
  <si>
    <t>SE ORDENE A LOS ACCIONADOS EL CESE INMEDIATO DE CUALQUIER ACTIVIDAD ECONOMICA O URBANISTICA SOBRE EL PREDIO IDENTIFICADO CON LA MATRICULA INMOBILIARIA 50N-20331210, ORDENANDO RETENER Y DEMOLES LAS ESTRUCTURAS HECHAS SIN LOS REQUERIMIENTOS DE LEY. SANCION URBANISTICA. ACCIONANTE ALIANZA FIDUCIARIA S.A. COMO VOCERA DEL PATRIMONIO AUTONOMO AMBIENTTI AMARETO CALLE 147, CONTRA CIRO ALFONSO RUIZ PIÑEOS, PEDRO MIGUEL RUIZ PIÑEROS, JAIRO HERNANDO RUIZ PIÑEROS, CESAR AUGUSTO DE JESUS CORDOBA ROMERO.</t>
  </si>
  <si>
    <t>SENTENCIA 27/11/2017.   AUTO RESUELVE RECURSO DE REPOSICÓN 19/11/2019. AUDIENCIA VERIFICACION FALLO 04/12/2020.  CONTESTACION ACCIÒN DE TUTELA 18/03/2021. 24/08/2022 AUTO ORDENA REQUERIR A LAS PARTES Y CONCEDE UN TÈRMINO DE 10 DÍAS. 02-11-2023 ORDENA REQUERIR AL COMITE VERIFICADOR, SE LLEVO A CABO MESA DE TRABAJO EL COMITE DE VERIFICACIÓN EL 27-10-2023, ENVIANDOSE INFORME UNIFICADO IDU, SDP Y DADEP DE CUMPLIMIENTO DE FALLO. 08-02-2024 ORDENES CUMPLIMIENTO INCIDENTE DESACATO TÉRMINO 10 DÍAS PARA PRESENTAR INFORME. 20-02-2024  NOTIFICACION DILIGENCIA DE DEMOLICIÓN. AUTO 18-04-2024 INFORME DE RETIRO DE MOVILIARIO EL 29 DE ABRIL DE 2024, SEGUIMIENTO DE ACTUACION ANTE LA ALCADIA LOCAL.</t>
  </si>
  <si>
    <t xml:space="preserve">CUMPLIMIENTO FALLO </t>
  </si>
  <si>
    <t>2013-00183
110013336038201300183</t>
  </si>
  <si>
    <t>JUZGADO 38 ADMINISTRATIVO DE BOGOTA</t>
  </si>
  <si>
    <t>CIRO ANTONIO GONZÁLEZ GAMBOA Y OTROS</t>
  </si>
  <si>
    <t>DADEP, EMPRESA DE ACUEDUCTO Y ALCANTARILLADO DE BOGOTÁ, IDU, ALCALDIA LOCAL DE KENNEDY.</t>
  </si>
  <si>
    <t>Se recupere el espacio público de la Calle 40 C Sur entre Avenida Ciudad de Cali y el
Humedal Chucua La Vaca, ubicada en la ciudad de Bogotá en la localidad de Kennedy</t>
  </si>
  <si>
    <t>23/07/2015</t>
  </si>
  <si>
    <t>27/09/2021</t>
  </si>
  <si>
    <t xml:space="preserve"> Realizar las acciones pertinentes, tendientes a mejorar la salubridad pública, realizando un cerramiento, actividades y campañas de limpieza en el sector. </t>
  </si>
  <si>
    <t xml:space="preserve"> 24 de marzo de 2022, requerimiento de la dirección de gestión judicial de la secretaria jurídica distrital para el cumplimiento de la orden judicial. 
Se envia oficio de cumplimiento de fallo a Secretaria Juridica Dstrital con rad DADE No. 20221100081341 de 08 de junio de 2022, y  posteriormente con Radicado DADEP No. 20221100118381 de 09 de agosto de 2022 y Radicado DADEP No. 20221100170481 del 27/10/2022 con solicitud de modificación de las ordenes impartidas en el fallo de segunda  instancia. El 26-1-2023 se envia el proceso al Tribunal Administrativo en razon a la solicitud del DADEP de la modulación de la sentencia de segunda
instancia dictada el 9 de septiembre de 2021. AUTO de fecha 9-3-2023 Niega modulacion de sentencia, 24-3-2023 DEVOLUCION JUZGADO ORIGEN se revisa web de la rama sin novedad procesal. Auto de fecha 4 julio de 2023  resuelve : "OBEDECER Y CUMPLIR lo resuelto por el Tribunal Administrativo de Cundinamarca- Sección Primera- Subsección “B”, en providencia del 9 de marzo de 2023, que NEGÓ la solicitud de modulación del numeral 2° del fallo de segunda instancia proferido el 9 de septiembre de 2021. PRIMERO: OBEDECER Y CUMPLIR lo resuelto por el Tribunal Administrativo de Cundinamarca- Sección Primera- Subsección B, en providencia del 9 de marzo de 2023, que NEGÓ la solicitud de modulación del numeral 2° del fallo de segunda instancia proferido el 9 de septiembre de 2021. SEGUNDO: Por SECRETARIA dispóngase la entrega de los remanentes de los gastos del proceso a la parte actora si los hubiere y ARCHÍVESE el expediente dejando las constancias del caso.4-7-2023 NOTIFICACION POR ESTADO. el 2024-12-18 se allega informe por parte de SDJ. se revisa el proceso hoy 30 de enero de 2025 y no registra novedad.</t>
  </si>
  <si>
    <t xml:space="preserve"> CUMPLIMIENTO DE FALLO </t>
  </si>
  <si>
    <t>2018-00356</t>
  </si>
  <si>
    <t>JUZGADO 27 ADMINISTRATIVO D EBOGOTÁ</t>
  </si>
  <si>
    <t>ASOALSACIACTIVA</t>
  </si>
  <si>
    <t>BOGOTÁ D.C., - ALCALDIA LOCAL DE KENNEDY; SECRETARÍA DISTRITAL DE MOVILIDAD; Y DADEP</t>
  </si>
  <si>
    <t>BICI Y MOTO TAXISTAS BARRIO VILLA ALSACIA</t>
  </si>
  <si>
    <t>MOVILIDAD EN EL SECTOR POR PARTE DE LOS BICI Y MOTO TAXISTAS DEL BARRIO VILLA ALSACIA DE LA LOCALIDAD DE KENNEDY</t>
  </si>
  <si>
    <t>VILLA ALSACIA</t>
  </si>
  <si>
    <t xml:space="preserve">2022-03-15 mediante fijación en lista se incorporan pruebas documentales, el 26 de julio de 2022 se presentan alegatos de conclusión por parte del abogado de la Secretaria Jurídica Distrital,  El 10-10-2022 ingresa al despacho para sentencia, se verifica el dia 17 de enero de 2023 y conserva su ultima actuación. </t>
  </si>
  <si>
    <t>AL DESPACHO PARA SENTENCIA</t>
  </si>
  <si>
    <t>2018-00550</t>
  </si>
  <si>
    <t>JUZGADO 51 ADMINISTRATIVO  DE BOGATÁ</t>
  </si>
  <si>
    <t>CORPORACIÓN FORO CIUDADANO</t>
  </si>
  <si>
    <t>DADEP- SECRETARIA DE MOVILIDAD- ALCALDIA DE USAQUEN- SECRETARIA DE AMBIENTE- POLICIA METROPOLITANA</t>
  </si>
  <si>
    <t>CONSTRUCCIÓN DEANTEJARDINES EN LAS CALLES 118 Y 119</t>
  </si>
  <si>
    <t xml:space="preserve">MANIFIESTA EL ACCIONANTE QUE EN LOS INMUEBLES UBICADOS EN LA CALLE 119 No. 11d-17 Y CARRERA 11D No. 18a-39 CONSTRUYERON ANTEJARDINES SIN EL CUMPLIMIENTO DE LAS NORMAS URBANISTICAS </t>
  </si>
  <si>
    <t xml:space="preserve"> Se envía insumo a la Secretaria Jurídica Distrital para interponer recurso de apelación con Radicado DADEP No. 20221100029631, de fecha 14 de marzo de 2022, el 02 de mayo de 2022 se notifica por estado auto que concede recurso de apelación, estado 15/09/2022 admite recurso de apelación. 16/08/2023. Se notificó por estado auto que avocó conocimiento del proceso por parte del Despacho del MP FABIO IVÁN AFANADOR. 23/08/2023. Al Despacho . se revisa el proceso sin novedad procesal. fecha 4-4-2024. auto  notificado el 27 de enero de 2025  en el cual se resolvio OBEDECER Y CUMPLIR lo dispuesto por el Tribunal Administrativo de Cundinamarca, Sección Primera, Subsección “C”, M.P. Fabio Iván Afanador García, en la providencia del 15 de noviembre de 2024.
SEGUNDO.- VINCULAR como litisconsorte necesario por pasiva a la sociedad XOREX DE COLOMBIA S.A.S., identificada con NIT No. 830.026.811-0, conforme lo señalado.</t>
  </si>
  <si>
    <t>2018-00620
11001333502820180062001</t>
  </si>
  <si>
    <t>JUZGADO 28 ADMINISTRATIVO DE BOGOTÁ</t>
  </si>
  <si>
    <t>JUAN DE DIOS ARIAS LÓPEZ</t>
  </si>
  <si>
    <t>SOCIEDAD ALDEA DE PROYECTOS SAS</t>
  </si>
  <si>
    <t>SUSPENSION DE LA RESOLCUIÓN 375 DE 2016 POR VIOLAR LOS DERECHOS COLECTIVOS</t>
  </si>
  <si>
    <t>LAS ENTIDADES DEMANDADAS COMO CONSECUENCIA DE LAS ACTUACIONES OMISIVAS, EN CUMPLIMIENTO DE SUS FUNCIONES HAN VIOLENTADO LOS DERECHOS COLECTIVOS SOBRE LA POSIBLE AFECTACIÓN DE LAS RESERVAS VIALES EN LA ZONA EN LA QUE SE ADELANTA EL PROYECTO DE PLAN PARCIAL URBANÍSTICO " EL PEDREGAL"</t>
  </si>
  <si>
    <t>EL PEDREGAL</t>
  </si>
  <si>
    <t>2,,2313</t>
  </si>
  <si>
    <t>15/10/2020</t>
  </si>
  <si>
    <t>Sentencia favorable 1ª instancia de 15 de octubre de 2020, donde se niegan las pretensiones de la demanda, y se declaran probadas las excepciones de mérito propuestas: falta de legitimación en la causa por pasiva e inexistencia de violación de derechos colectivos. 
2021-03-23 presentación de alegatos de conclusión 2ª instancia, 2021-04-26 al despacho para sentencia 2ª instancia. Se envía por correo electrónico el fallo de primera instancia y la presentación de los alegatos de conclusión a los profesionales de la SRI Claudia Silva y Adriám Vargas, para su conocimiento el día 23 de junio de 2022. se consulta el 6 de 3 de 2023 proceso conitnua en el mismo estado. 8-6-2023 AL DESPACHO. el 3 -10-2023 ingresa al despacho para verificarse cumplimiento o a lo ordenado en auto del 22 de septiembre de 2023 22 de julio de 2024 al despacho, el 3 de febrero de 2025 proceso sin novedad</t>
  </si>
  <si>
    <t>2018-00240</t>
  </si>
  <si>
    <t>JUZGADO 25 ADMINISTRATIVO DE ORALIDAD</t>
  </si>
  <si>
    <t>CONSEJO IBEROAMERICANO DE DISEÑO, CIUDAD Y CONSTRUCCION  ACCESIBLE (CIDCCA)</t>
  </si>
  <si>
    <t>IDU- DADEP- ALCALDIA LOCAL DE TEUSQUILLO</t>
  </si>
  <si>
    <t>AFECTACIÓN DE DERECHOS COLECTIVOS -CONSTRUCCION ANDENES</t>
  </si>
  <si>
    <t>SOLCIITA EL ACCIONANTE UN ESTUDIO DE ACCESIBILIDAD PARA ANDENES DEN EL PARK WAY</t>
  </si>
  <si>
    <t>PARKWAY</t>
  </si>
  <si>
    <t>AUDIENCIA DE PRUEBAS EL 11 DE OCTUBRE DE 2018. SE SUSPENDIO AUDIENCIA DE PRUEBAS PARA PERITAJE NO SE ENCONTRÓ NESPECIALIDAD , el 24 de noviembre de 2021 se corrio traslado a las partes para que se pronuncien sobre dictamen pericial se recibieron memorales, lo anterior de acuerdo a consulta en la pagina de la rama el dia 10 de Mayo de 2022 se llevo a cabo audencia de pruebas y se corrio traslado para alegaciones finales, por parte de la SJD se presentaron alegatos el 14 de junio de 2022. auto de fecha 18 julio de 2022 auto mediante el cual niega revivir términos de ejecutoria de la decisión que fijó los honorarios del perito se adoptó en la audiencia de contradicción de dictamen de que trata el artículo 228 del Código General del Proceso.Fallo de primera instancia defecha 7 septiembre de 2022, auto de 22 septiembre de 2022 concede recurso de apelacion. EL 4-10-2022 acta reparto envio a tribunal recurso de apelacion. 15-12-2022 TAC se admite recurso de apelacion.4-10-2022 ingresa al despacho de tribunal administrativo para resolver recurso.14-6-2023 INGRESA AL DESPACHO  TRIBUNAL ADMINISTRATIVO DE CUNDINAMARCA SECCIÓN PRIMERA -SECRETARIA.  8 -8 2023 recurso de apelacion. 27-9-2023 ingresa a segunda instancia para fallo. sentencia 2 instancia 8-2-2024 se consulta web de la rama hoy 20-2-2024 y se registra como anotacion 2024-02-13	se notifica sentencia  el 9 abril de 2024 de segunda instancia confirma sentencia ordena crear un comite de seguimiento informes cada dos meses. se remite solicitud al apoderado de la SJD informando el delegado por parte de SGIEP y solicitando se requiera al IDU para conformar el comite de seguimiento. al despacho desde el mes de julio de 2024. auto de fecha 10-12-2024 OBEDÉZCASE y CÚMPLASE la sentencia proferida el 07 de febrero de 2024, por la Sección Primera - Subsección “A” del Tribunal Administrativo de Cundinamarca, que confirmó la sentencia proferida por este Juzgado el 07 de
septiembre de 2022, que accedió a la protección de los derechos colectivos, orden a CIDCCA pago a perito. Radicado DADEP No. 20241300190831 de 30-12-2024 se da respuesta a la accionante.</t>
  </si>
  <si>
    <t>2018-00264
(11001333703920180026400)</t>
  </si>
  <si>
    <t>JUZGADO 39 ADMINISTRATIVO DE  BOGOTÁ</t>
  </si>
  <si>
    <t>JONH WILLIAM  GARCIA CASTRO</t>
  </si>
  <si>
    <t>BOGOTÁ D.C., ALCALDÍA DE KENNEDY - IDU- DADEP</t>
  </si>
  <si>
    <t xml:space="preserve">SOLICITA AMPLIACIÓN DE VIAS  FRENTE A LA COPROPIEDAD SENDEROS DE CASTILLA </t>
  </si>
  <si>
    <t>SOLCIITA AMPLIACIÓN DE VIAS  FRENTE A LA COPROPIEDAD SENDEROS DE CASTILLA UPZ 43 Carrera 80D No. 7B-83</t>
  </si>
  <si>
    <t>SENDEROS DE CASTILLA</t>
  </si>
  <si>
    <t>31/01/2022</t>
  </si>
  <si>
    <t>REVÓCASE la sentencia de treinta y uno (31) de enero de dos mil
veintidós (2022) proferida por el Juzgado Treinta y Nueve Administrativo de Bogotá
D.C., por las razones expuestas en la presente providencia. 22-11-2023 Sentencia de segunda instancia. 16-01-2024  solicitud pronuniciamiento de fallo, se realizo solicitud a SRI de estado de zonas de cesión.30-05-2024 AUTO RESUELVE PETICION DE ACLARACION DE FALLO DE SEGUNDA INSTANCIA NO S4E MODULA, EN CONSECUENCIA SE REALIZA CORREO ELECTRONICO A LA SRI PARA DAR CUMPLIMIENTO AL FALLO JUDICIAL.</t>
  </si>
  <si>
    <t xml:space="preserve"> SENTENCIA DESFAVORABLE 2° INSTANCIA </t>
  </si>
  <si>
    <t>2019-00245
(11001333501020190024500</t>
  </si>
  <si>
    <t>JUZGADO 10 ADMINISTRATIVO DE BOGOTA</t>
  </si>
  <si>
    <t>MARIA ELBA RODRIGUEZ VELASQUEZ
MARTHA WILCHES GONZALEZ
MARIA CONCEPCIÓN RUIZ CAÑON
CARLOS ALIRIO SOACHA MORA
GONZALO WILHEIM WOLHMEYER GOMEZ</t>
  </si>
  <si>
    <t>BOGOTÁ, D.C. - DADEP; TRANSMILENIO; IDU; SECRETARIA DE PLANEACIÓN; SECRETARIA DE MOVILIDAD; IDIGER</t>
  </si>
  <si>
    <t>PATIOS TRASNMILENIO POR LA ALO</t>
  </si>
  <si>
    <t xml:space="preserve">  PRESUNTA VULNERACIÓN Y AGRAVIO CON OCASIÓN DEL FUNCIONAMIENTO DE PATIO TALLERES EN LA TRANSVERSAL 94 NO 80-00 Y AVENIDA CALLE 80 NO 96-08, PREDIOS ESTOS DESTINADOS PARA LA CONSTRUCCIÓN DE LA AVENIDA LONGITUDINAL  DE OCCIDENTE ALO</t>
  </si>
  <si>
    <t>PORTAL DE TRASMILENIO CALLE 80</t>
  </si>
  <si>
    <t>3900-1
1510--39</t>
  </si>
  <si>
    <t xml:space="preserve">18 de abril de 2022 contestación de demanda por parte de (TRANSMILENIO S.A.), 27/10/2022 El Despacho Judicial requiere al Fondo para la Defensa de los Derechos e Intereses Colectivos de la Defensoría del Pueblo, con el fin de que se informe sobre los tramites que se han adelantado con el objeto de publicarse el aviso ordenado en auto previo. 25-01-2024 Auto Decreto de pruebas. </t>
  </si>
  <si>
    <t>2019-00248</t>
  </si>
  <si>
    <t>JUZGADO 52 ADMINISTRATIVO DE BOGOTÁ</t>
  </si>
  <si>
    <t>JAIME DE JESUS SANTO CASTRO</t>
  </si>
  <si>
    <t>BOGOTÁ D.C., ALCALDIA LOCAL DE SUBA; SECRETARÍA DE EDUCACIÓN; DADEP; GIMNASIO PSICOPEDADGÓGICO DE SUBA</t>
  </si>
  <si>
    <t>COSNTRUCCIÓN ILEGAL GIMNASIO PSICOPEDAGÓGICO DE SUBA</t>
  </si>
  <si>
    <t xml:space="preserve">CONSTRUCCIÓN ILEGAL DEL COLEGIO PSICOPEDAGÓGICO DE SUBA UBICADO EN LA CARRERA 106 # 133A-37 SECTOR ALCAPARROS </t>
  </si>
  <si>
    <t>777</t>
  </si>
  <si>
    <t>AUDIENCIA DE PACTO DE CUMPLIMIENTO PROGRAMADA PARA EL 20 DE FEBRERO DE 2020. PRUEBAS MEDIANTE AUTO DEL  27 DE AGOSTO DE 2021 TERMINO ALEGASTOS DE CONCLUSION. SENTENCIA 18 DE AGOSTO DE 2022.MEDIANTE RADICADO 2022110127351 DEL 23-08-2022SE ENVIO A SECRETARIA JURIDICA DISTRITAL. 01-09-2022 AUTO CONCEDE RECURSO DE APELACIÓN.</t>
  </si>
  <si>
    <t>2019-00366</t>
  </si>
  <si>
    <t xml:space="preserve">MILTON RENE BERGAÑO ROMERO </t>
  </si>
  <si>
    <t>IPES- ALCALDIA DE ANTONIO NARIÑO- DADEP</t>
  </si>
  <si>
    <t xml:space="preserve">VENDEDORES DE LA AV PRIMERA DE MAYO MANIFIESTAN QUE LOS REUBICARON Y SUS NEGOCIOS NO TUVIERON ÉXITO </t>
  </si>
  <si>
    <t xml:space="preserve">VENDEDORES REUBICADOS EN EL PARQUE CENTRO EDUCATIVO CED CENTENARIO </t>
  </si>
  <si>
    <t>Marzo 28 de 2022 notifica por estado auto que niega pruebas e integración de litisconsorte necesario y requiere al IPES por el termino de 5 días, requiere al juzgado 68 c.m. por termino de 5 días para que allegue copia de la acción de tutela, anexos, fallo de primera y segunda instancia n°11001400306820160111500, donde el accionante es el señor Milton Rene Bergaño. el 4 de abril de 2022 el IPES allegó respuesta a requerimiento del despacho, octubre 12 de 2022 notifica por estado auto que ordena correr traslado del recurso presentado el 31 de agosto de 2022.  auto de fecha 27 enero de 2023 no repone y requiere al ipes. el ipes allega memorial al despacho el 18 -12-2023, proceso actualmente en secretaria se revisa hoy 4-4-2024. 17/08/2023. Se notifica por estado auto que no repone y requiere. 23/08/2023. Memorial del IPES solicitando aclaración del auto. 15/07/2024. Renuncia poder por parte del abogado del IPES</t>
  </si>
  <si>
    <t xml:space="preserve"> PRUEBAS</t>
  </si>
  <si>
    <t>2019-00416
11001333502020190041600</t>
  </si>
  <si>
    <t>JUZGADO 20 ADMINISTRATIVO DE BOGOTÁ</t>
  </si>
  <si>
    <t>NELCY HERNADEZ CARRILLO</t>
  </si>
  <si>
    <t>BOGOTÁ D.C., DADEP
DIRECCION DE TRNASITO Y TRASPORTE DE BOGOTA</t>
  </si>
  <si>
    <t>PARQUEO DE AUTOMOTORES EN EL BARRIO MINUTO DE DIOS</t>
  </si>
  <si>
    <t>RESIDENTES DEL BARRIO MINUTO DE DIOS MANIFIESTAN QUE EN ENTRE LA CARRERA 73 Y 73 BIS Y LA CALLE 81   CALLE 81B</t>
  </si>
  <si>
    <t xml:space="preserve">MINUTO DE DIOS </t>
  </si>
  <si>
    <t>POR VERIFICAR</t>
  </si>
  <si>
    <t>Exhortar a la Policía Nacional – Metropolitana de Bogotá, al Distrito
Capital – Secretaría Distrital de Movilidad y Departamento Administrativo de la
Defensoría del Espacio Público y a la Corporación Universitaria Minuto de Dios a
que, una vez retorne a la normalidad presencial la actividad académica y
administrativa de la precitada institución, se mantengan las actividades que se han
desplegado tanto policivas, administrativas e institucionales para evitar que se
vuelva a presentar la obstrucción al espacio público que dio origen a la presente
acción.</t>
  </si>
  <si>
    <t>El 19 de mayo de 2022 se envía un correo a SAI solicitando una visita sobre el sector, el 24 de mayo SAI contesta el correo manifestando:
En diciembre de 2021, se envía una solicitud a la alcaldía Local de Engativá a fin de que se diera cumplimiento al fallo.  
El 25 de febrero de 2022, la Alcaldía Local de Engativá radica citación para mesa de trabajo, llevada a cabo el día 1 de marzo de 2022, mesa donde asistió la Alcaldía Local, la Universidad Minuto de Dios, Secretaria Distrital de Movilidad, Policía Nacional, Policía de Tránsito y el DADEP.  
El 22 de marzo, la Alcaldía Local, radicó solicitud de acompañamiento a operativos y cronograma de operativos de acuerdo a los compromisos de la mesa de trabajo.  
El día 28 de marzo se realizó el primer operativo en él sector.   Es importante señalar que para el día 27 de mayo a las 2:30 de la tarde se realizara el segundo operativo.  
El 26 de mayo se envía un correo a la abogada de secretaria jurídica distrital poniendo en conocimiento las actividades desarrolladas y solicitando seguir realizando las actividades pertinentes junto con las demás entidades, para darle el respectivo cumplimiento al fallo. 18-1-2023 ARCHIVO DEFINITIVO (web rama)</t>
  </si>
  <si>
    <t xml:space="preserve">
SENTENCIA FAVORABLE 1ª INSTANCIA</t>
  </si>
  <si>
    <t>(2019-01009)
2500023410002019100900</t>
  </si>
  <si>
    <t>TRIBUNAL ADMINISTRATIVO DE CUNDINAMARCA - SECCIÓN PRIMERA- SUBSECCIÓN "B"</t>
  </si>
  <si>
    <t>EFRAIN OLARTE
HORACIO LÓPEZ
LUCIA ORJUELA 
ANA BEATRIZ CEPEDA
GILMA MAHECHA
ANDRA PAOLA NIETO</t>
  </si>
  <si>
    <t>DADEP; SECRETARIA INTEGRACION SOCIAL; SECRETARIA DE GOBIERNO; SECRETARÍA DE SEGURIDAD; PRESIDENCIA DE LA REPÚBLICA; MIGRACIÓN COLOMBIA, MNISTERIO RELACIONES EXTERIORES</t>
  </si>
  <si>
    <t>VENEZOLANOS EN EL BARRIO CIUDAD SALITRE DE BOGOTA</t>
  </si>
  <si>
    <t xml:space="preserve">REPRESENTANTES DE LOS CONJUNTOS RESIDENCIALES ALCALA, ALAMEIRA, ALTAGRACIA, ATICOS DE SALITRE, PUERTO BAHÍA DE CIUDAD SALITRE, SOLICITAN NORMALIZAR LA SITUACIÓN DE VENEZOLANOS EN EL SECTR DEBIDO A QUE PONEN EN RIESGO DERECHOS COLECTIVOS </t>
  </si>
  <si>
    <t>CIUDAD SALITRE</t>
  </si>
  <si>
    <t>El veintiséis (26) de abril dos mil veintidós (2022) auto que ordena.Por Secretaría ofíciese a la Alcaldía Mayor de Bogotá para que dentro del término de diez (10) días contados a partir que reciban la correspondiente comunicación alleguen con destino al proceso un informe de las actuaciones realizadas en Ciudad salitre y los barrios aledaños al Terminal de Transporte en el cual se indique sí la ciudad de Bogotá está preparada para afrontar una crisis humanitaria originada en la migración de venezolanos para el año 2020. El 09 de junio del 2022 ingresa al despacho  informando que se dio cumplimiento a lo ordenado en auto de fecha 26 de abril de 2022. A folio 516 del proceso, obra informe  dando cumplimiento a lo ordenado en el citado auto. Estado de 28 de junio de 2022 rechaza recurso de reposición contra auto del 25 de noviembre de 2021 por el cual decretaron las pruebas del proceso. el 20-9-2022 ingresa al despacho ( sin novedad procesal hoy 28-6-023)</t>
  </si>
  <si>
    <t>2022-00150
11001333501220220015000</t>
  </si>
  <si>
    <t>24/05/2022</t>
  </si>
  <si>
    <t>JUZGADO 12 ADMINISTRATIVO DE BOGOTÁ</t>
  </si>
  <si>
    <t>ANYURY DANIELA VILLAMIL ARTEAGA</t>
  </si>
  <si>
    <t>BOGOTA DISTRITO CAPITAL, ALCALDIA MAYOR DE BOGOTA, DEFENSORIA DEL ESPACIO PUBLICO,INSTITUTO PARA LA ECONOMIA SOCIAL (IPES),INSTITUTO DISRITAL DE PATRIMONIO CULTURAL (IDPC), ALCALDIA LOCAL ANTONIO NARIÑO</t>
  </si>
  <si>
    <t>AFECTACIÓN DE DERECHOS COLECTIVOS - ESPACIO PÚBLICO</t>
  </si>
  <si>
    <t>RESTAURACION, CONSERVACION DEL INMUEBLE CED CENTANARIO EN DEFENSA DEL PATRIMONIO CULTURAL CED SAN ANTONIO LOCALIDAD ANTONIO NARIÑO</t>
  </si>
  <si>
    <t>2-318</t>
  </si>
  <si>
    <t>El veinticuatro  (24) Mayo  dos mil veintidós (2022) auto que ordena.Por Secretaría ofíciese a la Alcaldía Mayor de Bogotá y demas entidades accionadas p CORRER traslado del libelo a las entidades demandadas por el término de diez (10) días, de conformidad con lo señalado en el artículo 22 de la Ley 472 de 1998. se da contestacion a la soliitud de publicacion en la web de las entidades accionandas y vinculadas, revisada la web de la rama judicial entra el despacho el 12/07/2022. Auto fija fecha de pacto de cumplimiento para el dia 3 de octubre de 2022 10:00 am. Declaracion fallida Audiencia Pacto de Cumplimiento. 10-10-2022 se radica memoriales por parte de la SJD.5-12-2022 recibe memoriales. auto de fecha 31-3-2023 se niega amparo de pobreza y se decreta un peritazgo al inmbueble a cargo del Instituto Distrital de Patrimonio Cultural. Auto de fecha 15-12-2023  solicita peritazgo otorga 30 dias ordena a Bogota D.C.  20 -5-2024 AL DESPACHO. reunion SJD el 4 de febrero de 2025</t>
  </si>
  <si>
    <t>2013-00912
11001333501020130091200</t>
  </si>
  <si>
    <t>18/12/2013</t>
  </si>
  <si>
    <t>JUZGADO 010 ADMINISTRATIVO DE LA SECCIÓN SEGUNDA DE BOGOTÁ (BOGOTÁ)</t>
  </si>
  <si>
    <t>RICARDO MARIA CAÑON PRIETO</t>
  </si>
  <si>
    <t>BOGOTA DISTRITO CAPITAL, ALCALDIA MAYOR DE BOGOTA, ALCALDIA LOCAL DE SUBA- CITY PARKING S.A, DEFENSORIA DEL ESPACIO PUBLICO,PARQUES FUNERARIAS S.A.S</t>
  </si>
  <si>
    <t>Restitución de los predios ubicados en la Carrera 45 No. 207-45, que componen
el Cementerio Jardines del Recuerdo</t>
  </si>
  <si>
    <t>LOCALIDAD DE SUBA</t>
  </si>
  <si>
    <t>POR VEIRIFICAR</t>
  </si>
  <si>
    <t>16/06/2022</t>
  </si>
  <si>
    <t xml:space="preserve"> Sentencia de primera instancia  del 16/06/2022 ordena la restitucion de las zonas de cesion,, se requirio a SRI Y SAI a fin de recibir insumos e impugnar el fallo, se debe interponer recurso el Miercoles 22 de Junio  se envio recurso de apelacion aL apoderado de la SJD en termino, mediante auto de fecha 7 julio de 2022 se profiere por parte del despacho auto negando la solcitud de aclaracion de fallo incoada por el apoderado de parques y funeraras S.A.S Auto de fech 14 julio de 2022concede apelacion y  odena remitir al Tribunal Administrativo de Cundinamarca Seccion primera. se proyectaron memorandos a SAI y a SRI para proceder con el cumplimiento de la sentencia de primera instancia, pendiente reunion con SJD. EL  dia 27 septiembre de 2022  se presentaron alegaciones de conclusion. Ingresa al despacho el 6-10-2022. ( se registra sin novedad procesal el 28-6-2023) el 27-10-2023 se niega la solicitud de aclaracion  de sentencia. 60 dias para la entrega de las zonas de cesion. SE NOTIFICO EL PROCESO EL 14-11-2023 ejecutoria el 17-11-2023. se remite memorando SRI 20241300012783 de fecha 12-2-2024 solicitando informes sobre el cumplimiento de la sentencia. el 28-2-2023 se remite informe de SDP solicitando acciones a seguir por parte de SRI. 06-06-2024 MESA DE TRABAJO INTERINSTITUCIONAL PROGRAMADA POR LA SECRETARIA JURIDICA DISTRITAL. 27-06-2024 REMISION INFORME TÉCNICO A LA SECRETARIA JURIDICA DISTRITAL, REMITIDO POR LA SRI. 3 JUNIO DE 2024 AL DESPACHO INFORME DE CUMPLIMIENTO. MESA DE TRABAJO PROGRAMADA PARA EL PROXIMO 31 JULIO DE 2024 A LAS 2:00PM. Orfeo 20241300109651 de fecha 5-8-2024 se solicita a SJD modulacion de fallo por dificultad en el cumplimiento.</t>
  </si>
  <si>
    <t>2021-000225</t>
  </si>
  <si>
    <t>JUZGADO 23 ADMINISTRATIVO DE ORALIDAD</t>
  </si>
  <si>
    <t xml:space="preserve">ARGEMIRO ORDONEZ MARROQUIN  Y OTROS </t>
  </si>
  <si>
    <t>DADEP, ALCALDIA LOCAL DE SUBA, SECRETARIA DE GOBIERNO, PONAL</t>
  </si>
  <si>
    <t>INDEBIDA OCUPACION DE ESPACIO PÚBLICO</t>
  </si>
  <si>
    <t>SOLICITA LA PROTECCIÓN DE LOS DERECHOS COLECTIVOS CONCULCADOS ESTABLECIDOS EN EL ARTÍCULO 4 DE LA LEY 472 DE 1988 LITERALES A, D, E, G, I, N Y A LOS DEMÁS QUE BAJO EL BUEN JUICIO DEL JUZGADOR HAYA LUGAR, TENIENDO EN CUENTA QUE DESDE HACE APROXIMADAMENTE 15 AÑOS EL SECTOR QUE COMPRENDE LA CARRERA 126 A ENTRE CALLES 137 Y 139 HA SIDO OCUPADO DE MANERA IRREGULAR Y ARBITRARIA POR COMERCIO INFORMAL ESTACIONARIO Y SEMIESTACIONARIO QUE HA CONSISTIDO HASTA LA FECHA EN ASENTAMIENTOS DE CARRERAS DE MERCANCÍAS INFORMALES SOBRE LAS CALLES Y ACERAS DESTINADAS PARA EL TRANSITO DE VEHÍCULOS Y PEATONES, OCUPACIÓN EJERCIDA POR EL COMERCIO INFORMAL QUE AFECTA LOS DERECHOS COLECTIVOS DE VECINOS RESIDENTES Y COMERCIANTES FORMALES DEL SECTOR.</t>
  </si>
  <si>
    <t>Se remitio informe 20211100117781. 19 DE DICIEMBRE DE 2024 DECLARA FALTA DE COMPETENCIA FUNCIONAL.</t>
  </si>
  <si>
    <t>2019-00187
11001333502720190018700</t>
  </si>
  <si>
    <t>24/05/19</t>
  </si>
  <si>
    <t>JUZGADO 27 ADMINISTRATIVO DE BOGOTÁ</t>
  </si>
  <si>
    <t xml:space="preserve">SERGIO ANDRES BELLO MAYORGA </t>
  </si>
  <si>
    <t>BOGOTÁ D.C.,  ALCALDÍA DE SUBA - DADEPQBO CONSTRUCTORES - BELLMONTE S.A. - CONVIVINEDA SAS - CERROS VERDES SAS</t>
  </si>
  <si>
    <t>CONJUNTO RESIDENCIAL BOSQUE VERDE I ETAPA PH</t>
  </si>
  <si>
    <t>SOLICITA SE ORDENE AL RESPONSABLE DEL PROYECTO ARQUITECTÓNICO CONJUNTO RESIDENCIAL BOSQUE VERDE 1 ETAPA PH , SEGÚN EL TEXTO DE LA LICENCIA DE CONSTRUCCIÓN, CUMPLIR CON SU OBLIGACIÓN DE HACER EFECTIVAS LAS GARANTÍAS, OTORGADAS ACCEDIENDO A LA EJECUCIÓN DE LAS OBRAS REQUERIDAS PARA EVITAR EL DAÑO OCASIONADO POR LA VULNERACIÓN DE LOS DERECHOS COLECTIVOS QUE SE PROTEGEN POR MEDIO DE LA ACCIÓN POPULAR</t>
  </si>
  <si>
    <t>BOSQUE VERDE ETAPA I</t>
  </si>
  <si>
    <t xml:space="preserve">El proceso se encuentra en etapa de pruebas, se dio apertura a esta etapa probatoria el 6 de mayo de 2021 en audiencia. 30/08/2022. Se notificó por estado auto que corrió traslado de alegatos. 01/06/2023. Al despacho para sentencia de primera instancia </t>
  </si>
  <si>
    <t xml:space="preserve">PARA SENTENCIA DE PRIMERA INSTANCIA </t>
  </si>
  <si>
    <t>2019-00213
11001333502420190021300</t>
  </si>
  <si>
    <t>27/05/19</t>
  </si>
  <si>
    <t>JUZGADO 24 ADMINISTRATIVO DE BOGOTA</t>
  </si>
  <si>
    <t>LUIS FRNACISCO MORENO
RAUL GARCÍA CARREÑO</t>
  </si>
  <si>
    <t xml:space="preserve">BOGOTÁ, D.C. - ALCALDIA PUENTE ARANDA- SECRETARIA DE GOBIERNO- DADEP- SECRETARIA DE AMBIENTE- SECRETARIA DE MOVILIDAD- IDU - SDP-POLICÍA NACIONAL </t>
  </si>
  <si>
    <t xml:space="preserve">Invación de espacio público por los talleres de mecánica automotriz ubicados en la avenida Carrera 50 entre la Avenida de las Américas y la Avenida Tercera </t>
  </si>
  <si>
    <t> SOLICITA SE DECLARE VULNERADO LOS DERECHOS COLECTIVOS AL ESPACIO PUBLICO, UTILIZACIÓN Y DEFENSA DE LOS BIENES DE USO PUBLICO DE LOS HABITANTES DEL SECTOR DE LA CARRERA 50 ENTRE CALLE 3 Y AVENIDA DE LAS AMÉRICAS DONDE SE ENCUENTRAN UBICADOS LOS BARRIOS COLON, SORRENTO , SAN RAFAEL ARPA Y LIRA , BARCELONA , BRASILIA , NUEVA PRIMAVERA LA FRANCIA Y SAN FRANCISCO</t>
  </si>
  <si>
    <t>23/05/2024</t>
  </si>
  <si>
    <t>Hacer parte del Comité de Verificación</t>
  </si>
  <si>
    <t xml:space="preserve"> Se presentaron alegatos el 15/06/2021. Sentencia desfavorable del 10/12/2021. Se interpone recurso de apelación el 16/12/2021. Se envía al tribunal en aplación el 18-01-2022 y entra al despacho el 22 de marzo de 2022. 15/11/2022. Se notificó por estado auto que admitió recurso de apelación. 14/02/2023. Se notificó por estado auto que corrió traslado para alegatos de conclusión. 21/02/2023. Alegatos por la Secretaría Jurídica Distrital. 23/02/2023. Al Despacho para sentencia de segunda instancia. 25/05/2024. Sentencia de segunda instancia que confirmó decisión de primera instancia y ordenó al DADEP  hacer parte del Comité  de Verificación</t>
  </si>
  <si>
    <t xml:space="preserve">PARA CUMPLIR SENTENCIA </t>
  </si>
  <si>
    <t>2019-00291
(11001333400320190029100)</t>
  </si>
  <si>
    <t>JUZGADO 3 ADMINISTRATIVO DE BOGOTA</t>
  </si>
  <si>
    <t>FELIX ARTURO PALACIOS ARENA</t>
  </si>
  <si>
    <t>BOGOTÁ D.C.</t>
  </si>
  <si>
    <t xml:space="preserve"> DECRETO 552 DE 2018 
(MARCO REGULATORIO  DE APROVECHAMIENTO ECONÓMICO DEL ESPACIO PÚBLICO )</t>
  </si>
  <si>
    <t>SOLICITA SE DECLARE LA NULIDAD DEL DECRETO 552 DE 2018 (MARCO REGULATORIO  DE APROVECHAMIENTO ECONÓMICO DEL ESPACIO PÚBLICO )</t>
  </si>
  <si>
    <t xml:space="preserve"> Se profiere auto que admite la cuadyuvanza el 2021-05-28 . 25/04/2022. Se decreta la acumulación del proceso 2019-00020. 09/02/2023, Se remite expediente al Juzgado 68 Administrativo de Bogotá. 18/03/2024. ACUERDO No. CSJBTA24-36 18/03/24 dispuso la suspensión de términos</t>
  </si>
  <si>
    <t xml:space="preserve">PARA AVOCAR CONOCIMIENTO </t>
  </si>
  <si>
    <t>2022-00130
11001334205120220013000</t>
  </si>
  <si>
    <t>26/04/2022</t>
  </si>
  <si>
    <t>JUZGADO 51  ADMINISTRATIVO DEL CIRCUITO DE BOGOTA</t>
  </si>
  <si>
    <t>GONZALO PUERTA NUÑEZ</t>
  </si>
  <si>
    <t>ALCALDÍA LOCAL DE KENNEDY- DADEP</t>
  </si>
  <si>
    <t xml:space="preserve">PRIVATIZACIÓN Y APROVECHAMIENTO ECONÓMICO ILEGAL DE LA BAHÍA DEL ESTACIONAMIENTO PUBLICO CON LA NOMENCLATURA CALLE 8 A BIS 79C – 46, EN EL BARRIO CASTILLA.  </t>
  </si>
  <si>
    <t>2330-63</t>
  </si>
  <si>
    <t>2016-00018</t>
  </si>
  <si>
    <t>CONJUNTO RESIDENCIAL COLINA DEL NORTE LOTE 3</t>
  </si>
  <si>
    <t>ALCALDIA MAYOR DE BOGOTA; ALCALDIA LOCAL DE USAQUEN; CURADURIA URBANA No. 4; PROMOTORA CONVIVIENDA SAS,; SOCIEDAD HORIZONTE FINCA RAÍZ LTDA, EN LIQUIDACION, DE ESTA ULTIMA ENARE INVESTEMENTS, KAMSACK INVESTEMENTS, NERA INVESTEMENTS</t>
  </si>
  <si>
    <t>HORIZONTES</t>
  </si>
  <si>
    <t>URBANIZACION HORIZONTES</t>
  </si>
  <si>
    <t>SEGUIMIENTO PROCESAL: DADEP INFORMA AL DESPACHO QUE EL ESPACIO PUBLICO Y MANIFESTO QUE EL URBANIZADOR NO HA CUMPLIDO</t>
  </si>
  <si>
    <t>2018-00509</t>
  </si>
  <si>
    <t>FERNANDO ALBERTO SPINEL GÓMEZ</t>
  </si>
  <si>
    <t>ALCALDIA DE SUBA - DADEP</t>
  </si>
  <si>
    <t>PROTECCION DERECHOS COLECTIVOS, POR ESPACIO PÚBLICO EN LACARRERA 59 # 128-47 POR PARTE DEL ESTABLECIMIENTO PIZZERIA DA QUEI MATTI</t>
  </si>
  <si>
    <r>
      <t xml:space="preserve">POSIBLE INVASION DEL ESPACIO PUBLICO DEL ESTABLECIMIENTO </t>
    </r>
    <r>
      <rPr>
        <i/>
        <sz val="9"/>
        <rFont val="Century Gothic"/>
        <family val="2"/>
      </rPr>
      <t>"PIZZERIA DA QUEI MATTI"</t>
    </r>
  </si>
  <si>
    <t>LAS VILLAS - CARRERA 58 # 128-47</t>
  </si>
  <si>
    <t>El 06/07/2020 se profere fallo que indica:  AMPARAR el derecho colectivo al goce del espacio público y la utilización y defensa de los bienes de uso público y ORDENA a BOGOTÁ DISTRITO CAPITAL – ALCALDÍA LOCAL DE SUBA, para que en el término improrrogable de sesenta (60) días contados a partir de la notificación de este fallo determine las infracciones a las normas urbanísticas y del espacio público por parte del propietario del establecimiento de comercio Pizzería Da Quei Matti Forno y Legna, y, adelante las gestiones administrativas, policivas y sancionatorias que haya lugar. Sentencia proferida el 06/07/2020 confirmada por el Tribunal Administrativo de Cundinamarca Sección Primera -Subsección B del 2 de marzo de 2023. Auto del 26/10/2023 requiere a la Alcaldia Local de Suba para que de cumplimiento definitivo del fallo sopena de iniciar incidente de desacato, concede un termino de 5 días.26-10-2023 Auto requiere ALS. 10-11-2023 Auto requiere nuevamente Alcaldia Local de Suba, otorga 5 días.El 08/07/2020 se interpone recurso de apelacion contra la sentencia proferidada.El 20/08/2020 se concede el recurso de apelacion 19/08/2021 se admite recurso de apelacion   12/10//2021 se presentan alegatos de segunda instancia. 2023-02-03	SENTENCIA EJECUTORIADA DESFAVORABLE 2ª INSTANCIA.- 2023-07-17.- AUTO DE OBEDEZCASE Y CUMPLASE.- 2023-07-24 CONTESTACIÓN DEL INCIDENTE.- 2023-08-16 AUTO DE TRAMITE.- 2023-09-13 AUTO QUE ORDENA REQUERIR.- 2023-11-10 AUTO QUE ADMITE INCIDENTE DE DESACATO.- 2023-12-04AUTO DE REQUERIMIENTO PREVIO AL INCIDENTE DE DESACATO.-  2023-12-12 PRESENTACIÓN DE MEMORIAL.- 2024-01-23 TRASLADO.- 2024-01-30 PRESENTACIÓN DE INFORMES. 01-11-2024 INCIDENTE DESACATO ALCALDIA LOCAL DE SUBA. AUTO 20 DE SEPTIEMBRE DE 2024 REQUIERE ALCALDIA LOCAL DE SUBA.</t>
  </si>
  <si>
    <t>2018-00082
(11001333704420180008200)</t>
  </si>
  <si>
    <t>DIANA CAROLINA DIAZ CASTILLO Y OTROS</t>
  </si>
  <si>
    <t>BOGOTÁ, D.C., DADEP- SECRETARIA DISTRITAL DE PLANEACIÓN Y OTROS</t>
  </si>
  <si>
    <t>CONJUNTO LIMONAR PARQUE RESIDENCIAL</t>
  </si>
  <si>
    <t>SOLICITA SE DECLARE QUE HAN SIDO VIOLADOS LOS DERECHOS COLECTIVOS AL ACCESO A LA INFRAESTRUCTURA DE SERVICIOS QUE GARANTICE LA SALUBRIDAD PUBLICA Y AL GOCE DE UN AMBIENTE SANO DERECHOS QUE SE ESTIMAN INFRINGIDOS DEBIDO AL ESTADO EN EL QUE A LA FECHA SE ENCUENTRAN EN LA VIA PUBLICA UBICADA EN LA AV BOYACA HASTA LA CARRERA 76 CASA BLANCA DE SUBA , LA CALLE 146 F HASTA LA CALLE 147 Y LA APERTURA DE LA VIA 73 B DESDE LA CALLE 146 F HASTA LA CALLE 152 VIAS QUE NO HAN SIDO POSIBLE QUE LAS INTERVENGAN Y EL DETERIORO DE LAS MISMAS ESTA PONIENDO EN RIESGO Y PELIGRO A LOS HABITANTES Y TRANSEUNTES DE LA ZONA</t>
  </si>
  <si>
    <t>CASABLANCA SUBA</t>
  </si>
  <si>
    <t>2017-10-11 CONTESTACIÓN DE LA DEMANDA.  2018-02-06 AUDIENCIA PACTO DE CUMPLIMIENTO. 018-03-01 AUDIENCIA PACTO DE CUMPLIMIENTO. 2018-08-16	 SUSPENSIÓN DE AUDIENCIA. 18-10-01 AUTO QUE ORDENA VINCULACION AL PROCESO. 2018-10-23. CONTESTACIÓN DE LA DEMANDA. 2018-10-26	 TRASLADO EXCEPCIONES. 2018-11-09	 	AUTO QUE FIJA FECHA PARA PACTO DE CUMPLIMIENTO. 2019-06-10 AUTO QUE DECRETA PRUEBAS. 2021-02-26	AUTO QUE DESIGNA PERITO. MARZO 22 DE 2022 NOTIFICA POR ESTADO AUTO QUE REQUIERE AL DTE Y DDA PARA QUE EN TERMINO 3 DÍAS CANCELEN GASTOS DE PERITO . Se allega al despacho cancelación de gastos de peritaje en representación de la Secretaría Distrital de Planeación y DADEP por valor de $40.000 en cumplimiento de requerimiento judicial de fecha 18 de marzo de 2022. 22 de marzo de 2022, se reconoce personería juridica a Paola y resuelve : ORDENAR a la parte demandante y la parte demandada que atiendan los gastos que demanda el trabajo encomendado a la auxiliar de la justicia, la Ingeniera Civil Margarita Rosa Pardo Restrepo, por lo cual deberán en el terminó de tres (3) días consignar la suma de $ 400.000 divididos entre las partes 23 DE MARZO DE 2022, RECIBE MEMORIALES De: Alvaro Camilo Bernate Navarro.Consignación Perito por parte de la S.D Planeación y DADEP - 29 de marzo de 2022. 2023-04-08 PRIMERO: REQUERIR a la Ingeniera Margarita Rosa Pardo Restrepo, como auxiliar de la justicia, designada por este despacho mediante diligencia de posesión de perito del 21 de septiembre de 2021 (Folio 301), para que rinda informe de las gestiones adelantas para la experticia técnica de la presente acción popular, en el término de diez (10) días, contadas a partir de la notificación de la presente providencia. SEGUNDO: RECONOCER personería para actuar al Doctor Germán Darío Hernández Moreno identificado con la CC. No. 79.837.177 de Bogotá y Tarjeta Profesional No. 121.580 del C.S.J, de conformidad con el poder especial conferido y visible en el folio No. 337, del cuaderno No. 05, en calidad de apoderado de la Empresa de Acueducto y Alcantarillado de Bogotá ESP., previa verificación de antecedentes. TERCERO: Efectuado lo anterior, ingrese el expediente al Despacho para lo pertinente.recibe memoriales de german darío hernandez aportando poder y gastos periciales"El Juzgado pone en conocimiento de la partes el dictamen pericial y dispone que su contradicción se realizará mediante audiencia.SEPTIEMBRE 27 DE 2022 NOTIFICA POR ESTADO AUTO QUE FIJA FECHA PARA CELEBRACIÓN DE AUDIENCIA DE CONTRADICCIÓN DE DICTAMEN PERICIAL. CITA A LA PROFESIONAL ESPECIALIZADA PARA QUE COMPAREZCA PARA NOVIEMBRE 3 DE 2022 A LAS 2:30 P.M. Celebración de audiencia de pruebas, diactamen pericial. Fija nueva fecha para ampliación del dictamen para el 16 de febrero de 2023 a las 2:00 pm.CLARACIÓN DEL DICTAMEN PERICIAL. SE DECRETA PRUEBA DE OFICIO, QUE DEBERÁ SER ALLEGADA DENTRO DE LOS 5 DÍAS SIGUIENTES POR EL DAPEP. Se realiza audiencia de aclaración de dictámen pericial. Por parte del DADEP se allegará concepto técnico respecto a las zonas de cesión entregadas por las constructoras dentro de la zona objeto de litigio, plazo cinco (5) días. Se anexa acta. Se allega Estudio Técnico realizado por el DADEP con relación a cesiónes realizadas a Bogotá por parte de las constructoras relacionadas con la zona objeto de acción.El 13 de marzo ingresó al despacho con concepto técnico y solicitud de la parte demandante.31-07-2024 No repuso el auto del 13/12/2024. Corre traslado a las partes por tres días del concpeto técnico emitido por el DADEP, en el que se indican las zonas entregadas por  parte de las urbanizadoras y constructoras. De conformidad con el auto proferido el 31 de julio de 2024 dentro del medio de control con radicado No. 11001 33 37 044 2018 00082 00 por el Juzgado Cuarenta y Cuatro Administrativo Oral del Circuito de Bogotá correspondiente a la acción popular instaurada
por Diana Carolina Castro y otros contra el Departamento Administrativo de Planeación en
el que se dispuso lo siguiente:
(…) TERCERO: CORRER TRASLADO a las partes por tres (3) días del concepto técnico
rendido por el Departamento Administrativo de la Defensoría del Espacio Público –DADEPen el que se indican las zonas entregadas por parte de las urbanizadoras y constructoras
obrantes en CD que reposas a folio 432 del Cuaderno5 del Expediente digital, de conformidad
con las previsiones del artículo 277 del Código General del Proceso. (…). 24-09-2024 Alegatos de conclusión apoderado Alvaro Camilo Bernate.</t>
  </si>
  <si>
    <t xml:space="preserve">PRUEBAS </t>
  </si>
  <si>
    <t>JUZGADO 44 ADMINISTRATIVO DE ORALIDAD DE BOGOTA</t>
  </si>
  <si>
    <t>CONJUNTO RESIDENCIAL LIMONAR PARQUE PH</t>
  </si>
  <si>
    <t>BOGOTA D.C., -ALCALDIA MAYOOR DE BOGOTA, DADEP, IDU, , SDP</t>
  </si>
  <si>
    <t>ACCESO A INFRAESTRUCTURA EN LA VIA PUBLICA DE LA AV BOYACÁ  CASA BLANCA  NO ESTAN NTERVENIDAS Y OCASIONA VULNERACION DE DERECHOS</t>
  </si>
  <si>
    <t>NO INTERVENCION EN LAS VÍAS DE LA  AVENIDA BOYACA HASTA LA CARRERA 76 - CASA BLANCA DE SUBA- LA CALLE 146 F HASTA LA CALLE 147 Y LA APERTURA DE LA VIA CARRERA 73 B DESDE LA CALLE 146 F HASTA LA CALLE 152, con nomenclatura actual CARRERA 73 B N° 146 F 50 de la ciudad de Bogotá</t>
  </si>
  <si>
    <t xml:space="preserve">LIMONAR PARQEU RESIDENCIAL </t>
  </si>
  <si>
    <t>DEMANDA CONTESTADA Y ADMITIDA. ORDENA VINCULAR A LA URBANIZADORA SANTA FE DE BOGOTA URBANA S.A., A LA CONSTRUCTORA TORRES DE GRANADA SAS Y AL DADEP 1100133 044 A.
DADEP allega directamente a Juzgado respuesta a oficio radicado 2019-400-008898-2 Constructora Nueva Granada, referente a la solicitud e información de trámite para entrega de zonas de cesió</t>
  </si>
  <si>
    <t>2019-00245</t>
  </si>
  <si>
    <t>JUZGADO 10 ADMINISTRATIVO DE ORALIDAD DE BOGOTA</t>
  </si>
  <si>
    <t>MARIA ELBA RODRIGUEZ VELAZ</t>
  </si>
  <si>
    <t>MARIA ELVA RODRIGUEZ VELAZQUEZ Y OTROS</t>
  </si>
  <si>
    <t>PATIO TALLER DE SITP EN ZONA DE CESIÓN AVENIDA LONGITUDINAL DE OCCIDENTE</t>
  </si>
  <si>
    <t>DETERMINAR SI BOGOTÁ DC A TRAVÉS DEL SECRETARÍA DISTRITAL DE MOVILIDAD, LA SECRETARIA DISTRITAL DE PLANEACIÓN O EL DADEP, HAN VULNERADO O PUESTO EN PELIGRO DERECHOS O INTERESES COLECTIVOS, CON MOTIVO DE LA PUESTA EN FUNCIONAMIENTO DE LOS PATIOS TRANSITORIOS DEL SISTEMA INTEGRADO DE TRANSPORTE PÚBLICO SITP, EN PREDIOS QUE SON DE RESERVA VIAL PARA LA CONSTRUCCIÓN DE LA AVENIDA LONGITUDINAL DE OCCIDENTE ALO.</t>
  </si>
  <si>
    <t>AVENIDA LONGITUDINAL DE OCCIDENTE</t>
  </si>
  <si>
    <t>1510-39</t>
  </si>
  <si>
    <t>EL 2019-07-23 SE CONTESTO LA DEMANDA Y SE PROPUSIERON MEDIOS EXCEPTIVOS POR PARTE DEL DISTRITO CAPITAL. 24-02-2022 AUTO QUE RESUELVE RECURSO DE REPOSICIÓN. 2022-02-24 AUTO QUE NIEGA RECURSO. 2022-12-28 AUTO DE TRAMITE. 2023-05-12 PRESENTACIÓN MEMORIAL TRASMILENIO ORDEN IMPARTIDA POR EL JUZGADO CON CONSTANCIA DE PUBLICACIÓN DIARIO DE AMPLIA CIRCULACIÓN. 2023-07-13 AUTO QUE INADMITE COADYUVANCIA. 2023-08-03 AUTO QUE FIJA FECHA DE AUDIENCIA DE PACTO DE CUMPLIMIENTO. 03-10-2023 AUDIENCIA DE PACTO DE CUMPLIMIENTO FALLIDA. 25-01-2024  AUTO DE PRUEBAS OFIICAR A SDA Y DE MOVILIDAD SOLICITUD DE VISITA TÉCNICA.</t>
  </si>
  <si>
    <t xml:space="preserve">PACTO DE CUMPLIMIENTO </t>
  </si>
  <si>
    <t>2022-00190</t>
  </si>
  <si>
    <t>18/07/2022</t>
  </si>
  <si>
    <t xml:space="preserve">JUZGADO SESENTA 64
ADMINISTRATIVO DE ORALIDAD DEL CIRCUITO </t>
  </si>
  <si>
    <t>Luz Dary Vela Moreno Anais Florez Guerrero Rosalba Pinzón Moreno Santos Miguel Rojas Ruiz</t>
  </si>
  <si>
    <t>Distrito de Bogotá- Secretaría de GobiernoAlcaldía Local de Usaquén, Junta de Acción Comunal del Barrio Buenavista Defensoría del Espacio Público, Promoambiental Distrito SAS ESP., Unidad Administrativa Especial De Servicios Públicos UAESP</t>
  </si>
  <si>
    <t>Secretaria Distrital de Planeación o el DADEP, han vulnerado o puesto en peligro derechos o intereses colectivos, con motivo de la puesta en funcionamiento de los patios transitorios del Sistema Integrado de Transporte Público SITP, en predios que son de reserva vial para la Construcción de la Avenida Longitudinal de Occidente ALO.</t>
  </si>
  <si>
    <t>25-139</t>
  </si>
  <si>
    <t>Se profirio auto de admisión de acción popuar en término para contestación acción popular vence el 27 de julio de 2022. Audiencia de pacto de cumplimiento programada para el primero de diciembre de 2022. Continuación de audiencia pacto de cumplimiento 3 de febrero de 2023 la cual se declaro fallida. 110-05-2023 diligencia de inspección judicial. 21-09-2023, se corre traslado para alegatos de conclusión. 29-01-2024 sentencia de primera instancia desfavorable para el Distrito. 05-02-2024 Presentación de recurso de apelación en termino.- 14-02-2024 Concede recurso de apelación. 26-08-2024 No repone auto del 13 de agosto de 2024.17-09-2024 Rechaza recurso de reposición y queja. 08-10-2024 fija audiencia de verificación 21-10-2024. Audiencia de pacto de cumplimiento programada el 25-10-2024.21-01-2025 SE CANCELA AUDIENCIA DE VEIRIFCIACION DE FALLO POR CAMBIO DE TUTULAR SE REPROGRAMA.</t>
  </si>
  <si>
    <t>2022-00235</t>
  </si>
  <si>
    <t>30/08/2022</t>
  </si>
  <si>
    <t xml:space="preserve">TRIBUNAL ADMINISTRATIVO DE CUNDINAMARCA 
SECCIÓN PRIMERA -SUB SECCIÓN “A”-
</t>
  </si>
  <si>
    <t>AGRUPACIÓN DE VIVIENDA EL PEDREGAL   1.   PH. -JULIO   ALBERTO VELOZA CORREDOR</t>
  </si>
  <si>
    <t>ALCALDÍA  MAYOR  DE BOGOTÁD.C. –ALCALDÍALOCAL    DEENGATIVÁ–POLICÍAMETROPOLITANA DE BOGOTÁ, MEBOG</t>
  </si>
  <si>
    <t>CUMPLIMIENTO RESOLUCION 1175 de 3/12/2015</t>
  </si>
  <si>
    <r>
      <rPr>
        <sz val="9"/>
        <color rgb="FF000000"/>
        <rFont val="Century Gothic"/>
        <family val="2"/>
      </rPr>
      <t xml:space="preserve">CUMPLIMIENTO RESOLUCION 1175 de 3/12/2015 </t>
    </r>
    <r>
      <rPr>
        <i/>
        <sz val="9"/>
        <color rgb="FF000000"/>
        <rFont val="Century Gothic"/>
        <family val="2"/>
      </rPr>
      <t>"Por la cual se determina una zona especial, por seguridad en la Localidad de Engativá"</t>
    </r>
  </si>
  <si>
    <t>19-9-2022 se dio respuesta radicado orfeo 20221100138221, 18-10-2022 INGRESA al despacho, revisado la web de la rama se registra como ultima actuacion 26-6-2023  Al despacho memorial por el apoderado del Instituto para la Economía Social IPES, sin pronunciamiento a la fecha por parte del despacho.</t>
  </si>
  <si>
    <t>2022-00379
11001334104520220037900</t>
  </si>
  <si>
    <t>JUZGADO 55 ADMINISTRATIVO
DEL CIRCUITO DE BOGOTÁ</t>
  </si>
  <si>
    <t xml:space="preserve">CONJUNTO RESIDENCIAL ADRIANA DEL PILAR BRITALIA NORTE
</t>
  </si>
  <si>
    <t>Distrito Capital-Departamento Administrativo de la Defensoría del Espacio Público-DADEP, Secretaría del Medio Ambiente, Secretaría Distrital de Movilidad, Unidad Administrativa Especial de Servicios Públicos, Personería de Bogotá, de Transmilenio S.A. y de la Nación – Ministerio de Defensa Nacional - Policía NacionalSubestación de Suba</t>
  </si>
  <si>
    <t>INAVSION ESPACIO PUBLICO</t>
  </si>
  <si>
    <t>Presencia en el espacio público contiguo al CONJUNTO RESIDENCIAL ADRIANA DEL PILAR BRITALIA NORTE de recicladores, estacionamiento de vehículos de servicio público y puestos ambulantes, puesta de presente a varias entidades sin que a la fecha se ejerzan labores tendientes a reubicar a quienes ejercen dichas actividades y restituir el espacio público por ellos ocupado.</t>
  </si>
  <si>
    <t>Urbanización Adriana del Pilar</t>
  </si>
  <si>
    <t>Mediante Auto del 19 de Goasto fue admitida la presenta Acción Popular . La misma fue notificada el 30 de Agosto a las Entidades . El término de 10 días para contestar vence el 13 de Septiembre (se debe enviar informe a la SJD a mas tardar el 90/09/2022) se suspende diligencia de pacto de cumplimiento por no  acreditarse el numeral OCTAVO del auto admisorio de 19 de agosto de 2022, mediante auto de fecha 17 Noviembre de 2023 se programa audiencia de pacto de cumplimiento para el 31 de Enero de 2024 a las 8:30 am. Comite de conciliacion el 30-1-2024 , auto de fecha 30-1-2024  DEJAR SIN EFECTO el auto de 17 de noviembre de 2023, a través del cual se fijó fecha y hora para llevar a cabo la audiencia de pacto de cumplimiento programada para llevarse a cabo el 31 de enero de 2024, ordena notificar auto admisorio  al Ministerio de Deffensa. Audiencia pacto de cumplimiento para el MIÉRCOLES CINCO (5) DE JUNIO DE DOS MIL VEINTICUATRO. PRESENTACION PODER DE SUSTITUCIÓN. (2024), A LAS DIEZ Y TREINTA DE LA MAÑANA (10:30 A. M.), Auto que decreta pruebas de fecha 2 agosto de 2024; decreta para el  MIÉRCOLES DOS (2) DE OCTUBRE DE DOS
MIL VEINTICUATRO (2024), A LAS OCHO Y TREINTA DE LA MAÑANA (8:30 A.M.) inspeccion judicial que niciará en la Carrera 48 No. 166-66 de la ciudad de Bogotá. 20-11-2024 acta inspeccion judicial, proceso se revisa el 4 -2-2025 sin novedad.</t>
  </si>
  <si>
    <t>2022-00174</t>
  </si>
  <si>
    <t>24/06/2022</t>
  </si>
  <si>
    <t>JUZGADO 60 ADMINISTRATIVO
DEL CIRCUITO DE BOGOTÁ</t>
  </si>
  <si>
    <t>BERTHA GARZÓN CASTAÑEDA</t>
  </si>
  <si>
    <t>Bogotá D.C. – Alcaldía Local de Suba – Secretaría de Movilidad - Unidad Administrativa de Rehabilitación y Mantenimiento Vial e Instituto de Desarrollo Urbano - IDU - DADEP</t>
  </si>
  <si>
    <t>Invoca la protección de los derechos e intereses colectivos a la moralidad administrativa, el goce de un ambiente sano, el goce del espacio público y la realización de construcciones, edificaciones y desarrollos urbanos respetando las disposiciones jurídicas por la presunta negligencia en la pavimentación y construcción de andenes entre la Calle 165 entre carreras 56A a 57 de Bogotá D.C.</t>
  </si>
  <si>
    <t>No se encuentra ubicado al interior de una urbanización en particular, sino se localiza entre los desarrollos "Lote San Fernando" y "Barrio Britalia San Diego"</t>
  </si>
  <si>
    <t>29/05/2023</t>
  </si>
  <si>
    <t>Para su protección, se fija el término de doce (12) meses para que Bogotá D.C., por intermedio del Departamento Administrativo de la Defensoría del Espacio Público – DADEP, en coordinación con la Secretaría Distrital de Planeación, adelanten de conformidad con sus competencias, las actuaciones administrativas necesarias para la definición de la naturaleza de la franja de terreno  identificada para efecto de este proceso como Calle 165 entre carreras 56A y 57 de esta ciudad e incorporarla al patrimonio
distrital como espacio público de conformidad con su actual destinación. Una vez sea saneada la situación del sector ubicado en la Calle 165 entre carreras 56A y 57, si hay lugar y es viable su incorporación al Patrimonio Inmobiliario RUPI y al inventario de bienes del Distrito, se ordenará a la Alcaldía Local de Suba - Fondo de Desarrollo Local
de Suba que en el término de doce (12) meses priorice, la planeación, construcción y mantenimiento de las obras de la malla vial y espacio público requeridas en dicho sector.”</t>
  </si>
  <si>
    <t>Contestación demanda: Mediante Auto del 16/09/2022 decidió: "Vincular oficiosamente al Departamento Administrativo de la Defensoría del Espacio Público como autoridad encargada de velar por el derecho o interés colectivo cuya protección se invoca"                                                                                                                                                                                        Sentencia desfavorable para el DADEP, Secretaria Juridica presenta Recurso de Apelacion. 11/10/2023. Se notificó por estado auto que admite recurso de apelación. 01/02/2024. Se notificó sentencia de segunda instancia que modificó parcialmente el fallo de primera instancia . 09/02/2024. Con memorando 20241300012513 se remitió a la SRI sentencias de primera y segunda instancia para su cumplimiento. 16/02/2024. Memorando 20242010013413 a través del cual la SRI informó que el designado para el cumplimiento y seguimiento es el arquitecto Jorge Hernán Zamora. 10/05/2024. Se notificó por estado auto de obedézcase y cúmplase. 10/05/2024. Archivo. Se solicita informe de cumplimiento a SRI por correo electronico el 10 de enero de 2025 se solicita informa para el 27 de enero de 2025.</t>
  </si>
  <si>
    <t>2022-00620</t>
  </si>
  <si>
    <t>25/01/2023</t>
  </si>
  <si>
    <t>JUZGADO 3 ADMINISTRATIVO
DEL CIRCUITO DE BOGOTÁ</t>
  </si>
  <si>
    <t>HERNANDO AUGUSTO RIVEROS VILLALOBOS</t>
  </si>
  <si>
    <t>: BOGOTÁ D.C. – SECRETARÍA DE PLANEACIÓN DISTRITAL -INSTITUTO DE DESARROLLO URBANO – CAJA DE VIVIENDA POPULAR - DEPARTAMENTO ADMINISTRATIVO DE LA DEFENSORÍA DEL ESPACIO PÚBLICO</t>
  </si>
  <si>
    <t>AFECTACIÓN DE DERECHOS COLECTIVOS - MORALIDAD ADMINISTRATIVA</t>
  </si>
  <si>
    <t>DECLARAR A LOS ACCIONADOS BOGOTÁ DISTRITO CAPITAL, SECRETARIA DE PLANEACIÓN DISTRITAL, DEFENSORÍA DEL ESPACIO PÚBLICO, INSTITUTO DE DESARROLLO URBANO IDU, CAJA DE LA VIVIENDA POPULAR RESPONSABLES DE LA VULNERACIÓN DE LOS LITERALES B,D,E,M DEL ARTÍCULO 4TO DE LA LEY 472 DE 1998 TODA VEZ QUE POR LA LESIÓN AL PRINCIPIO Y DERECHO DE LA MORALIDAD ADMINISTRATIVA, PATRIMONIO PUBLICO NO HAN DADO CUMPLIMIENTO A LOS ARTICULO 9NO AL 10 LITERAL LL, ARTICULO 13 AL ART 38 DE LA LEY 9NA DE 1989, VIGENTES AL MOMENTO DE LA EXPEDICIÓN DE LA RESOLUCIÓN DISTRITAL NUMERAL 1126 DE 1996 MEDIANTE LA CUAL POR MOTIVOS DE UTILIDAD PUBLICA E INTERES GENERAL SE LEGALIZA O DA VIDA JURÍDICA AL ASENTAMIENTO ILEGAL HUMANO DENOMINADO BARRIO LUIS LOPEZ DE MEZA UBICADO EN LA CIUDAD DE BOGOTÁ D.C. LOCALIDAD DE RAFAEL URIBE URIBE ASENTADO EN LOS PREDIOS IDENTIFICADOS COMO COMO AV 10 42 70 SUR MATRICULA INMOIBILIARIA 50S-326239, Y AK 10 42 70 S (DIRECCION CATASTRAL) AVENIDA 13 42 70 SUR MATRICULA INMOBILIARIA 50S236737 DE LA CIUDAD DE BOGOTA D.C., PORQUE LOS ACCIONADOS UNA VEZ EXPEDIDO EL ACTO ADMINISTRATIVO DE RECONOCIMIENTO DEL
BARRIO LUIS LOPEZ DE MESA NO HAN CONTINUADO DESARROLLADO LOS ACTOS ADMINISTRATIVOS ORDENADOS EN DICHA NORMA JURÍDICA TENDIENTES A CONTINUAR CON LOS PROCEDIMIENTOS LEGALES ESTABLECIDOS EN EL ORDEN JURIDICO COLOMBIANO PARA LA ADQUISICIÓN O EXPROPIACIÓN DE INMUEBLES EN DESARROLLO DE LOS PROPÓSITOS ENUNCIADOS PARA LA LEGALIZACIÓN DE LOS TÍTULOS EN EL ASENTAMIENTO SUBNORMAL DENOMINADO LUIS LOPEZ DE MESA LOCALIZADO EN LA LOCALIDAD DE RAFAEL URIBE URIBE BOGOTA D.C. DE HECHO O ILEGALES COMO ES EL CASO DEL BARRIO YA ENUNCIADO POR MOTIVOS DE UTILIDAD PÚBLICA EN INTERÉS GENERAL. 09-11-2023 AUTO DE IMPULSO A TRAMITE DE NOTIFICACIÓN Y RECONOCE PERSONERIA ABOGADA MAGDA GUERRERO DE SJD.</t>
  </si>
  <si>
    <t xml:space="preserve">BARRIO LUIS LOPEZ MESA </t>
  </si>
  <si>
    <t xml:space="preserve"> MEDIANTE AUTO DEL  25/01/2023, DECIDIO NOTIFICAR  AL DADEP, SDP, IDU, CAJA DE VIVIENDA POPULAR. 09-02-2023, APODERADA DEL DISTRITO ENVIA CONTESTACION ACCION POPULAR EN TÉRMINO. 28-05-2024 IMPULSO AL TRAMITE DE NOTIFICACION Y RESOLUCION DE OTROS ASUNTOS.</t>
  </si>
  <si>
    <t>2023-00186</t>
  </si>
  <si>
    <t>15/06/2023</t>
  </si>
  <si>
    <t>JUZGADO 11 ADMINISTRATIVO DE ORALIDAD DE BOGOTA</t>
  </si>
  <si>
    <t>Luis Hernando Riveros Bonilla y su hija Kira Dominique Riveros Jiménez</t>
  </si>
  <si>
    <t>Bogotá D.C. – Secretaría de Planeación,
Instituto de Desarrollo Urbano – IDU, Unidad
Administrativa Especial de Catastro Distrital
y Departamento Administrativo de la
Defensoría del Espacio Público</t>
  </si>
  <si>
    <t>vulneración de los derechos colectivos conculcados a la moralidad administrativa, patrimonio público, goce y utilización del espacio público, realización de construcciones, edificaciones y desarrollos urbanos respetando las disposiciones jurídicas de manera ordenada dando prevalencia al beneficio y la calidad de vida de los habitantes e  en lo que tiene que ver con la “vía ALO – CENTRO, hoy carrera 96.</t>
  </si>
  <si>
    <t>Urbanización El Carmelo</t>
  </si>
  <si>
    <t>1637-1,1637-10</t>
  </si>
  <si>
    <t xml:space="preserve">19-12-2023 apoderado de la demandante radica recurso de reposicion subsidio queja sobre auto que niega las pruebas solicitadas por el demandante , se radica escrito de oposicion de recurso por parte del apoderado del Distrito  el 26-2-2024 al despacho , auto de fecha 29-2-2024  resuelve NO reponer el auto de 19 de octubre de 2023, por las razones. auto 3 de abril de 2024 se remite al tribunal a fin de resolver recurso de queja. Auto de fecha 2 de mayo de 2024 deniega recurso apelacion interpuesto por del accionante,  ORDENA NOTIFICAR ANI EL 7-5-2024.22-5-2024 ANI radica memorial- en secretaria. auto de fecha 25 julio de 2024 se corre traslado de la contestacion de la ANI se deniega solicitud de pruebas de la parte actora. AUTO DE FECHA 20-9-2024 TRASLADO PARA ALEGATOS DE CONCLUSION. auto 31-10-2024  repone parciaomente Se le concede el término de diez (10) días, al apoderado del IDU, a fin de que allegue con destino a estas diligencias, las prueba decretadas en el numeral 2.1., del auto de 7 de septiembre de 2023, esto es, los estudios técnicos, órdenes administrativas que concluyeron con la expedición del Oficio 28456 de 20 de noviembre de 1998.
  auto de fecha 5-12-2024 correo traslado documento aportadas por el Instituto de Desarrollo Urbano - IDU, “MEMORANDO 202432500339723 de 6 de noviembre de 2024 el 27-1-2025 ingresa al despacho con traslado de pruebas. </t>
  </si>
  <si>
    <t>11001334305820230010900</t>
  </si>
  <si>
    <t xml:space="preserve"> JUZGADO 58 ADMINISTRATIVO DEL CIRCUITO JUDICIAL DE BOGOTÁ </t>
  </si>
  <si>
    <t xml:space="preserve">RODRIGO JARA PULIDO Y JOAN SEBASTIAN RICAURTE
SANTANA. </t>
  </si>
  <si>
    <t>ALCALDÍA MAYOR DE BOGOTÁ Y OTROS</t>
  </si>
  <si>
    <t xml:space="preserve">DEMANDADO </t>
  </si>
  <si>
    <t xml:space="preserve">AFECTACIÓN DE DERECHOS COLECTIVOS - ESPACIO PÚBLICO Y DEFENSA DEL PATRIMONIO PÚBLICO </t>
  </si>
  <si>
    <t>Presunta vulneración a los derechos colectivos ante la falta de construcción del parque Riveras de Occidente Unir II sector zv-4 y 8 con cod.08-475 en su área total y acciones de recuperación del espacio público en las zonas pertenecientes al parque Riveras de Occidente Unir II sector zv-4 y 8 con cod.08-475 y las aledañas, ocupadas por parqueaderos ilegales</t>
  </si>
  <si>
    <t>Parque Riveras de Occidente Unir II sector zv-4 y 8 con cod.08-475</t>
  </si>
  <si>
    <t>1156 - 1585</t>
  </si>
  <si>
    <t>20/04/2023. Se notificó auto admisorio de la demanda. 14/09/23. Se notificó al Distrito Capital de la admisión de la demanda. 25/09/2023. Con oficio No. 20231300146771, se remitieron insumos a la Secretaría Jurídica Distrital. 02/10/2023. Contestación Distrito Capital. 11/10/2023. Se notificó por estado auto que fijó audiencia de pacto de cumplimiento para el 29/11/2023 a las 08:30 am. 29/11/2023.Audiencia de pacto la cual feu declarada fallida. 13/12/2023. Al Despacho. 03/04/2024. Se notificó por estado auto que decretó pruebas. 12/09/2024. Se notificó por estado auto que designó perito</t>
  </si>
  <si>
    <t>11001334306620230031400</t>
  </si>
  <si>
    <t>13/10/2023</t>
  </si>
  <si>
    <t xml:space="preserve">JUZGADO 66 ADMINISTRATIVO DEL CIRCUITO JUDICIAL DE BOGOTÁ </t>
  </si>
  <si>
    <t>DIEGO JESÚS CAMARGO BERNAL</t>
  </si>
  <si>
    <t>ALCALDÍA MAYOR DE BOGOTÁ – ALCALDÍA LOCAL
DE SANTAFÉ</t>
  </si>
  <si>
    <t>AFECTACIÓN DE DERECHOS COLECTIVOS AL GOCE DEL ESPACIO PÚBLICO Y LA UTILIZACIÓN Y DEFENSA DE LOS BIENES DE USO PÚBLICO Y AL GOCE DE UN AMBIENTE SANO</t>
  </si>
  <si>
    <t>Presunta vulneración de derechos colectivos por la no intervención del sector de san Victorino con una política pública integral para controlar la invasión ilegal del espacio
público, de los vendedores informales asentados en dicho sector</t>
  </si>
  <si>
    <t xml:space="preserve">San Victorino </t>
  </si>
  <si>
    <t xml:space="preserve">26/06/2024 </t>
  </si>
  <si>
    <t xml:space="preserve">13/10/2023. Notificación auto admisorio de la demanda a la Secretaría Jurídica Distrital. 27/10/2023. Envío insumos por el DADEP a Secretaría Jurídica Distrial con oficio 20231300165101. 15/02/2024. Se notificó por estado auto que fijó audiencia de pacto de cumplimiento para el 05/03/2024 a las 09:00 am . 20/06/2024. Se notificó sentencia de primera instancia que ordenó al Distrito Capital de Bogotá – Alcaldía Local de Santa Fe, el Departamento Administrativo de la Defensoría del Espacio Público - DADEP, el Instituto para la Economía Social -IPES y la Policía Metropolitana de Bogotá, para que en el término de un (1) año, contado a partir de la ejecutoria de la presente providencia, efectúen las labores de preservación y recuperación del espacio público del sector de San Victorino. 25/06/2024. Apelación Distrito Capital. 19/07/2024. Se notificó por estado auto que concedió apelación. 16/09/2024. Se notificó por estado auto que admitió apelación </t>
  </si>
  <si>
    <t xml:space="preserve">PARA RESOLVER APELACIÓN CONTRA SENTENCIA DE PRIMERA INSTANCIA </t>
  </si>
  <si>
    <t>11001334206720230033200</t>
  </si>
  <si>
    <t>JUZGADO 67 ADMINISTRATIVO DE ORALIDAD CIRCUITO JUDICIAL DE BOGOTA SECCION SEGUNDA</t>
  </si>
  <si>
    <t xml:space="preserve">NANCY OTALORA </t>
  </si>
  <si>
    <t>SECRETARIA DISTRITAL DE MOVILIDAD, DADEP, SECRETARIA DE AMBIENTE Y ALCALDIA LOCAL DE KENNEDY</t>
  </si>
  <si>
    <t xml:space="preserve">INVASION DE ESPACIO PÚBLICO </t>
  </si>
  <si>
    <t>Presunta vulneración de derechos colectivos en la calle 22 Sur entre carreras 69 y 69A.
público, de los vendedores informales asentados en dicho sector</t>
  </si>
  <si>
    <t xml:space="preserve">CONJUNTO PLAZUELA DE LAS AMERICAS  ETAPA II </t>
  </si>
  <si>
    <t>25/10/2023. Notificación auto admisorio de la demanda a la Secretaría Jurídica Distrital. 17/11/2023. Envío insumos por el DADEP a Secretaría Jurídica Distrial con oficio 20231300176631. Interposición recurso reposición auto admisorio. 05/12/2023 Solicitud acceso al expediente.12-03-2024 vinculacion TELCOS INGENIERIA S.A 28-5-2024 se reciben memoriales por parte de apoderado SJD. 18-06-2024 AUTO DE PRACTICA DE PRUEBAS SE CORRE TRASLADO DE PRUEBAS SIN  OBLIGACIONES AL DADEP. auto de fecha 16-7-2024 corre traslado alegatos de conclusion. se da tramite con el apoderado de SJD . el 25-7-2024 el apoderado SJD presenta alegatos de conclusion.</t>
  </si>
  <si>
    <t>11001333501920230039200</t>
  </si>
  <si>
    <t>20/11/2023</t>
  </si>
  <si>
    <t xml:space="preserve">JUZGADO 19 ADMINISTRATIVO DEL CIRCUITO JUDICIAL DE BOGOTÁ </t>
  </si>
  <si>
    <t>EDISON RAFAEL VENERA LORA</t>
  </si>
  <si>
    <t>BOGOTÁ DISTRITO CAPITAL, ALCALDÍA LOCAL DE FONTIBÓN, INSTITUTO DE DESARROLLO URBANO -IDU, SECRETARÍA DISTRITAL DEL MEDIO AMBIENTE, DEPARTAMENTO INISTRATIVO DE LA DEFENSORÍA DEL ESPACIO PÚBLICO, JARDÍN BOTÁNICO DE BOGOTÁ, UNIDAD ADMINISTRATIVA ESPECIAL DE REHABILITACIÓN Y MANTENIMIENTO VIAL E INSTITUTO DISTRITAL DE RECREACIÓN Y DEPORTE</t>
  </si>
  <si>
    <t>AFECTACIÓN DERECHOS COLECTIVOS AL GOCE DE UN AMBIENTE SANO, DEL ESPACIO PÚBLICO Y LA UTILIZACIÓN Y DEFENSA DE 
LOS BIENES DE USO PÚBLICO Y A LA SEGURIDAD Y PREVENCIÓN DE DESASTRES 
PREVISIBLES TÉCNICAMENTE</t>
  </si>
  <si>
    <t xml:space="preserve">Presunta vulneración de derechos colectivos teniendo en cuenta el mal estado de los andenes, ubicados sobre la calle 23C entre la carrera 69 y la carrera 69D del barrio Ciudad Salitre Occidental de la Localidad de Fontibón, el Parque Ciudad Salitre Occidental, los individuos arbóreos y la malla vial ubicado alrededor del parque </t>
  </si>
  <si>
    <t>Barrio Ciudad Salitre Occidental de la Localidad de Fontibón</t>
  </si>
  <si>
    <t>1511-14, 1511-15, 1511-5, 1511-6, 1630-3</t>
  </si>
  <si>
    <t>20/11/23. Se notificó al Distrito Capital de la admisión de la demanda. 29/11/23. Mediante radicado 20231300182401  se remitieron insumos a la Secretaría Jurídica Distrital para la contestación de la AP. 06/12/2024. Contestación de la demanda por la SJD. 21/06/2024. Al Despacho</t>
  </si>
  <si>
    <t>1100133704020230032500</t>
  </si>
  <si>
    <t>27/11/2023</t>
  </si>
  <si>
    <t>JUZGADO 40 ADMINISTRATIVO DE ORALIDAD CIRCUITO JUDICIAL DE BOGOTA.</t>
  </si>
  <si>
    <t>UNIVERSIDAD INCCA DE COLOMBIA</t>
  </si>
  <si>
    <t>ALCALDIA LOCAL DE SANTA FE, DEPARTAMENTO ADMINISTRATIVO DE LA DEFENSORIA DEL ESPACIO PÚBLICO, PERSONERIA LOCAL,  ALCALDIA MAYOR DE BOGOTA, INSTITUTO PARA LA ECONOMIA SOCIAL IPES Y POLICIA METROPOLITANA DE BOGOTA.</t>
  </si>
  <si>
    <t>Presunta vulneración de derechos colectivos público, de los vendedores informales, microtrafico, prostitución y robos asentados en el sector aledaño a la Universidad Incca de Colombia.</t>
  </si>
  <si>
    <t>2023-11-29 PRESENTACIÓN DE LA DEMANDA.-2023-11-29 AUTO QUE ADMITE DEMANDA.- 2023-11-29 SUBSANA CONTESTACIÓN DE LA DEMANDA.- 2023-12-15 CONTESTACIÓN DE LA DEMANDA.- 2024-02-21 NOTIFICACIÓN POR ESTADO.- 	2024-02-28 AUTO DE TRAMITE.- 2024-02-28 AUTO DE TRAMITE.- 2024-03-01 AUTO QUE ACEPTA COADYUVANCIA. 12-06-2024 9:00 A.M AUDIENCIA DE PACTO DE CUMPLIMIENTO. 27-05-2024 PROCURADOR SOLICITA REPROGRAMACION DE AUDIENCIA. 30-05-2024 CONTESTACION ENEL CODENSA. 13-06-2024 AUDIENCIA DE PACTO DE CUMPLIMIENTO FALLIDA SE CONTINUA A PRUEBAS AUDIENCIA PROGRAMADA PARA EL 19 DE JULIO DE 2024. 09-09-2024 INSPECCION JUDICIAL.01-10-2024 CIERRE DEBATE PROBATORIO.</t>
  </si>
  <si>
    <t>11001333502920230036900</t>
  </si>
  <si>
    <t>JUZGADO 29 ADMINISTRATIVO DE ORALIDAD CIRCUITO JUDICIAL DE BOGOTA</t>
  </si>
  <si>
    <t>CARLOS ENRIQUE SIERRA VALENCIA</t>
  </si>
  <si>
    <t>DISTRITO CAPITAL – SECRETARIA DISTRITAL DE
PLANEACIÓN - IDRD Y DADEP</t>
  </si>
  <si>
    <t>NULIDAD Resolución No. 0043 de 2013</t>
  </si>
  <si>
    <t xml:space="preserve">SOLICITA la nulidad de la Resolución No. 0043 de 2.013 emanada de la Secretaría Distrital de Planeación, por la cual se expidió el Plan de Regularización y Manejo de la Unidad Deportiva El campin.
</t>
  </si>
  <si>
    <t>EL CAMPIN</t>
  </si>
  <si>
    <t>4807-1</t>
  </si>
  <si>
    <t>Conestacion de la demanda orfeo 20231300178311 de fecha 21-11-2023. EL  10 DE JULIO 2024 NOTIFICA POR ESTADO AUTO QUE FIJA FECHA PARA AUDIENCIA DE PACTO PARA JULIO 15 DE 2024 A LAS 9:00 A.M.  NOS E REALIZA PACTO DE CUMPLIMIENTO. Se notifica auto que fija fecha para celebración de la audiencia de pacto (virtual), el 5 de septiembre de 2024, audiencia fallida el  19 septiembre de 2024 ingresa al despacho, corre traslado alegatos de conclusion.</t>
  </si>
  <si>
    <t>1100133502720230022700</t>
  </si>
  <si>
    <t>JUZGADO 27 ADMINISTRATIVO DE ORALIDAD CIRCUITO JUDICIAL DE BOGOTA.</t>
  </si>
  <si>
    <t>DISTRITO CAPITAL, SECRETARIA DE GOBIERNO, SECRETARIA DE MOVILIDAD, ALCALDIA LOCAL DE BOSA, POLICIA METROPOLITANA, DADEP</t>
  </si>
  <si>
    <t>SOLICITA EL AMPARO DE LOS DERECHOS E INTERESES COLECTIVOS AL GOCE DE UN AMBIENTE SANO, AL GOCE DEL ESPACIO PÚBLICO Y LA UTILIZACIÓN Y DEFENSA DE LOS BIENES DE USO PÚBLICO, A LA SEGURIDAD Y SALUBRIDAD PÚBLICAS Y A LA REALIZACIÓN DE LAS CONSTRUCCIONES, EDIFICACIONES Y DESARROLLOS URBANOS RESPETANDO LAS DISPOSICIONES JURÍDICAS, DE MANERA ORDENADA, Y DANDO PREVALENCIA AL BENEFICIO DE LA CALIDAD DE VIDA DE LOS HABITANTES, PRESUNTAMENTE VULNERADOS POR LAS ENTIDADES DEMANDADAS, POR NO DELIMITAR EL ESPACIO PÚBLICO UBICADO EN LA CALLE 55 SUR CON CARRERA 82B, POR UN PERÍMETRO APROXIMADO DE DOS CUADRAS DESDE LA CARRERA 82B NO. 54B SUR - 11 Y EL PARQUE VECINAL QUE COLINDA CON LA PARTE POSTERIOR DEL CONJUNTO RESIDENCIAL ALONDRA. SOLICITA COMO MEDIDA CAUTELAR “EL CERRAMIENTO DE LA FRANJA DE APROXIMADAMENTE 7 METROS DE ANCHO UBICADA EN LA CALLE 55 SUR Y CARRERA 82 B, POR UN PERÍMETRO APROXIMADO DE DOS CUADRAS, UBICADO DESDE LA NOMENCLATURA CARRERA 82 B NO. 54 B SUR -11, QUE COMPRENDE LA PARTE POSTERIOR DEL CONJUNTO ALONDRA, TOMANDO COMO REFERENCIA EL CERRAMIENTO QUE HOY DÍA EXISTE EN LA PARTE POSTERIOR DEL CONJUNTO RESIDENCIAL TAYRONA, COMO ACCIÓN INMEDIATA PARA EVITAR EL PARQUEO DE VEHÍCULOS AUTOMOTORES QUE SE ESTACIONAN EN LAS CONDICIONES INDICADAS, Y ASÍ PREVENIR UN DAÑO INMINENTE AL QUE ESTÁN EXPUESTOS LOS RESIDENTES DE ESTA UNIDAD RESIDENCIAL”, CUYOS RECURSOS SEAN PROVISTOS POR EL FONDO PARA LA DEFENSA DE LOS DERECHOS E INTERESES COLECTIVOS.</t>
  </si>
  <si>
    <t>ADMISION DEMANDA 05/07/2023. 24/11/2023 REQUERIMIENTO NOTIFICACION COMUNIDAD PARTE ACTORA TERMINO 5 DÍAS.09-04-2024 REQUERIMIENTO PARTE ACTORA CONCEDE TERMINO 10 DIAS PARA NOTIFICACION ADMISION DE LA DEMANDA. 17-07-2024 AUDIENCIA DE PACTO DE CUMPLIMIENTO. AUTO DE PRUEBAS. 30-09-2024 PRACTICA DE INSPECCIÓN JUDICIAL 03-10-2024.</t>
  </si>
  <si>
    <t>2024-00006
11001333502220240000600</t>
  </si>
  <si>
    <t>19-1-2024</t>
  </si>
  <si>
    <t>JUZGADO 22 ADMINISTRATIVO DE ORALIDAD</t>
  </si>
  <si>
    <t>JOAQUIN ADOLFO MOSQUERA SALAZAR Y MYRIAM DEL CARMEN
ARCHILA</t>
  </si>
  <si>
    <t>BOGOTÁ, D.C., - SECRETARÍA DE GOBIERNO – SECRETARÍA DE MOVILIDAD- ALCALDÍA LOCAL DE SUBA-, DEPARTAMENTO ADMINISTRATIVO DE LA DEFENSORÍA DEL ESPACIO PÚBLICO y POLICÍA METROPOLITANA DE BOGOTÁ</t>
  </si>
  <si>
    <t xml:space="preserve"> Obtener la protección a los derechos colectivos referidos del goce de un ambiente sano, al goce del espacio público y la utilización y defensa de los bienes de uso público, por cuanto en la CALLE 137 B, entre calles 103 F y 104 (Avenida de Cali), de la localidad de Suba, se encuentra constante invasión al espacio público (estacionamientos permanentes y abandono de vehículos) por parte de particulares no identificados…</t>
  </si>
  <si>
    <t>CALLE 137 B, entre calles 103 F y 104 (Avenida de Cali), de la localidad de Suba</t>
  </si>
  <si>
    <t>925-52</t>
  </si>
  <si>
    <t>Se remite contestacion de la demanda a la SJD auto de fecha 1 febrero de 2024 numeral tercero del auto admisorio de la presente acción, requiere cumplimiento al actor popular. Auto de fecha 15 de Febrero de 2023 fija audiencia pacto de cumplimiento para el  18 de marzo de 2024 a las 2:15 pm. auto de fecha 30 de abril de 2024 reprograma diligencia de pacto de cumplimiento para el 4 de junio de 2024 a las 2:15pm virtual o presencial diligencia pacto de cumplimiento fallida, auto abre a pruebas de fecha 4 julio de 2024, termino 20 dias para allegar  l acta con el análisis que efectuaron los respectivos comités de conciliación donde consten las consideraciones y/o motivaciones que fueron tenidas en cuenta al momento de estudiar la propuesta de no presentar pacto de cumplimiento en
este proceso. auto de fecha 23 julio de 2024 desestima recurso presentado por el apoderado de sjd en contra del auto de pruebas. AUTO 21-10-2024 DECRETA PRUEBAS SOLICITANDO ALLEGAR LAS RESTANTES CONCEDE TERMINO DE 20 DIAS. AUTO 3 FEBRERO DE 2025 INCIDENTE DE DESACATO DA 8 DIAS PARA CONTESTAR- APODERADO SJD POR INCUMPLIMIENTO AUTO DE FECHA 21-10-2024</t>
  </si>
  <si>
    <t xml:space="preserve">110013337042 2023 00150 00 </t>
  </si>
  <si>
    <t>30/05/2023</t>
  </si>
  <si>
    <t> JUZGADO CUARENTA Y DOS ADMINISTRATIVO DEL CIRCUITO JUDICIAL DE BOGOTÁ </t>
  </si>
  <si>
    <t>MARÍA BEATRÍZ ARANGUREN Y MARÍA DEL PILAR</t>
  </si>
  <si>
    <t>ALCALDÍA MAYOR DE BOGOTÁ – SECRETARÍA DISTRITAL DE GOBIERNO Y LA ALCALDÍA LOCAL DE BOSA. INSTITUTO DE DESARROLLO URBANO – IDU Y LA EMPRESA DE ACUEDUCTO Y ALCANTARILLADO DE BOGOTÁ</t>
  </si>
  <si>
    <t>Presunta vulneración de los derechos colectivos al goce del espacio público y la utilización y defensa de los bienes de uso público, y el acceso a una infraestructura de servicios que garantice la salubridad pública, toda vez que los residentes del sector San Antonio del Barrio San Joaquín, ubicado en la Carrera 88 F entre Calles 71 y 73 Sur, UPZ 84 Bosa Occidental de la Localidad de Bosa, se están viendo afectados a causa del estado y falta de intervención de la anotada vía.</t>
  </si>
  <si>
    <t>ADMISION DEMANDA 30-05-2023. CONTESTACION DEMANDA 15/06/2023. AUTO FIJA FECHA AUDIENCIA DE PACTO DE CUMPLIMIENTO 11/12/2023. AUTO MIDIFICA FECHA 18-01-2024. SE LLEVA A CABO AUIENICA DE PACTO DE CUMPLIMIENTO 31-01-2024. SUSPENDIDA PARA EL 27-02-2024 A LAS 10:00 A.M. ACTA DE AUDIENCIA</t>
  </si>
  <si>
    <t>PACTO DE CUMPLIMIENTO.</t>
  </si>
  <si>
    <t>2023-00389
 11001333501520230038900</t>
  </si>
  <si>
    <t>23/11/2023</t>
  </si>
  <si>
    <t xml:space="preserve">JUZGADO 15  ADMINISTRATIVO DEL CIRCUITO JUDICIAL DE BOGOTÁ </t>
  </si>
  <si>
    <t>JOSE ALEJANDRO CUBILLOS CHERRES</t>
  </si>
  <si>
    <t>ALCALDÍA MAYOR DE BOGOTÁ, ALCALDÍA LOCAL DE MARTIRES, SECRETARÍA DE GOBIERNO, SECRETARIA DE SEGURIDAD CONVIVENCIA Y JUSTICIA, DEPARTAMENTO ADMINISTRATIVO DE LA DEFENSORIA DEL ESPACIO PÚBLICO (DADEP), SECRETARIA DISTRITAL DE AMBIENTE, SECRETARÍA DISTRITAL DE MOVILIDAD, SECRETARÍA DISTRITAL DE PLANEACIÓN, SECRETARIA DISTRITAL DE SALUD, SUBRED INTEGRADA DE SERVICIOS DE SALUD CENTRO ORIENTE, UNIDAD ADMINISTRATIVA ESPECIAL DE SERVICIOS PÚBLICOS UAESP, y POLICÍA METROPOLITANA DE BOGOTÁ</t>
  </si>
  <si>
    <t>Invasión al espacio público (estacionamientos permanentes y abandono de vehículos) por parte de particulares no identificados)</t>
  </si>
  <si>
    <t>ZONAS CESION</t>
  </si>
  <si>
    <t>2131-4,2131-5,2131-46</t>
  </si>
  <si>
    <t>ADMISION DE DEMANDA EL 23/11/2023  TRASLADO PARA CONTESTACION DE DEMANDA , INGRESA AL DESPACHO EL 7 MARZO DE 2024
auto 4-4-2024 Se insta por segunda vez a la parte actora para que, en el término de 10 días hábiles, dé cumplimiento a lo dispuesto, so pena de dar aplicación a lo establecido en el artículo 178 del CPACA., aplicable por remisión expresa del artículo 44 de la Ley 472 de 1998. Al despacho desde el 25-4-2024. sin novedad (ultima revision 29-5-2024). auto de fecha 5 agosto de 2024 incorpora contestaciones demandadas y requiere actor. AUto de fecha 23 -9-2024 auto de tramite ordena SUBRED INTEGRADA DE SERVICIOS DE SALUD CENTRO ORIENTE E.S.E auto de fecha 29-11-2024 requiere al accionante acredite la realización de la publicación, ordenada en auto admisorio. EL 17-1-2025 se allegan notificaciones ordenadas.</t>
  </si>
  <si>
    <t>2024-00032</t>
  </si>
  <si>
    <t>16/02/2024</t>
  </si>
  <si>
    <t xml:space="preserve">JUZGADO 32  ADMINISTRATIVO DEL CIRCUITO JUDICIAL DE BOGOTÁ </t>
  </si>
  <si>
    <t>CINCO URBANA S.A.S</t>
  </si>
  <si>
    <t xml:space="preserve">SECRETARIA DE GOBIERNO, DEPARTAMENTO ADMINISTRATIVO DE LA DEFENSORIA DEL ESPACIO PÚBLICO (DADEP), SECRETARÍA DISTRITAL DE MOVILIDAD, </t>
  </si>
  <si>
    <t>Manifiesta que actualmente sobre la Calle 100 de la ciudad de Bogotá, a la altura de la Carrera 49 A (antes Transversal 33 A) la Urbanización CONJUNTO RESIDENCIAL TERUEL P.H, con la coadyuvancia de la empresa SEGURIDAD SUPERIOR LTDA, se encuentra en posesión ilegal de la totalidad de la Carrera 49 con Calle 100 de la ciudad de Bogotá, la cual es una ZONA DE USO PÚBLICO – ZONA VIAL – VIA VEHICULAR.</t>
  </si>
  <si>
    <t>CONJUNTO RESIDENCIAL TERUEL PH</t>
  </si>
  <si>
    <t>ADMISION DE DEMANDA EL 16/02/2024 TRASLADO PARA CONTESTACION DE DEMANDA. 02-04-2024 AUTO CORRE TRASLADO MEDIDAS CAUTELARES.04-04-2024 OPOSICIÓN DE MEDIDAS CAUTELARES POR PARTE DE SECRETARIA JURIDICA DISTRTAL.14-04-2024 AUTO CORRE TRASLADO PARA CONTESTAR DEMANDA.09-07-2024 AUTO FIJA AUDIENCIA DE PACTO DE CUMPLIMIENTO PARA EL 13 DE AGOSTO DE 2024 A LAS 11:00A.M.AUDIENCIA DE PACTO DE CUMPLIMIENTO 28 DE NOVIEMBRE DE 2024 A LAS 12:00 P.M.</t>
  </si>
  <si>
    <t>CONTESTACION DE DEMANDA</t>
  </si>
  <si>
    <t>2013-00057</t>
  </si>
  <si>
    <t>24/07/13</t>
  </si>
  <si>
    <t>JOSE LIBARDO QUIROGA ESPITIA</t>
  </si>
  <si>
    <t>ALCALDIA LOCAL DE PUENTE ARANDA</t>
  </si>
  <si>
    <t>PRESUNTA IVASIÓN DEL ESPACIO PÚBLICO EN LA CARRERA 62 ENTRA AV AMERICAS Y CALLE 13</t>
  </si>
  <si>
    <t>CENTRO COMERCIAL AMERICAS OUTLET</t>
  </si>
  <si>
    <t>2747-7
2747-4
2747-6
2747-11</t>
  </si>
  <si>
    <t>Se profieres sentencia desfavorable de primera instancia el 20 de febrero de 2022, se interpone recurso de apelación en oportunidad.
El 14 de junio de 2022 entra al despacho en segunda instancia para resolver recurso de apelación.2023-07-06 el proceso se encuentra en el tribunal desde el 2022. 2024-01-14 A la espera de ser resuelta la apelación.</t>
  </si>
  <si>
    <t xml:space="preserve">El proceso se encuentra en etapa de pruebas según lo ordenado en audiencia de pacto de cumplimiento del 4 de abril de 2022.2023-07-06 el juzgado requiere certificación al accionante </t>
  </si>
  <si>
    <t>2024-00017
25000234100020240001700</t>
  </si>
  <si>
    <t>TRIBUNAL ADMINISTRATIVO DE CUNDINAMARCA
-SECCIÓN PRIMERA-
-SUB SECCIÓN “A</t>
  </si>
  <si>
    <t>SANDRA STELLA VARGAS MENDIETA Y
GINA AIXA MIRANDA OSORIO</t>
  </si>
  <si>
    <t>NACIÓN- MINISTERIO DE TRANSPORTE
INSTITUTO NACIONAL DE VÍAS (INVÍAS)
Y OTROS</t>
  </si>
  <si>
    <t>recuperación del espacio público, el control urbanístico y el desarrollo de actividades de parqueo en el corredor férreo del sector contiguo a la transversal 72D,
entre la intersección de la carrera 72G con calle 43 A sur y la avenida Boyacá.</t>
  </si>
  <si>
    <t>SAN ANDRES II SECTOR</t>
  </si>
  <si>
    <t>53314,533-16</t>
  </si>
  <si>
    <t>Se encuentra en traslado de la SGIEP a fin de solicitar insumos para dar contestacion a la accion popular . se remite respuesta mediante orfeo 20241300044251 de fecha 9-4-2024, se radica memorial el 26-4-2024 por parte de apoderado de SJD. Al despacho desde el 30 mayo de 2024. se revisa proceso el 4-2-2025 sin noviedad procesal.</t>
  </si>
  <si>
    <t>2024-00064
110013336038202400064 00</t>
  </si>
  <si>
    <t>20-03-2024</t>
  </si>
  <si>
    <t>RAMOS VASQUEZ XIOMARA PATRICIA</t>
  </si>
  <si>
    <t>DEPARTAMENTO ADMINISTRATIVO DEFENSORÍA DEL ESPACIO PÚBLICO. ENTIDAD PRIVADA (CORPORACION CASA DE LA CULTURA DE ENGATIVA). SECRETARÍA DE GOBIERNO. SECRETARÍA DE GOBIERNO FDL-ENGATIVÁ.SECRETARÍA DISTRITAL DE CULTURA RECREACIÓN Y DEPORTE. SECRETARÍA JURÍDICA DISTRITAL</t>
  </si>
  <si>
    <t xml:space="preserve">PROTECCION DE DERECHOS COLECTIVOS </t>
  </si>
  <si>
    <t>SE INSTAURA ACCIÓN POR LA DRA. XIOMARA PATRICIA RAMOS VÁSQUEZ EN CALIDAD DE DEFENSORA DEL PUEBLO DE LA REGIONAL BOGOTÁ Y EN REPRESENTACIÓN DE LA COMUNIDAD3, EN CONTRA DE LA ALCALDÍA MAYOR DE BOGOTÁ D.C. - ALCALDÍA LOCAL DE ENGATIVÁ, CON EL FIN DE QUE SE AMPAREN Y PROTEJAN LOS DERECHOS E INTERESES COLECTIVOS RELACIONADOS CON LA DEFENSA TANTO DEL PATRIMONIO PÚBLICO, ASÍ COMO DEL CULTURAL DE LA NACIÓN, LA REALIZACIÓN DE LAS CONSTRUCCIONES, EDIFICACIONES Y DESARROLLOS URBANOS RESPETANDO LAS DISPOSICIONES JURÍDICAS, DANDO PREVALENCIA AL BENEFICIO DE LA CALIDAD DE VIDA DE LOS HABITANTES; CONSAGRADOS EN LOS LITERALES E), F) Y M) DEL ARTÍCULO 4 DE LA LEY 472 DE 1998; PRESUNTAMENTE VULNERADOS CON LA OMISIÓN DE CONSTRUIR LA CASA DE LA CULTURA EN ENGATIVÁ PUEBLO, EN EL PREDIO UBICADO EN LA CARRERA 123 NO. 64-41 DE LA CIUDAD CAPITALINA. SOLICITA SE LE ORDENE A LA ALCALDIA MAYOR DE BOGOTA – ALCALDIA DE ENGATIVA.</t>
  </si>
  <si>
    <t>2-886</t>
  </si>
  <si>
    <t>20-03-2024 REPARTO.-  AUTO ADMITE.- CONTESTACION ACCION POPULAR 04-04-2024 MEDIANTE ORFEO 20241300044451 AUTO  de fecha 30 abril de 2024 requiere entidades publicar auto admisorio demanda en la web del dadep, mediante orfeo 20241300057801 se da cumplimiento al requerimiento del despacho. auto 30 julio de 2024 requiere otras entidades remitan informe. Auto de fecha 26 agosto de 2024 fija audiencia de pacto  el TRES (3) de DICIEMBRE de DOS MIL VEINTICUATRO (2024) a las OCHO Y TREINTA DE LA MAÑANA (8:30 A.M.)  declara fallido el pacto de cumplimiento, el 3 de febrero de 2025 se llevo a cabo diligencia de pruebas y se declaro cerrada la etapa probatoria y se corrió traslado para alegaciones.</t>
  </si>
  <si>
    <t>2024-00136
11001333704220240013600</t>
  </si>
  <si>
    <t>SANDRA GERENA ROCHA Y OTRO</t>
  </si>
  <si>
    <t>ALCALDIA LOCAL DE ENGATIVA, FONDO DE DESARROLLO LOCAL,UNIDAD DE MANTENIMIENTO VIAL, IDRD</t>
  </si>
  <si>
    <t>Presenta vulneración de los derechos al patrimonio, el espacio, la seguridad, la salubridad publica, moral administrativa, ambiente con fundamento en la contrucción de la Avenida Jose Celestino Mutis, se ha presentado deterioro en la malla vuial por los vehiculso de carga.</t>
  </si>
  <si>
    <t>Presenta vulneración de derechos colectivos por la construcción de la Avenida Jose Celestino Mutis.</t>
  </si>
  <si>
    <t xml:space="preserve">Pronunciamiento en relacion con los hechos y las pretensiones de la demanda. Mediante el radicado 20241300068951 se remitio contestación acción popular. Radicado orfeo 20241300106892 contestacion por parte de la Unidad de Mantenimiento Vial.Audiencia de pacto de cumplimiento 11 de octubre de 2024.11-10-2024Sudiencia de pacto de cumplimiento suspendida se fija nueva fecha el 16-10-2024 a las 3:00 p.m. Audiencia pacto de cumplimiento fallida  02-12-2024, se declaro fallida. 12-02-2015 inspeccion judicial </t>
  </si>
  <si>
    <t>CONTESTACION ACCION POPULAR</t>
  </si>
  <si>
    <t>2023-00314
11001334306620230031400</t>
  </si>
  <si>
    <t>JUZGADO 66 ADMINISTRATIVO DE BOGOTÁ</t>
  </si>
  <si>
    <t>BOGOTA D.C.-ALCLADIA LOCAL DE SANTA FE Y OTROS</t>
  </si>
  <si>
    <t>Presunta vulneración de derechos colectivos por parte de la Alcaldesa Claudia Lopez y el Alcalde Local de Santa Fe Diego Fernando Herreera, para la recuperación del espacio público ubicado entre la Avenida Caracas t la Cerrera Septima, entre Calles Novena y Avenida Jimenez (San Victorino)</t>
  </si>
  <si>
    <t>10-13-2023 Inicio de proceso, presentación demanda. Auto admite. 31/10/2023 Contestación demanda. 08/11/2023 Traslado excepciones. 05-03-2024 Audiencia de pacto de cumplimiento.  26/04/2024 Traslado alegatos de conclusión. 06/05/2024 presentación de alegatos de conclusión. EL 20/06/2024 Sentencia de primera isntancia desfavorable ordena al DADEP dar cumplimiento al fallo concede un termino de 1año. Se interpuso recurso en término.</t>
  </si>
  <si>
    <t xml:space="preserve">SENTENCIA PRIMERA INSTANCIA </t>
  </si>
  <si>
    <t>2024-00180                11001333501220240018000</t>
  </si>
  <si>
    <t>19/06/2024</t>
  </si>
  <si>
    <t>CONJUNTO RESIDENCIAL GRATAMIRA CAMPESTRE Y OTROS</t>
  </si>
  <si>
    <t>BOGOTA D.C.-ALCLADIA LOCAL DE SUBA, POLICIA NACIONAL, DISTRITAL CAPITAL, DADEP, INSPECCION POLICIA DE SUBA.</t>
  </si>
  <si>
    <t>Presunta vulneración de derechos colectivos por parte de los vendedores ambulantes que se ubican al frente de los conjuntos residenciales Gratamira Campestre, Urapanes, Torres de Sevilla ubicados en tre las  Calles 152 No 72-91, del sector de la Colina Campestre.</t>
  </si>
  <si>
    <t>19/06/2024 Adminisón demanda. 12-09-2024 Declara probada la falta de legitimación en la causa al DADEP.12-09-2024 DECLARAR la FALTA DE COMPETENCIA para conocer de la demanda
presentada por el señor ÁLVARO RODRÍGUEZ Y OTROS en contra de la NACIÓN - POLICÍA NACIONAL, DISTRITO CAPITAL BOGOTÁ, DEPARTAMENTO ADMINISTRATIVO DE LA DEFENSORÍA DEL ESPACIO PÚBLICO, ALCALDÍA LOCAL DE SUBA.
LOCAL DE SUBA E INSPECCIÓN DE POLICÍA DE SUBA.</t>
  </si>
  <si>
    <t xml:space="preserve">CONTESTACION ACCION POPULAR </t>
  </si>
  <si>
    <t xml:space="preserve">2024-00085             </t>
  </si>
  <si>
    <t>JOSE DEL CARMEN CUESTA NOVOA</t>
  </si>
  <si>
    <t>INSTITUTO DISTRITAL DE PATRIMONIO CULTURAL - IDPC, TERMINAL DE TRANSPORTE S.A., SECRETARÍA JURÍDICA DISTRITAL, DADEP</t>
  </si>
  <si>
    <t>ESPACIO PUBLICO BAHIAS</t>
  </si>
  <si>
    <t>2024-04-18 AUTO QUE ADMITE DEMANDA. 2024-04-18 TRASLADO MEDIDA CAUTELAR. 2024-04-23 MEMORIAL INTERPONE RECURSO REPOSICIÓN. 2024-06-06 AUTO QUE NIEGA MEDIDAS CAUTELARES. 2024-07-24	 AUDIENCIA ESPECIAL-PACTO DE CUMPLIMIENTO PROGRAMADA PARA EL 24 DE SEPTIEMBRE  DE 2024. 2024-07-24 AUTO QUE RESUELVE RECURSO DE REPOSICIÓN.AUDIENCIA ESPECIAL PACTO DE CUMPLIMIENTO 08-10-2024 SUSPENDIDA.13-11-2024 SOLICITUD DE IMPULSO PROCESAL ACCIONANTE.</t>
  </si>
  <si>
    <t>2013-00005</t>
  </si>
  <si>
    <t>TRIBUNAL CONTENCIOSO ADMINISTRATIVO DE CUNDINAMARCA - SECCIÓN PRIMERA</t>
  </si>
  <si>
    <t xml:space="preserve">HENRY ALONSO CASTILLO </t>
  </si>
  <si>
    <t>SECRETARÍA DISTRITAL DE MOVILIDAD-SECRETARÍA DE GOBIERNO ALC.LOCAL-LOS MÁRTIRES- AGUAS DE BOGOTÁ S.A. ESP-SECRETARÍA JURÍDICA DISTRITAL- DADEP-UNIDAD ADMINISTRATIVA ESPECIAL DE SERVICIOS PÚBLICOS</t>
  </si>
  <si>
    <t xml:space="preserve">ESPACIO PUBLICO </t>
  </si>
  <si>
    <t>QUE EN EL CUADRANTE USATAMA-COLSEGUROS SE VIENEN PRESENTANDO HECHOS QUE ALTERAN LA TRANQUILIDAD, EL MEDIO AMBIENTE, SALUBRIDAD Y ESPECIALMENTE LA SEGURIDAD DE LOS HABITANTES DE ESE CUADRANTE COMPRENDIDO ENTRE LAS CALLE 22 Y 24 Y TRANSVERSAL 27 Y AVENIDA N.Q.S. O CARRERA 30, TALES COMO: ATRACO A MANO ARMADA, HURTO DE APARTAMENTOS, FLETEO, RAPONAZO, SUPLANTACIÓN DE AUTORIDAD EN VÍA PÚBLICA, HABITANTE DE CALLE, ACUMULACION DE ESCOMBROS, VENTA Y CONSUMO DE ALUCIONGENOS, OCUPACION INDEBIDA DE ESPACIO PÚBLICO CON VENTAS AMBULANTES. 25-10-2024 AUTO NO ABRE INCIDENTE DESACATO.</t>
  </si>
  <si>
    <t>CUMPLIMIENTO DE SENTENCIA. AGOSTO 5 DE 2024 NOTIFICA POR ESTADO AUTO QUE PREVIO A ABRIR INCIDENTE DE DESACATO SE REQUIERE A LA ALCALDIA LOCAL DE LOS MARTIRES PARA QUE INFORME AL DESPACHO SOBRE LA SITUACIÓN ACTUAL DE OCUPACION O NO DEL ESPACIO PÚBLICO EN EL SECTOR DEL CUADRANTE USATAMA-COLSEGUROS Y EL HOSPITAL UNIVERSITARIO MAYOR DE MEDERI Y LAS GESTIONES ADELANTADAS EN PROCURA DE LA PROTECCIÓN DE TAL DERECHO, PARA LO CUAL CONCEDE 10 DÍAS DE TERMINO Y OTRAS DISPOSICIONES CONSIGNADAS EN EL PRESENTE AUTO. 21-08-2024 Allega informe cumplimiento sentencia del Tribunal Administrativo de Cundinamarca, remitido por la Alcaldía Local Los Mártires.</t>
  </si>
  <si>
    <t>11001310303019940649400</t>
  </si>
  <si>
    <t>14/01/2006</t>
  </si>
  <si>
    <t>JUZGADO TREINTA CIVIL DEL CIRCUITO DE BOGOTÁ D.C.</t>
  </si>
  <si>
    <t>Corporación de Comerciantes Plaza de Mercado de Paloquemao
– COMERPAL</t>
  </si>
  <si>
    <t xml:space="preserve">ALCALDÍA MAYR DE BOGOTÁ </t>
  </si>
  <si>
    <t>ACCIONES O DILIGENCIAS QUE SE HAN REALIZADO EN CONJUNTO O POR ORDEN DE LA ALCALDÍA LOCAL DE LOS MÁRTIRES PARA UBICAR A LOS VENDEDORES AMBULANTES QUE VIENEN INVADIENDO EL ESPACIO PÚBLICO DE LOS ALREDEDORES DE LA PLAZA DE MERCADO DE PALOQUEMAO
conjunto o por orden de la Alcaldía Local de los Mártires para</t>
  </si>
  <si>
    <t>PLAZA DE MERCADO DE PALOQUEMAO</t>
  </si>
  <si>
    <t>21/08/2024. Se requirió al Distrito información  sobre las acciones o diligencias que se han realizado en conjunto o por orden de la Alcaldía Local de los Mártires para ubicar a los vendedores ambulantes que vienen invadiendo el espacio público
de los alrededores de la Plaza de Mercado de Paloquemao. 09/09/2024. El DADEP remitió respuesta 20241300122681 al Despacho con acciones gestionadas por la SGIEP</t>
  </si>
  <si>
    <t>DESCATO</t>
  </si>
  <si>
    <t>11001333704420240029700</t>
  </si>
  <si>
    <t>28/08/2024</t>
  </si>
  <si>
    <t>JUZGADO CUARENTA Y CUATRO ADMINISTRATIVO</t>
  </si>
  <si>
    <t>JUAN FERNANDO ROMERO TOBÓN</t>
  </si>
  <si>
    <t>DEPARTAMENTO ADMINISTRATIVO DE LA DEFENSORÍA
DEL ESPACIO PÚBLICO DADEP – PERSONERÍA DE
BOGOTÁ DC – INSTITUTO DE DESARROLLO URBANO IDU
– SECRETARÍA DE PLANEACIÓN DISTRITAL –
INSTITUCIÓN UNIVERSITARIA DE COLOMBIA</t>
  </si>
  <si>
    <t xml:space="preserve">VULNERACIÓN DEL DERECHO COLECTIVO AL GOCE DEL ESPACIO PÚBLICO, PARTICULARMENTE EL TRÁNSITO PEATONAL A PARTIR DE LA CALLE 36 HASTA LA CALLE 39 EN LA SEDE DE LA INSTITUCIÓN UNIVERSITARIA DE COLOMBIA </t>
  </si>
  <si>
    <t xml:space="preserve">INSTITUCIÓN UNIVERSITARIA DE COLOMBIA </t>
  </si>
  <si>
    <t>4404-2</t>
  </si>
  <si>
    <t>02/09/2024. Notificación demanda al DADEP. 12/09/2024, Mediante correo del 12/09/2024 se remitió borrador del radicado 20241300129851 al apoderado de SJCA a través del cual se allegan los insumos del DADEP</t>
  </si>
  <si>
    <t xml:space="preserve">CONTESTACIÓN DEMANDA </t>
  </si>
  <si>
    <t>2024-00308
11001333501320240030800</t>
  </si>
  <si>
    <t>19/09/2024</t>
  </si>
  <si>
    <t>JUZGADO TRECE ADMINISTRATIVO DEL CIRCUITO JUDICIAL DE BOGOTÁ</t>
  </si>
  <si>
    <t>IVAN DANIEL RODRÍGUEZ URA</t>
  </si>
  <si>
    <t>DEPARTAMENTO ADMINISTRATIVO DE LA DEFENSORÍA DEL ESPACIO PÚBLICO DADEP – PERSONERÍA DE BOGOTÁ DC – INSTITUTO DE DESARROLLO URBANO IDU – SECRETARÍA DE PLANEACIÓN DISTRITAL – INSTITUCIÓN UNIVERSITARIA DE COLOMBIA</t>
  </si>
  <si>
    <t>Ocupación indebida delespacio público en las inmediaciones de la calle 95 con carrera 23, Calle 95 transversal 23, calles 94, 95, 96 y 97 con avenida paralela autopista norte, alrededores de la Clínica Los Nogales, Compensar E.PS., Comando Policía Antiextorsión y Antisecuestro y demás sectores aledaños</t>
  </si>
  <si>
    <t> 726-35,726-20,726-60,727-50</t>
  </si>
  <si>
    <t>19/09/2024. Se notificó demanda a las entidades. se remitio contestacion de demanda al apoderado de SJD mediante radicado orfeo  20241300140131 de fecha 1-10-2024. el 4-10-2024 ingreso al despacho el proceso con contestaciones de la demanda. auto de fecha 9 octubre de 2024 notificado el 10 fija fecha para diligencia de pacto de cumplimiento para el 23 de octubre de 2024 a las 2:30  pm. Auto de fecha 22 octubre de 2024 se aplaza la diligencia para el 5 noviembre de 2024 a las 2:30 pm auto aplaza diligencia para  el jueves 7 de noviembre de 2024, a las 2:00 de la
tarde, audiencia se reprograma para el dia 14 noviembre de 2024 a las 2:00pm. se reprograma para el 19 noviembre de 2024, la cual se lleva a cabo y se declara fallida. auto de fecha 5 diciembre de 2024 , vincula al ipes y corre traslado 10 dias para contestar la demanda.</t>
  </si>
  <si>
    <t>2024-00343</t>
  </si>
  <si>
    <t>20/09/2024</t>
  </si>
  <si>
    <t>JUZGADO 57 ADMINISTRATIVO DE BOGOTÁ</t>
  </si>
  <si>
    <t>VICTOR HUGO VARGAS MOLINA</t>
  </si>
  <si>
    <t>IDU, SDP, SJD, UMV.</t>
  </si>
  <si>
    <t>CONTRATO IDU VIAS</t>
  </si>
  <si>
    <t xml:space="preserve">EL SEÑOR VÍCTOR HUGO MOLINA VARGAS, IDENTIFICADO CON LA CÉDULA DE CIUDADANÍA 79.122.086, ACTUANDO EN NOMBRE PROPIO, PRESENTÓ ACCIÓN POPULAR CONTRA EL DISTRITO DE BOGOTÁ – ALCALDÍA MAYOR, EL INSTITUTO DE DESARROLLO URBANO IDU, Y EL CONSORCIO CONEXIÓN 20, CON EL FIN DE QUE SE PROTEJAN LOS SIGUIENTES DERECHOS E INTERESES COLECTIVOS: GOCE DEL ESPACIO PÚBLICO, UTILIZACIÓN Y DEFENSA DE LOS BIENES DE USO PÚBLICO, REALIZACIÓN DE LAS CONSTRUCCIONES, EDIFICACIONES Y DESARROLLOS URBANOS RESPETANDO LAS DISPOSICIONES JURÍDICAS, </t>
  </si>
  <si>
    <t>20-09-2024 AUTO ADMITE. CONTESTACION DEMANDA 03-10-2024.</t>
  </si>
  <si>
    <t>11001334306220240026900</t>
  </si>
  <si>
    <t>26/09/2024</t>
  </si>
  <si>
    <t>JUZGADO 62 ADMINISTRATIVO DEL CIRCUITO JUDICIAL DE BOGOTÁ</t>
  </si>
  <si>
    <t>Ocupación del espacio público en las inmediaciones de la CARRERA 21 CON CALLES 24 SUR, CARRERA 20 CALLE 23 A 24 SUR – SECTOR RAFAEL URIBE URIBE- BOGOTÁ D.C.</t>
  </si>
  <si>
    <t>2910-10
2910-21</t>
  </si>
  <si>
    <t>26/09/2024. Notificación demanda. 07/10/2024. Con radicado 20241300143231 se remitieron insumos técnicos y jurídicos a la SJD</t>
  </si>
  <si>
    <r>
      <t>827714</t>
    </r>
    <r>
      <rPr>
        <sz val="9"/>
        <color rgb="FF242424"/>
        <rFont val="Century Gothic"/>
        <family val="2"/>
      </rPr>
      <t>  </t>
    </r>
  </si>
  <si>
    <t>2024-00372</t>
  </si>
  <si>
    <t>13/12/2024</t>
  </si>
  <si>
    <t>JUZGADO SESENTA Y SEIS (66) ADMINISTRATIVO DEL CIRCUITO JUDICIAL DE BOGOTÁ -SECCIÓN TERCERA</t>
  </si>
  <si>
    <t>Rubiela Merchán, Martha Torres, Fabio Fuquen, David Rojas</t>
  </si>
  <si>
    <t>Alcaldía Mayor de Bogotá y la Alcaldía Local de Santafé, DEPARTAMENTO ADMINISTRATIVO DE LA DEFENSORÍA DEL ESPACIO PÚBLICO - DADEP</t>
  </si>
  <si>
    <t>INMINENTE PELIGRO ǪUE PADECE EL ESPACIO PUBLICO DENOMINADO -SALON COMUNAL DE MODELIA-</t>
  </si>
  <si>
    <t>Deterioro JAC BARRIO MODELIA</t>
  </si>
  <si>
    <t>MODELIA</t>
  </si>
  <si>
    <t>1088-36</t>
  </si>
  <si>
    <t xml:space="preserve">Auto admisorio de la demanda 13/12/2024 traslado para contestacion de la demanda el 16/12/2024, el 13 de enero de 2025 se debe descorrer traslado de la medida cautelar. se remite informacion al apoderado SJD mediante orfeo 20251300001521 de fecha 9 enero de 2025 auto de fecha 6 de febrero de 2025 niega medida cautelar solicitada por el demandante.
</t>
  </si>
  <si>
    <t>ADMITE DEMANDA</t>
  </si>
  <si>
    <t>2024-00430
11001333502120240043000</t>
  </si>
  <si>
    <t>JUZGADO VEINTIUNO ADMINISTRATIVO CIRCUITO JUDICIAL DE BOGOTÁ -SECCIÓN SEGUNDA</t>
  </si>
  <si>
    <t>DAVID ALEJANDRO GIL RODRÍGUEZ</t>
  </si>
  <si>
    <t>BOGOTÁ DISTRITO CAPITAL , ALCALDÍA LOCAL DE BOSA Y DADEP</t>
  </si>
  <si>
    <t xml:space="preserve">invasion espacio publico Parque SAN GIL barrio bosa brasil </t>
  </si>
  <si>
    <t>parque san gil</t>
  </si>
  <si>
    <t>3517-2</t>
  </si>
  <si>
    <t>Auto admisorio de la demanda 10/12/2024 traslado para contestacion de la demanda, se remite  contestacion a la SJD mediante orfeo 20251300001521 de fecha 10 enero de 2025_x000D_</t>
  </si>
  <si>
    <t>2024-00465</t>
  </si>
  <si>
    <t>16/01/2025</t>
  </si>
  <si>
    <t>JUZGADO 28 ADMINISTRATIVO DEL CIRCUITO JUDICIAL DE BOGOTÁ, D. C. SECCIÓN SEGUNDA</t>
  </si>
  <si>
    <t>Gilberto Vargas Ayala, Sandra Vanegas Daza, Nicolas Forero Rodriguez3, Mario Alfredo Ibañez Y Richard Javier Zorro</t>
  </si>
  <si>
    <t>Bogotá Distrito Capital - Alcaldia Mayor de Bogotá-Alcaldía Local de Engativa</t>
  </si>
  <si>
    <t xml:space="preserve">RECUPERACION ESPACIO PUBLICO-DETERIORO INMUEBLE PREDIO </t>
  </si>
  <si>
    <t>invasion espacio publico  del deteriorado estado de las vías BARRIO LAS FERIAS , también se obtuvo información de la comunidad sobre el riesgo que están corriendo por causa del inmueble ubicado en la carrera 69 A No. 78 - 40;el cual, de acuerdo al informe técnico del INSTITUTO DISTRITAL DE GESTIÓN DE RIESGO Y CAMBIO CLIMÀTICO .- IDIGER amenaza ruina.</t>
  </si>
  <si>
    <t>BARRIO LAS FERIAS</t>
  </si>
  <si>
    <t>Auto admisoria de fecha 16 enero de 2025 notificada en estado de fecha 17 enero de 2025, se solicitan insumos al area de SGIEP. se remite contestacion apoderado SJD orfeo 20251300008811_x000D_ de fecha 29-1-2025</t>
  </si>
  <si>
    <t>2019-00689
11001310301920190068900</t>
  </si>
  <si>
    <t>JUZGADO 19 CIVIL DEL CIRCUITO DE BOGOTÁ</t>
  </si>
  <si>
    <t>PEDRO A.VELASQUEZ SALGADO</t>
  </si>
  <si>
    <t>GLOBAL GROUP ASOCIADOS SAS</t>
  </si>
  <si>
    <t>ACCION POPULAR ENTRE PARTICULARES</t>
  </si>
  <si>
    <t>CERRMIENTO VIAS PUBLICAS EN CONSTRUCCIÓN DE OBRA EN LA CARRERA 15 No. 127A-26</t>
  </si>
  <si>
    <t>MANIFIESTA EL ACCIONANTE QUE LA SOCIEDAD DEMANDADA VIENE REALIZANDO LA CONSTRUCCIÓN DE UN EDIFICIO DE 7 PISOS Y QUE EN DESARROLLO DE LA CONSTRUCCION CERRO LOS ANDENES DE PASO PEATONAL</t>
  </si>
  <si>
    <t>LA CAROLINA</t>
  </si>
  <si>
    <t>Se corre traslado al DADEP del auto admisorio de la demanda, la cual ya se le había dado respuesta el día 21 de noviembre de 2019 con Rad 20191100195701, se procede a asistir al juzgado para verificar, Se envía la contestación al juzgado el día 17 de mayo de 2022, con memorial Radicado DADEP No. 20221100066581.15-01-2024.  2024-09-05. ORDENA PUBLICAR EN LA PAGINA WED DEL MISCROSITIO AUTO ADMISORIO</t>
  </si>
  <si>
    <t xml:space="preserve">JUZGADO 3 ADMINISTRATIVO CIRCUITO </t>
  </si>
  <si>
    <t>SECRETARIA DISTRITAL DWE PLANEACIÒN, IDU, CAJA DE VIVIENDA POPULAR, DADEP, SECRTRARIA DE HABITAT</t>
  </si>
  <si>
    <t>DEMANDANTE</t>
  </si>
  <si>
    <t>por motivos de utilidad pública e interés general se legaliza el asentamiento ilegal humano denominado barrio LUIS LOPEZ DE MEZA ubicado en la localidad de RAFAEL URIBE URIBE asentado en los predios identificados como como Av. 10 42 70 sur matricula inmobiliaria 50S-326239, y ak 10 42 70 s (dirección catastral) avenida 13 42 70 sur matricula inmobiliaria 50s236737 de la ciudad de Bogotá D.C., porque los accionados una vez expedido el acto administrativo de reconocimiento del barrio LUIS LOPEZ DE MESA, no han continuado desarrollado los actos administrativos ordenados en dicha norma jurídica tendientes a continuar con los procedimientos legales establecidos en el orden jurídico colombiano para la adquisición o expropiación de inmuebles en desarrollo de los propósitos enunciados para la legalización de los títulos en el asentamiento subnormal denominado LUIS LOPEZ DE MESA de hecho o ilegales como por motivos de utilidad pública en interés general.</t>
  </si>
  <si>
    <t>BARRIO LUIS LOPEZ DE MESA</t>
  </si>
  <si>
    <t>2023-01-26 AUTO QUE ADMITE DEMANDA. 2023-01-27NOTIFICACION POR CORREO ELECTRONICO. 2023-01-27	 AUTO QUE ADMITE DEMANDA. 2023-01-30 PRESENTACIÓN DE MEMORIAL. 2023-02-01 RECURSO DE REPOSICION. 2023-02-10	CONTESTACIÓN DE LA DEMANDA	SECRETARÍA JURÍDICA DISTRITAL. EBRERO 21 DE 2023 NOTIFICA POR ESTADO AUTO QUE RESUELVE RECURSO- CONFIRMA AUTO DEL 25 DE ENERO QUE ADMITIÓ LA ACCIÓN POPULAR . 2023-02-22	AUTO QUE RESUELVE RECURSO. 2023-04-27	 	AUTO QUE ORDENA VINCULACION AL PROCESO. 2024-05-28 AUTO DE TRAMITE, IMPULSO TRAMITE DE NOTIFICACIÓN.</t>
  </si>
  <si>
    <t>LUIS ORLANDO DELGADILLO AYAL</t>
  </si>
  <si>
    <t>INSTITUTO DE DESARROLLO URBANO, FONDO FINANCIERO DISTRITAL DE SALUD, SECRETARÍA DE GOBIERNO ALC.LOCAL-SUBA, SECRETARÍA DE GOBIERNO, DEPARTAMENTO ADMINISTRATIVO DEFENSORÍA DEL ESPACIO PÚBLICO Y OTRAS</t>
  </si>
  <si>
    <t>DEMANDAN ADEMÁS DE LAS ENTIDADES DISTRITALES, LA COMISIÓN DE AGUA POTABLE Y SANEAMIENTO BÁSICO - MUNICIPIO DE CHÍA - CURADURÍA URBANA DEL MUNICIPIO DE CHÍA - LA CAR Y LA CORPORACIÓN AUTÓNOMA REGIONAL DE CUNDINAMARCA - CAR Y DE LAS CUENCAS DE LOS RIOS BOGOTÁ, UBATÉ Y SUÁREZ - SUPERINTENDENCIA DE SERVICIOS PÚBLICOS DOMICILIARIOS; INVOLUCRA IGUALMENTE LAS ENTIDADES HOMÓLOGAS DEL NIVEL NACIONAL; OTRAS DE CARACTER PRIVADO COMO ASOCIACIÓN DE VECINOS DE SAN SIMÓN - AGRUPACIÓN EL MANZANO - CONTRUCTORA FERNANDO MAZUERA Y CIA. S.A. - MALIBÚ S.A. - MOSAICO S.A. - CONFECORT S.A. - METRIKA LTDA. - JUAN CARLOS FERNANDEZ - - MUDELA DEL RIO LTDA.: POR LA PROTECCIÓN DE LOS DERECHOS COLECTIVOS AMENAZADOS POR LA ACCIÓN Y OMISIÓN DE LAS DEMANDADAS AL PRODUCIR LA EVENTUAL CONTAMINACIÓN DEL RIO BOGOTÁ Y LA QUEBRADA LA TORCA, LA OCUPACIÓN INDEBIDA DEL ESPACIO PÚIBLICO, LA INDEBIDA PRESTACIÓN DE LOS SERVICIOS PÚBLICOS DOMICILIARIOS Y LA AUSENCIA DE INFRAESTRUCTURA DE ACUEDUCTO Y ALCANTARILLADO CON LAS GARANTIAS DE SALUBRIDAD DEBIDAS EN EL PREDIO SAN SIMÓN.</t>
  </si>
  <si>
    <t>1851/ P/H06</t>
  </si>
  <si>
    <t>19-12-2024</t>
  </si>
  <si>
    <t>SENTENCIA DESFAVORABLE DE SEGUNDA INSTANCIA.</t>
  </si>
  <si>
    <t>2022-00130</t>
  </si>
  <si>
    <t>TRIBUNAL CONTENCIOSO ADMINISTRATIVO DE CUNDINAMARCA - SECCIÓN PRIMERA SUBSECCION A</t>
  </si>
  <si>
    <t>GONZALO PUERTA  MUÑEZ</t>
  </si>
  <si>
    <t xml:space="preserve">SECRETARÍA JURÍDICA DISTRITAL, SECRETARÍA DE GOBIERNO, DEPARTAMENTO ADMINISTRATIVO DEFENSORÍA DEL ESPACIO PÚBLICO </t>
  </si>
  <si>
    <t>SOLICITA RECUPERACION ESPACIO PUBLICO BAHIA CALLE 8 A 79 C -46</t>
  </si>
  <si>
    <t>CASTILLA</t>
  </si>
  <si>
    <t>26-01-2024</t>
  </si>
  <si>
    <t>26-09-2024</t>
  </si>
  <si>
    <t>DEPARTAMENTO ADMINISTRATIVO DE DEFENSORÍA DEL ESPACIO PÚBLICO</t>
  </si>
  <si>
    <t>OFICINA ASESORA JURIDICA - EQUIPO REPRESENTACION JUDICIAL</t>
  </si>
  <si>
    <t xml:space="preserve"> BASE DE DATOS PROCESOS JUDICIALES</t>
  </si>
  <si>
    <t>PROCESOS JUDICIALES REPRESENTADOS DIRECTAMENTE POR LA SJD</t>
  </si>
  <si>
    <t>ID 
SIPROJ</t>
  </si>
  <si>
    <t>PROCESO</t>
  </si>
  <si>
    <t>FECHA DE PRESENTACIÓN DE LA DEMANDA - DENUNCIA - (EN SU DEFECTO, FECHA DE ADMISIÓN)</t>
  </si>
  <si>
    <t>SGI</t>
  </si>
  <si>
    <t>FALLO</t>
  </si>
  <si>
    <t>CESION- ZONASVIALES- VEHICULARES</t>
  </si>
  <si>
    <t>SIG</t>
  </si>
  <si>
    <t>ENGATIVÁ</t>
  </si>
  <si>
    <t xml:space="preserve">FONTIBON </t>
  </si>
  <si>
    <t xml:space="preserve">SGIEP </t>
  </si>
  <si>
    <t>RAFAEL URIBE URIBE</t>
  </si>
  <si>
    <t>MÁRTIRES</t>
  </si>
  <si>
    <t>JURIDICA</t>
  </si>
  <si>
    <t xml:space="preserve">MÁRTIRES </t>
  </si>
  <si>
    <t xml:space="preserve">DESACATO </t>
  </si>
  <si>
    <t xml:space="preserve">RAFAEL URIBE URIBE </t>
  </si>
  <si>
    <t>MARIA FERNANDA MADIEDO</t>
  </si>
  <si>
    <t>SGIE</t>
  </si>
  <si>
    <t>Procesos</t>
  </si>
  <si>
    <t>Etiquetas de fila</t>
  </si>
  <si>
    <t>Cuenta de Data.JURISDICCIÓN</t>
  </si>
  <si>
    <t>Cuenta de Data.TIPO DE PROCESO</t>
  </si>
  <si>
    <t>Cuenta de Data.FECHA DE PRESENTACION DE DEMANDA</t>
  </si>
  <si>
    <t xml:space="preserve">Cuenta de Data.ABOGADO A CARGO </t>
  </si>
  <si>
    <t xml:space="preserve">Cuenta de Data.TIPO DE REPRESENTACION 
DIRECTA - INDIRECTA </t>
  </si>
  <si>
    <t>Cuenta de Data.LOCALIDAD</t>
  </si>
  <si>
    <t>Cuenta de Data.EN CURSO - CON FALLO</t>
  </si>
  <si>
    <t>Suma de TOTAL PROCEDIMIENTOS</t>
  </si>
  <si>
    <t>Laboral</t>
  </si>
  <si>
    <t>1990</t>
  </si>
  <si>
    <t>1992</t>
  </si>
  <si>
    <t>Constitucional</t>
  </si>
  <si>
    <t>1998</t>
  </si>
  <si>
    <t>Civil</t>
  </si>
  <si>
    <t>2001</t>
  </si>
  <si>
    <t>Penal</t>
  </si>
  <si>
    <t>2002</t>
  </si>
  <si>
    <t>Total general</t>
  </si>
  <si>
    <t>Administrativo</t>
  </si>
  <si>
    <t>2003</t>
  </si>
  <si>
    <t>2004</t>
  </si>
  <si>
    <t>2005</t>
  </si>
  <si>
    <t>DADEP-SJD</t>
  </si>
  <si>
    <t>2006</t>
  </si>
  <si>
    <t>2007</t>
  </si>
  <si>
    <t>2008</t>
  </si>
  <si>
    <t>2009</t>
  </si>
  <si>
    <t>ACCIONES POPULARES</t>
  </si>
  <si>
    <t>2010</t>
  </si>
  <si>
    <t>2011</t>
  </si>
  <si>
    <t>2012</t>
  </si>
  <si>
    <t>LAURA ALEJANDRA CORREA PEREZ</t>
  </si>
  <si>
    <t>(en blanco)</t>
  </si>
  <si>
    <t>2013</t>
  </si>
  <si>
    <t>2014</t>
  </si>
  <si>
    <t>MARIO ALBERTO SOCARRAS NARVAEZ</t>
  </si>
  <si>
    <t>1. Usaquén</t>
  </si>
  <si>
    <t>2015</t>
  </si>
  <si>
    <t xml:space="preserve">Civil </t>
  </si>
  <si>
    <t>2. Chapinero</t>
  </si>
  <si>
    <t>2016</t>
  </si>
  <si>
    <t>3. Santa Fe</t>
  </si>
  <si>
    <t>2017</t>
  </si>
  <si>
    <t>4. San Cristóbal</t>
  </si>
  <si>
    <t>2018</t>
  </si>
  <si>
    <t>5. Usme</t>
  </si>
  <si>
    <t>2019</t>
  </si>
  <si>
    <t>6. Tunjuelito</t>
  </si>
  <si>
    <t>2020</t>
  </si>
  <si>
    <t>7. Bosa</t>
  </si>
  <si>
    <t>2021</t>
  </si>
  <si>
    <t>8. Kennedy</t>
  </si>
  <si>
    <t>2022</t>
  </si>
  <si>
    <t>9. Fontibón</t>
  </si>
  <si>
    <t>2023</t>
  </si>
  <si>
    <t>10. Engativá</t>
  </si>
  <si>
    <t>2024</t>
  </si>
  <si>
    <t>11. Suba</t>
  </si>
  <si>
    <t>2025</t>
  </si>
  <si>
    <t>12. Barrios Unidos</t>
  </si>
  <si>
    <t>13. Teusaquillo</t>
  </si>
  <si>
    <t>14. Los Mártires</t>
  </si>
  <si>
    <t>AUDIENCIA DE PRINCIPIO DE OPORTUNIDAD</t>
  </si>
  <si>
    <t>15. Antonio Nariño</t>
  </si>
  <si>
    <t>16. Puente Aranda</t>
  </si>
  <si>
    <t>17. Candelaria</t>
  </si>
  <si>
    <t>18. Rafael Uribe Uribe</t>
  </si>
  <si>
    <t>19. Ciudad Bolívar</t>
  </si>
  <si>
    <t>20. Sumapaz</t>
  </si>
  <si>
    <t>PRECLUSION DE LA INVESTIGACION</t>
  </si>
  <si>
    <t>Area Responsable</t>
  </si>
  <si>
    <t>CONCILIACION</t>
  </si>
  <si>
    <t>(2021-00155)
110013105027
20210015500</t>
  </si>
  <si>
    <t xml:space="preserve">(2022-00503)
110013105004
20220050300
</t>
  </si>
  <si>
    <t>AUTO QUE ADMITE RECURSO
11-06-2024</t>
  </si>
  <si>
    <t>2010-00606
110013105023
20100060600</t>
  </si>
  <si>
    <t>EL TSDJ CONFIRMO SENTENCIA DE 1ERA INSTANCIA
18-12-2024</t>
  </si>
  <si>
    <t>2015-00144
110013105008
20150014400</t>
  </si>
  <si>
    <t>TSDJ ADMITE EL RECURSO DE APELACION Y CORORE TRASLADO ALEGATOS
29-11-2024</t>
  </si>
  <si>
    <t>2020-00092
( 110013105008
20200009200)</t>
  </si>
  <si>
    <t>TSDJ ADMITE RECURSO APELACION CORRE TRASLADO ALEGATOS
03-12-2024</t>
  </si>
  <si>
    <t>1988-01361
110013103020
19880136100</t>
  </si>
  <si>
    <t>2019-00307
110013103004
20190030700</t>
  </si>
  <si>
    <t>20-02-2025</t>
  </si>
  <si>
    <t>MEMORANDO A SRI PARA ACTUACIONES ADMINISTRATIVAS PARA DECLARATORIA DE UTILIDAD PUBLICA</t>
  </si>
  <si>
    <t>SENTENCIA A FAVOR DEL DADEP.</t>
  </si>
  <si>
    <t>(2007-00240)
(110013103002
20070024000)</t>
  </si>
  <si>
    <t>CORRE TRASLADO DEL ARTICULO 399</t>
  </si>
  <si>
    <t>(2023-00357)
110013103013
20230035700</t>
  </si>
  <si>
    <t>DESPACHO 
15-01-2025</t>
  </si>
  <si>
    <t xml:space="preserve">(2022-00308)
110013103010
20220030800
</t>
  </si>
  <si>
    <t>DESPACHO
24-02-2025</t>
  </si>
  <si>
    <t>2022-01199
110014003029
20220119900</t>
  </si>
  <si>
    <t>2002-01056
 110013103034
20020105601</t>
  </si>
  <si>
    <t xml:space="preserve">2016-00430
110014003046
20160043000 </t>
  </si>
  <si>
    <t>RESTITUCION DEL BIEN INMUEBLE POR PARTE DE LA ALCALDIA LOCAL DE SANTAFE</t>
  </si>
  <si>
    <t>2018-00406
110013103036
20180040600.</t>
  </si>
  <si>
    <t>AUTO DE TRAMITE
18-01-2025</t>
  </si>
  <si>
    <t>2023-00016
110013103051
20230001600</t>
  </si>
  <si>
    <t xml:space="preserve">                  (2024-00118)
110013103019
20240011800</t>
  </si>
  <si>
    <t>DESPACHO
19-02-2025</t>
  </si>
  <si>
    <t>2022-01104
110014003036
2022-0110400</t>
  </si>
  <si>
    <t xml:space="preserve">                  (2024-00120)
110013103018
20240012000</t>
  </si>
  <si>
    <t>2020-00410
(110013103016
20200041000)</t>
  </si>
  <si>
    <t>2022-00013
110013103028
20220001300,</t>
  </si>
  <si>
    <t>(2022-00124)
110013103035
20220012400</t>
  </si>
  <si>
    <t>AUTO REQUIERE A LA DTE
12-02-2025</t>
  </si>
  <si>
    <t>2019-00790
(110014003041
20190079000)</t>
  </si>
  <si>
    <t>AUTO ACEPTA RENUNCIA
28-10-2024</t>
  </si>
  <si>
    <t>2019-00369
110013103013
20190036900</t>
  </si>
  <si>
    <t>LA CURADORA CONTESTA LA DEMANDA
21-02-2025</t>
  </si>
  <si>
    <t>2010-00246
110013103035
20100024600</t>
  </si>
  <si>
    <t>2021-01268 
(110012203000
20210126800)</t>
  </si>
  <si>
    <t>(2022-00407)
110013103030
20220040700</t>
  </si>
  <si>
    <t>2022-01421
(110014003040
20220142100)</t>
  </si>
  <si>
    <t>DESPACHO
17-02-2025</t>
  </si>
  <si>
    <t>2022-01012
(110014003005
20220101200)</t>
  </si>
  <si>
    <t>AUTO PONE EN CONOCIMIENTO
02-12-2024</t>
  </si>
  <si>
    <t>2019-00243
(110014003011
20190024300)</t>
  </si>
  <si>
    <t>SENTENCIA 
09-07-2024</t>
  </si>
  <si>
    <t>2021-00356
110014003044
20210035600</t>
  </si>
  <si>
    <t>AUTO PONE EN CONOCIMIENTO
10-12-2024</t>
  </si>
  <si>
    <t>2022-00900
(110014003024
20220090000)</t>
  </si>
  <si>
    <t>AUTO REQUIERE
21-02-2025</t>
  </si>
  <si>
    <t>(2023-00558)
110013103030
20230055800</t>
  </si>
  <si>
    <t>(2022-00256)
110013103026
20220025600.</t>
  </si>
  <si>
    <t>2019-00879
110013103033
20190087900</t>
  </si>
  <si>
    <t>AUDIENCIA</t>
  </si>
  <si>
    <t>AUDIENCIA
01-07-2025</t>
  </si>
  <si>
    <t>2021-00411
(110013103002
20210041100)</t>
  </si>
  <si>
    <r>
      <t>En visita realizada el 18 de diciembre del 2019 por parte de la Subdirección de Registro Inmobiliario del DADEP, mediante el memorando 20203030003373 del 4 de febrero del 2020 informó que “(</t>
    </r>
    <r>
      <rPr>
        <i/>
        <sz val="12"/>
        <rFont val="Century Schoolbook"/>
        <family val="1"/>
      </rPr>
      <t>…) el predio identificado con RUPI 2-692, en la cual se evidenció que el Centro Misionero Bethesda ocupa el predio para el funcionamiento de un comedor y un estacionamiento de la Institución Educativa Liceo Bethesda</t>
    </r>
    <r>
      <rPr>
        <sz val="12"/>
        <rFont val="Century Schoolbook"/>
        <family val="1"/>
      </rPr>
      <t>”.</t>
    </r>
  </si>
  <si>
    <t>APLAZADA LA AUDIENCIA DEL 22-01-2025</t>
  </si>
  <si>
    <t>2015-00742
(110013103016
20150074200)</t>
  </si>
  <si>
    <t>SE REALIZA EMPLAZAMIENTO</t>
  </si>
  <si>
    <t>2017-00719
(110014003022  20170071901)</t>
  </si>
  <si>
    <t>2019-00854
(110014003050
20190085400)</t>
  </si>
  <si>
    <r>
      <t xml:space="preserve">RUPI No. </t>
    </r>
    <r>
      <rPr>
        <b/>
        <sz val="12"/>
        <rFont val="Century Schoolbook"/>
        <family val="1"/>
      </rPr>
      <t xml:space="preserve"> </t>
    </r>
    <r>
      <rPr>
        <sz val="12"/>
        <rFont val="Century Schoolbook"/>
        <family val="1"/>
      </rPr>
      <t>2256-2</t>
    </r>
  </si>
  <si>
    <t>AUTO NO TIENE EN CUENTA
26-02-2025</t>
  </si>
  <si>
    <t>2019-00781
(110014189019                 20190078100)</t>
  </si>
  <si>
    <t>110013103044
20230057800
(2023-00578)</t>
  </si>
  <si>
    <t>110013103018 
20230000100
(2023-00001)</t>
  </si>
  <si>
    <t>PONE EN CONOCIMIENTO 09-12-2024</t>
  </si>
  <si>
    <t>FISCALIA 103 SECCIONAL UNIDAD FE PUBLICA Y ORDEN ECONOMICO - ORDINARIO</t>
  </si>
  <si>
    <r>
      <rPr>
        <i/>
        <sz val="12"/>
        <rFont val="Century Gothic"/>
        <family val="2"/>
      </rPr>
      <t xml:space="preserve"> </t>
    </r>
    <r>
      <rPr>
        <sz val="12"/>
        <rFont val="Century Gothic"/>
        <family val="2"/>
      </rPr>
      <t xml:space="preserve"> SE ENVÍA MEMORIAL DE SEGUIMIENTO CON RADICADO ORFEO DADEP No. 20221100146741, POSTERIORMENTE  RESPONDEN QUE:
ATENTAMENTE ME PERMITO INFORMARLE QUE LA ORDEN 8112096, SE REFIERE A LA PRACTICA DE EXPERTICIOSTECNICOS DE LOFOSCOPIA Y GRAFOLOGIA, ENTRE ELLOS, LA CONFRONTACION DE LA FIRMA DE GERMAN DARIORODRIGUEZ QUIEN EN LA ESCRITURA 1923, ACTUO COMO DIRECTOR DE ESE DEPARTAMENTO, POR ESO SESOLICITA SU COLABORACIÓN PARA EL APORTE Y TOMA DE TALES MUESTRAS Y EL SUMINISTRO DE INFORMACIONSOBRE LA UBICACIÓN DE LUZ DARY ESPINOSA NEUTA. CORDIALMENTE. HECTOR A. RODRIGUEZ H.- ASISTENTEFISCALIA 105 SECCIONAL.(...)" </t>
    </r>
  </si>
  <si>
    <t>FISCALIA 79 SECCIONAL UNIDAD FE PUBLICA Y ORDEN ECONOMICO - TIERREROS</t>
  </si>
  <si>
    <t xml:space="preserve"> TIPO DE ZONA (CESIÓN, FISCALES, DOTACIONAL, PREDIO PÚBLICO DE NO CESIÓN, INSTITUCIONAL) </t>
  </si>
  <si>
    <t>Pre</t>
  </si>
  <si>
    <t>RECUPERACION DEL DADEP</t>
  </si>
  <si>
    <t>comité de verificacion</t>
  </si>
  <si>
    <t>SEGUIMIENTO- Audiencia de verificacion de fallo 20-10-2022, requerimiento incidente de desacato de fecha 3-5-2023, se verifican las ordenes las cuales van dirigidas a la  CAR para que en el término de un mes contando a partir de la notificación de esta decisión, para que allegue informe ante el Despacho, en aras de verificar la ejecución de la medida preventiva, que con acierto y en cumplimiento de sus funciones, impuso en contra de la SOCIEDAD LUNA BRILLANTELU Y CIA S.C.A y el señor JUAN DIEGO LÓPEZ ARANGO, asi como al EEABB. AUTO DE FECHA 22 DE ABRIL DE 2024 determinaciones a otras entidades y no al DADEP. La Subdirección de Gestión Inmobiliaria y de Espacio Público de esta Defensoría, efectuara el acompañamiento a las Inspecciones de Policía y
Alcaldías Locales en las tareas de restitución para los predios localizados en AOPP, e incorporados en el inventario de esta Defensoría que presentan ocupaciones ilegales. AUTO DE FECHA 5 junio de 2024 conmina. Auto de 29-10-2024 Audiencia de verificacion AP 2005-00662 8 AM, Auto de fecha 5 de marzo de 2024 se requiere a ALCALDIA CHAPINERO, SEC GOBIERNO, CAR y FDL para que se indidque sobre los procesos administrativos para suspender el daño al entorno.</t>
  </si>
  <si>
    <t>INCORPORACION DE ZONAS</t>
  </si>
  <si>
    <t>Audiencia para el martes 18 de marzo de 2025, a las 11:30 de la mañana,
la celebración de la reunión de verificación de cumplimiento del fallo, la cual se
llevará a cabo de forma presencial en la sede judicial del CAN</t>
  </si>
  <si>
    <t>2011-00002</t>
  </si>
  <si>
    <t xml:space="preserve"> El 17 de junio de 2022 se corre traslado para presentar alegatos de conclusión los cuales son presentados en oportunidad por conducto de la SJD,fallo de segunda instancia de fecha 4 de otubre de 2023 ordenando modificar los numerales 5° y 7° de la sentencia de primera instancia y adicionando el numeral catorce.9-11-2023 auto obedezcase y cumplase. 12-12- 2023 auto ordene requerir cumplimiento de sentencia. Se realizó reunión interinstitucional de seguimiento en la cual la Secretaría Distrital de Planeación y la Secretaría Distrital del Hábitat se comprometieron a reunirse el 11 de enero para evaluar el cumplimiento del artículo 5º del fallo respecto a iniciar el proceso administrativo de Formalización.De acuerdo con lo anterior, se tiene agendada reunión para el día 6 de febrero
de 2024, como quiera que, de acuerdo con lo señalado por la Secretaría Distrital del Hábitat del estudio que se realice por parte del Comité Técnico de Legalización y Formalización Urbanística en reunión de finales de enero se establecerán claridades frente al instrumento urbanístico reseñado por el Juzgado para cumplir con las finalidades de la acción popular. En ese orden de ideas, se tiene agendada reunión para el 6 de febrero fecha en el cual se acordará cronograma. Se asiste a reunion sin embargo  se establecen compromisos para la Secretaría Distrital del Hábitat: Estudio de viabilidad, Secretaria Distrital de Planeación y alcaldia local teniendo en cuenta que la ultima orden es para el dadep de recibir las zonas. se asiste a mesa de trabajo en la alcaldia local usaquen el 11-3-2024. EL 11 DE MARZO DE 2024  se radico ante el juzgado viable la aplicación del el concepto no viabilidad de plicacion del  instrumento de Regularización/Formalización concepto emitido por SDP. el 12 -3-2024 ingresa al DESPACHO. 24 JUNIO DE 2024 SE REALIZA VISITA A LA ZONA POR PARTE DE LA SRI . Acta de reunion JAC Desarrollo legalizado Barrancas 20244000062322 del 26/03/2024. se remite a SJD y el 27-6-2024 se radica por parte de SJD informe al despacho. el 16-1-2025 auto ordena cumplimiento entidades da 10 dias. se remite informe  a SJD orfeo 20251300009381 de fecha 29-1-2025. El proceso entra al despacho el día 05/03/2025</t>
  </si>
  <si>
    <t>PRIMERA INSTANCIA</t>
  </si>
  <si>
    <t xml:space="preserve">SENTENCIA DE  PRIMERA INSTANCIA 10/10/2017 Y DE SEGUNDA INSTANCIA DEL 10 DE JUNIO DE 2020: ORDENÓ  CULMINAR LOS PARQUEADEROS EN LAS INSTANLACONES
Se ampara el derecho o interés colectivo al goce del espacio público, vulnerado por la acción u omisión de la Policía Nacional, Distrito Capital,
Dirección de Tránsito y Transporte de la Policía Nacional — Seccional Bogotá y la Corporación Educativa Indoamericana Limitada, con ocasión de la invasión del espacio público que se presenta en el sector comprendido entre la carrera 15 bis entrel calles 39 y 39 bis y entre las calles 38 a 39 bis carreras 14 a 16 del sector de Teusaquillo de Bogotá D. C.Se allega informe de cumplimiento el 11/11/2021. 28/0672024 Se notificó por estado auto que convoca audiencia de verificación de cumplimiento, la cual se llevará a cabo el día 5 de diciembre de 2024 a las ocho y treinta de la mañana (08:30 a.m.),  la diligencia debe comparecer, el Procurador Judicial Delegado ante este Despacho Judicial, el Representante Legal de la Corporación Educativa IndoamericanaLimitada, el Comandante de la policía Metropolitana de Bogotá, el Comandante de la estación de Policía de Teusaquillo y los Representantes Legales del Distrito Capital,
Alcaldía Local de Teusaquillo y la dirección de Tránsito y Transporte de la policía Nacional Seccional Bogotá. 31/07/2024, Accionante allegó memorial solicitando apertura incidente de desacato </t>
  </si>
  <si>
    <t>2013-00183
11001333603820130018300</t>
  </si>
  <si>
    <t>26/01/2024</t>
  </si>
  <si>
    <t>Coordinar con la Alcaldia Local de Kennedy la fijación,
adopción y ejecución de las medidas administrativas correspondientes</t>
  </si>
  <si>
    <t>Se realizo memorando al Subdirector de Gestión inmobiliario solicitando las acciones realizadas.</t>
  </si>
  <si>
    <r>
      <t xml:space="preserve">POSIBLE INVASION DEL ESPACIO PUBLICO DEL ESTABLECIMIENTO </t>
    </r>
    <r>
      <rPr>
        <i/>
        <sz val="12"/>
        <rFont val="Century Gothic"/>
        <family val="2"/>
      </rPr>
      <t>"PIZZERIA DA QUEI MATTI"</t>
    </r>
  </si>
  <si>
    <r>
      <t xml:space="preserve">CUMPLIMIENTO RESOLUCION 1175 de 3/12/2015 </t>
    </r>
    <r>
      <rPr>
        <i/>
        <sz val="12"/>
        <rFont val="Century Gothic"/>
        <family val="2"/>
      </rPr>
      <t>"Por la cual se determina una zona especial, por seguridad en la Localidad de Engativá"</t>
    </r>
  </si>
  <si>
    <t>19-12-2023 apoderado de la demandante radica recurso de reposicion subsidio queja sobre auto que niega las pruebas solicitadas por el demandante , se radica escrito de oposicion de recurso por parte del apoderado del Distrito  el 26-2-2024 al despacho , auto de fecha 29-2-2024  resuelve NO reponer el auto de 19 de octubre de 2023, por las razones. auto 3 de abril de 2024 se remite al tribunal a fin de resolver recurso de queja. Auto de fecha 2 de mayo de 2024 deniega recurso apelacion interpuesto por del accionante,  ORDENA NOTIFICAR ANI EL 7-5-2024.22-5-2024 ANI radica memorial- en secretaria. auto de fecha 25 julio de 2024 se corre traslado de la contestacion de la ANI se deniega solicitud de pruebas de la parte actora. AUTO DE FECHA 20-9-2024 TRASLADO PARA ALEGATOS DE CONCLUSION. auto 31-10-2024  repone parciaomente Se le concede el término de diez (10) días, al apoderado del IDU, a fin de que allegue con destino a estas diligencias, las prueba decretadas en el numeral 2.1., del auto de 7 de septiembre de 2023, esto es, los estudios técnicos, órdenes administrativas que concluyeron con la expedición del Oficio 28456 de 20 de noviembre de 1998.
  auto de fecha 5-12-2024 correo traslado documento aportadas por el Instituto de Desarrollo Urbano - IDU, “MEMORANDO 202432500339723 de 6 de noviembre de 2024 el 27-1-2025 ingresa al despacho con traslado de pruebas. El 04/03/2025 ingresa al despacho  con solicitud de nulidad</t>
  </si>
  <si>
    <t>Contestacin de la demanda</t>
  </si>
  <si>
    <t>11001310303019940649400
1994-06494</t>
  </si>
  <si>
    <t>DESACATO</t>
  </si>
  <si>
    <t xml:space="preserve">Auto admisorio de la demanda 13/12/2024 traslado para contestacion de la demanda el 16/12/2024, el 13 de enero de 2025 se debe descorrer traslado de la medida cautelar. se remite informacion al apoderado SJD mediante orfeo 20251300001521 de fecha 9 enero de 2025 auto de fecha 6 de febrero de 2025 niega medida cautelar solicitada por el demandante. audiencia 26-2-2025 pacto de cumplimiento se aplaza por solicitud el Min publico para el 5 Marzo de 2025 a las 9 am
</t>
  </si>
  <si>
    <t>Presentacion de la demanda</t>
  </si>
  <si>
    <t>2019-00611
110013103035
20190061100</t>
  </si>
  <si>
    <t>LA AUDIENCIA DEL 21-02-2025 FUE SUSPENDIDA POR SOLICITUD DE LAS PARTES</t>
  </si>
  <si>
    <t>2020-00213
 (110013103010
20200021300)</t>
  </si>
  <si>
    <t>31.07-2024</t>
  </si>
  <si>
    <t>31-10-2024</t>
  </si>
  <si>
    <t>RESTITUCION POR PARTE DE LA ALCALDIA LOCAL DE KENNEDY</t>
  </si>
  <si>
    <t>CORPORATIVA</t>
  </si>
  <si>
    <t xml:space="preserve">SE REALIZARA EL SEGUIMIENTO PROCESAL EN EL ENTENDIDO QUE EL 27 DE NOVIEMBRE DE 2020 EL TRIBUNAL SUPERIOR RESUELVE LO SIGUIENTE  DECLARAR LA NULIDAD DE TODO LO ACTUADO A PARTIR DE LA PUBLICACIÓN DEL AVISO A LOS MIEMBROS DE LA COMUNIDAD , CON EXCEPCIÓN DE LAS PRUEBAS QUE HUBIESEN SIDO LEGALMENTE PRACTICADAS E INCORPORADAS AL PROCESO EN PRIMERA Y SEGUNDA INSTANCIA Y TAMBIÉN ORDENO AL JUZGADO VEINTITRÉS CIVIL DEL CIRCUITO DE BOGOTÁ,D.C., REHACER LA ACTUACIÓN NULITADA EN LA FORMA ORDENADA EN LA PARTE MOTIVA Y LA PARTE ACTORA PROCEDA CON LO DE SU CARGO.                                                                                                                                                                                                  EL 11 DE JUNIO DE 2021 EL JUZGADO 23 CIVIL DEL CIRCUITO SE PRONUNCIA CON ABSTENERSE DE ASUMIR EL CONOCIMIENTO DE ESTE CASO POR FALTA DE COMPETENCIA FUNCIONAL / ACEPTAR EL CONFLICTO NEGATIVO DE COMPETENCIA PROPUESTO POR EL JUZGADO VEINTICUATRO CIVIL DEL CIRCUITO DE ESTA CIUDAD /POR SECRETARÍA REMÍTANSE LAS PRESENTES DILIGENCIAS A LA SALA CIVIL DEL TRIBUNAL SUPERIOR DE BOGOTÁ, A EFECTOS DE QUE SE DIRIMA EL CONFLICTO AQUÍ PLANTEADO.                                                                                                                                                                                                       EN LA RAMA JUDICIAL LA ÚLTIMA ACTUACIÓN APARECE CON RECEPCIÓN DEL EXPEDIENTE EL CUAL LLEGA DE DIGITALIZACIÓN DE FECHA 11 DE OCTUBRE DE 2021. SE LLEVO A CABO MESA DE TRABAJO EL DIA 25 DE ABRIL DE 2022 EN LA FUNDACION ZAFIR SUBA, SIN EMBARGO NO SE LOGRO AVANCES PUES EL URBANIZADOR NO ASISTIO, EL DADEP SE COMPROMETIO A DAR RAMITE PRIORITARIO A LA ENTREGA DE ZONAS DE CESION UNA VEZ EL URBANIZADOR RADIQUE LA SOLICITUD. se realza consulta en la rama judicial el dia 10/08/2022. se radica memoral de impuldo procesal el 6-12-2022. Al despacho 20-01-2023. Auto de fecha 24-3-2023 se oficia al tribunal a fin de informar sobre la remision del expediente. Mediante solicitud de fecha 21-4-2023 se radica solicitud de impulso procesal dando cumplimiento al auto de fecha 24-3-2023. Auto de fecha 5 de Mayo de 2023, se profieren oficios al tribunal solicitando la remision del expediente y la decision del conflicto de comperencia. el dia 30 de Mayo de 2023 se requiere al despacho a fin de continuar con el trámite procesal correspondiente. Se revisa la web de la rama el 28-6-2023 sin novedad procesal. el 16-8-2023 CON DESTINO AL CENTRO DE REGISTRO DE ACCIONES POPULARES DE LA DEFENSORIA DEL PUEBLO CONSTANCIA EN EL EXPEDIENTE FISICO Y ONE DRIVE (rama del juzgado). Auto de fecha 8 Noviembre de 2023 , registro nacional de personas emplezadas. el 1-11-2024 ingresa al despacho.  auto nombra Auxiliar de la Justicia fijacion estado 15-3-2024 EN REPRESENTACION DEL URBANIZADOR DE CAMINOS DE LA ESPERANZA. el 1 de abril de 2024 se radica solicitud de elaboracion de telegrama a curador designado y el la misma fecha se registra la elaboracion del mismo en la web de la rama.2024-05-10 Recepción memorial. Impulso procesal desde el 24-7-2024. 2024-07-26	Telegrama	AM SE REMITE TELEGRAMA °0143 CURADOR AD LITEM POR 472. memorial solicitud impulso procesal 21-8-2024.ingresó al despacho 21-8-2024. auto de fecha 27-8-2024 Auto nombra Auxiliar de la Justicia.2025-01-24 Telegrama	AM REMITO TELEGRAMA 85 A CURADOR AD LITEM auto de fecha 24 de febrero de 2025 designa nuevo curador </t>
  </si>
  <si>
    <t xml:space="preserve"> 2021-00341
11001310301420210034100
</t>
  </si>
  <si>
    <t xml:space="preserve">362074	 </t>
  </si>
  <si>
    <t>(2021-00385)
110013103037
20210038500</t>
  </si>
  <si>
    <t>20-02-2022</t>
  </si>
  <si>
    <t>28-01-2025</t>
  </si>
  <si>
    <t>RESTITUCION POR PARTE DE LA ALCALDIA LOCAL DE KENENDY</t>
  </si>
  <si>
    <t>CUMPLIMIENTO DE LA SENTENCIA</t>
  </si>
  <si>
    <t xml:space="preserve"> AUTO ADMISORIO DE LA DEMANDA DE FECHA 17 MAYO DE 2023, EL 14 JUNIO DE 2023 SE REMITEN OFICIOS A LAS ENTIDADES VINCULADAS EL 13 JUNIO SE REMITE NOTIFICACION POR CORREO ELECTRONICO AL ACCIONADO, CONTESTACION POR PARTE DEL DEMANDADO EL 7-7-2023, PROCESO AL DESPACHO DESDE EL 9-8-2023. el 27-9-2023 se lleva a cabo continuacion audiencia pacto de cumplimiento, se suspende para presentar formula de conciliación ante el comite , diligencia se reprograma para el 14 Noviembre 2023. SRI remite oficio 20232010037553 informando que se reviso la documentacion a urbanización Prados de Suba de la localidad de Suba cuenta con los parámetros establecidos en el artículo 20 del Decreto 072 del 15-02- 2023 . Se programa diligencia de continuacion para el 4 Diciembre de 2023 a las 9:00 am para formula de pacto auto de fecha 17 Noviembre de 2023. 2023-12-15 AL DESPACHO CON CERTIFICADO DE COMITÉ DE CONCILIACIÓN. auto decretas pruebas 5 de marzo de 2024. el 8 de abril de 2024 ingresa al despacho. Auto de fecha 9 de agosto de 2024 notificado estados 2 de agosto de 2024 Traslado para alegatos de conclusion, se presenta alegatos de conclusion radicado orfeo 20241300113951 de fecha 14 -8-2024.18-9-2024 ingresa al despacho para sentncia.desde el 26-2-2025 ingreso al despacho con recurso de apelacion.</t>
  </si>
  <si>
    <t>APELACION SENTENCIA 1° INSTANCIA</t>
  </si>
  <si>
    <t>2025-00010</t>
  </si>
  <si>
    <t>14/02/2025</t>
  </si>
  <si>
    <t>JUZGADO 53 ADMINISTRATIVO DE BOGOTA</t>
  </si>
  <si>
    <t>LUZ ESTELLA DÍAZ AREVALO Y YOHANNA
ALEXANDRA LEAL ROA</t>
  </si>
  <si>
    <t>ALCALDÍA MAYOR DE BOGOTÁ – SECRETARÍA DE
PLANEACIÓN, SECRETARÍA DE MOVILIDAD,
INSTITUTO DE DESARROLLO URBANO Y OTROS</t>
  </si>
  <si>
    <t>MEJORAMIENTO Y CONSTRUCCION  ZONA RESERVA VIAL AV CASTILLA</t>
  </si>
  <si>
    <t>MEJORAMIENTO Y CONSTRUCCION  AV CASTILLA</t>
  </si>
  <si>
    <t>LA MAGDALENA ETAPA 1 Y 2</t>
  </si>
  <si>
    <t>3952
3530</t>
  </si>
  <si>
    <t>28.161.92 MTS</t>
  </si>
  <si>
    <t>Se dio contestacion a la demanda Orfeo 20251300027161 de fecha 27-2-2024</t>
  </si>
  <si>
    <t>11001334204620240044800</t>
  </si>
  <si>
    <t>ACCIÓN POPULAR</t>
  </si>
  <si>
    <t>JUZGADO 46 ADMINISTRATIVO DE LA SECCIÓN SEGUNDA DE BOGOTÁ D.C.</t>
  </si>
  <si>
    <t>JUNTA DE ACCIÓN COMUNAL DEL BARRIO JERUSALEN SECTOR POTOSÍ</t>
  </si>
  <si>
    <t>DEJAR EN EL ESTADO EN EL QUE SE ENCUENTRAN LAS ZONAS DE USO COMUNAL Y LAS ZONAS VERDES BARRIO JERUSALEN DE LA LOCALIDAD DE CIUDAD BOLIVAR.</t>
  </si>
  <si>
    <t>99.977 MTS</t>
  </si>
  <si>
    <t>AUDIENCIA PARA EL 18 DE MARZO DE 2025 A LAS 2:30 P.M., PARA AUDIENCIA DE PACTO DE CUMPLIMIENTO</t>
  </si>
  <si>
    <t>AUDIENCIA DE PACTO DE CUMPLIMIENTO.</t>
  </si>
  <si>
    <t>2015-00428
 110013336031
20150042800</t>
  </si>
  <si>
    <t>RESTITUCIÓN DEL BIEN INMEUBLE POR PARTE DE LA ALCALDIA LOCAL DE SANTAFE</t>
  </si>
  <si>
    <t xml:space="preserve">2020-00249
(110013343065
20200024900) </t>
  </si>
  <si>
    <t>SE PRESENTARON LOS ALEGATOS DE CONCLUSIÓN
15-01-2025</t>
  </si>
  <si>
    <t>2022-00046
250002336000
20220004600</t>
  </si>
  <si>
    <t>DESPACHO
 06-03-2024</t>
  </si>
  <si>
    <t xml:space="preserve">2020-00010
110013336037
20200001000 </t>
  </si>
  <si>
    <t xml:space="preserve">2020-00103
 (110013336036
202000010300)
</t>
  </si>
  <si>
    <t>SE CORRE TRASLADO DE ALEGATOS DE CONCLUSIÓN
25-11-2024</t>
  </si>
  <si>
    <t>2015-00578
 110013336038
20150057800</t>
  </si>
  <si>
    <t>2006-00118
110013331037
20060011800</t>
  </si>
  <si>
    <t xml:space="preserve">2022-00230
110013337043
20220023000
</t>
  </si>
  <si>
    <t>DESPACHO DEL TAC PARA APELACIÓN 31-10-2024</t>
  </si>
  <si>
    <t>(2022-00170)
110013336036
20220017000</t>
  </si>
  <si>
    <t>2006-00001
110013331037
20060000100</t>
  </si>
  <si>
    <t>DESPACHO
23-01-2025</t>
  </si>
  <si>
    <t>2006-00077
110013331031
20060007700</t>
  </si>
  <si>
    <t>EL JDO REQUIERE AL JDO 54 CM Y AL DADEP 17-10-2024</t>
  </si>
  <si>
    <t>2014-00146
110013336719 
20140014600</t>
  </si>
  <si>
    <t>AUTO REQUIERE AL DADEP 23-11-2024</t>
  </si>
  <si>
    <t>SENTENCIA FAVORABLE PARA LA ENTIDAD EN PRIMERA INSTANCIA</t>
  </si>
  <si>
    <t>SENTENCIA DE PRIMERA INSTANCIA NOTIFICADA EL 25 DE FEBRERO DE 2025</t>
  </si>
  <si>
    <t>ABOGADO</t>
  </si>
  <si>
    <t>FECHA</t>
  </si>
  <si>
    <t>AUDIENCIAS</t>
  </si>
  <si>
    <t>TUTELA</t>
  </si>
  <si>
    <t>REUNIONES DE SEGUIMIENTO</t>
  </si>
  <si>
    <t>IMPULSOS PROCESALES</t>
  </si>
  <si>
    <t>CONCILIACIONES</t>
  </si>
  <si>
    <t>DEMANDAS CONTESTADAS</t>
  </si>
  <si>
    <t>SENTENCIAS</t>
  </si>
  <si>
    <t>REQUERIMIENTOS Y/ O SOLICIITUDES DE OTRAS DEPENCIAS</t>
  </si>
  <si>
    <t>TOTAL PROCEDIMIENTOS</t>
  </si>
  <si>
    <t>edtiar</t>
  </si>
  <si>
    <t>terminar</t>
  </si>
  <si>
    <t>ver</t>
  </si>
  <si>
    <t>FAMILIAR 1</t>
  </si>
  <si>
    <t>AVANCE 1</t>
  </si>
  <si>
    <t>AVANCE 2</t>
  </si>
  <si>
    <t>AVANCE 3</t>
  </si>
  <si>
    <t>Asisti a una audiencia</t>
  </si>
  <si>
    <t>ADMINISTRATIVO CONTENCIOSO</t>
  </si>
  <si>
    <t>TERMINADOS</t>
  </si>
  <si>
    <t xml:space="preserve">TIPO DE ZONA (CESIÓN, FISCALES, DOTACIONAL, PREDIO PÚBLICO DE NO CESIÓN, INSTITUCIONAL) </t>
  </si>
  <si>
    <t>AUTOINCREMENTABLE</t>
  </si>
  <si>
    <t>TIPO_JURISDICCION(FOREIGN_KEY)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</si>
</sst>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44" formatCode="_-&quot;$&quot;\ * #,##0.00_-;\-&quot;$&quot;\ * #,##0.00_-;_-&quot;$&quot;\ * &quot;-&quot;??_-;_-@_-"/>
    <numFmt numFmtId="43" formatCode="_-* #,##0.00_-;\-* #,##0.00_-;_-* &quot;-&quot;??_-;_-@_-"/>
    <numFmt numFmtId="164" formatCode="&quot;$&quot;#,##0.00_);[Red]\(&quot;$&quot;#,##0.00\)"/>
    <numFmt numFmtId="165" formatCode="_(&quot;$&quot;* #,##0_);_(&quot;$&quot;* \(#,##0\);_(&quot;$&quot;* &quot;-&quot;_);_(@_)"/>
    <numFmt numFmtId="166" formatCode="_(&quot;$&quot;* #,##0.00_);_(&quot;$&quot;* \(#,##0.00\);_(&quot;$&quot;* &quot;-&quot;??_);_(@_)"/>
    <numFmt numFmtId="167" formatCode="_(* #,##0.00_);_(* \(#,##0.00\);_(* &quot;-&quot;??_);_(@_)"/>
    <numFmt numFmtId="168" formatCode="&quot;$&quot;#,##0;[Red]\-&quot;$&quot;#,##0"/>
    <numFmt numFmtId="169" formatCode="_-&quot;$&quot;* #,##0.00_-;\-&quot;$&quot;* #,##0.00_-;_-&quot;$&quot;* &quot;-&quot;??_-;_-@_-"/>
    <numFmt numFmtId="170" formatCode="0.000000%"/>
    <numFmt numFmtId="171" formatCode="&quot;$&quot;#,##0.00"/>
    <numFmt numFmtId="172" formatCode="_([$$-409]* #,##0.00_);_([$$-409]* \(#,##0.00\);_([$$-409]* &quot;-&quot;??_);_(@_)"/>
    <numFmt numFmtId="173" formatCode="dd/mm/yyyy"/>
  </numFmts>
  <fonts count="4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color theme="1"/>
      <name val="Calibri"/>
      <family val="2"/>
      <scheme val="minor"/>
    </font>
    <font>
      <sz val="11"/>
      <color theme="0"/>
      <name val="Century Gothic"/>
      <family val="2"/>
    </font>
    <font>
      <sz val="11"/>
      <color theme="1"/>
      <name val="Century Gothic"/>
      <family val="2"/>
    </font>
    <font>
      <b/>
      <sz val="9"/>
      <color theme="1"/>
      <name val="Century Gothic"/>
      <family val="2"/>
    </font>
    <font>
      <sz val="9"/>
      <name val="Century Gothic"/>
      <family val="2"/>
    </font>
    <font>
      <b/>
      <sz val="9"/>
      <name val="Century Gothic"/>
      <family val="2"/>
    </font>
    <font>
      <sz val="9"/>
      <color theme="1"/>
      <name val="Century Gothic"/>
      <family val="2"/>
    </font>
    <font>
      <sz val="9"/>
      <color rgb="FF000000"/>
      <name val="Century Gothic"/>
      <family val="2"/>
    </font>
    <font>
      <sz val="9"/>
      <color rgb="FFFF0000"/>
      <name val="Century Gothic"/>
      <family val="2"/>
    </font>
    <font>
      <sz val="9"/>
      <color rgb="FF333333"/>
      <name val="Century Gothic"/>
      <family val="2"/>
    </font>
    <font>
      <i/>
      <sz val="9"/>
      <color rgb="FF000000"/>
      <name val="Century Gothic"/>
      <family val="2"/>
    </font>
    <font>
      <i/>
      <sz val="9"/>
      <name val="Century Gothic"/>
      <family val="2"/>
    </font>
    <font>
      <sz val="9"/>
      <color rgb="FF444444"/>
      <name val="Century Gothic"/>
      <family val="2"/>
    </font>
    <font>
      <sz val="9"/>
      <color rgb="FF242424"/>
      <name val="Century Gothic"/>
      <family val="2"/>
    </font>
    <font>
      <sz val="9"/>
      <color rgb="FF1F1F1F"/>
      <name val="Century Gothic"/>
      <family val="2"/>
    </font>
    <font>
      <b/>
      <sz val="9"/>
      <color rgb="FF000000"/>
      <name val="Century Gothic"/>
      <family val="2"/>
    </font>
    <font>
      <b/>
      <sz val="9"/>
      <color rgb="FFFF0000"/>
      <name val="Century Gothic"/>
      <family val="2"/>
    </font>
    <font>
      <sz val="9"/>
      <color rgb="FFFFFFFF"/>
      <name val="Century Gothic"/>
      <family val="2"/>
    </font>
    <font>
      <b/>
      <sz val="12"/>
      <name val="Century Gothic"/>
      <family val="2"/>
    </font>
    <font>
      <b/>
      <sz val="12"/>
      <color rgb="FF000000"/>
      <name val="Century Gothic"/>
      <family val="2"/>
    </font>
    <font>
      <sz val="12"/>
      <name val="Century Gothic"/>
      <family val="2"/>
    </font>
    <font>
      <sz val="24"/>
      <color theme="0"/>
      <name val="Century Gothic"/>
      <family val="2"/>
    </font>
    <font>
      <sz val="12"/>
      <name val="Arial"/>
      <family val="2"/>
    </font>
    <font>
      <i/>
      <sz val="12"/>
      <name val="Century Gothic"/>
      <family val="2"/>
    </font>
    <font>
      <b/>
      <sz val="12"/>
      <name val="Century Schoolbook"/>
      <family val="1"/>
    </font>
    <font>
      <sz val="12"/>
      <name val="Century Schoolbook"/>
      <family val="1"/>
    </font>
    <font>
      <i/>
      <sz val="12"/>
      <name val="Century Schoolbook"/>
      <family val="1"/>
    </font>
    <font>
      <sz val="10"/>
      <name val="Century Gothic"/>
      <family val="2"/>
    </font>
    <font>
      <b/>
      <sz val="10"/>
      <name val="Century Gothic"/>
      <family val="2"/>
    </font>
    <font>
      <b/>
      <sz val="26"/>
      <color theme="1" tint="0.249977111117893"/>
      <name val="Century Gothic"/>
      <family val="2"/>
    </font>
    <font>
      <sz val="10"/>
      <name val="Century Gothic"/>
    </font>
    <font>
      <sz val="12"/>
      <color theme="1"/>
      <name val="Century Gothic"/>
      <family val="2"/>
    </font>
    <font>
      <b/>
      <sz val="12"/>
      <color theme="0"/>
      <name val="Century Gothic"/>
      <family val="2"/>
    </font>
    <font>
      <b/>
      <sz val="12"/>
      <color rgb="FFFF0000"/>
      <name val="Century Gothic"/>
    </font>
  </fonts>
  <fills count="17">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4" tint="0.59999389629810485"/>
        <bgColor indexed="64"/>
      </patternFill>
    </fill>
    <fill>
      <patternFill patternType="solid">
        <fgColor theme="2"/>
        <bgColor indexed="64"/>
      </patternFill>
    </fill>
    <fill>
      <patternFill patternType="solid">
        <fgColor rgb="FFFFFFFF"/>
        <bgColor indexed="64"/>
      </patternFill>
    </fill>
    <fill>
      <patternFill patternType="solid">
        <fgColor rgb="FFFFFFFF"/>
        <bgColor rgb="FF000000"/>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bgColor indexed="64"/>
      </patternFill>
    </fill>
    <fill>
      <patternFill patternType="solid">
        <fgColor theme="0" tint="-4.9989318521683403E-2"/>
        <bgColor indexed="64"/>
      </patternFill>
    </fill>
    <fill>
      <patternFill patternType="solid">
        <fgColor theme="9"/>
        <bgColor indexed="64"/>
      </patternFill>
    </fill>
    <fill>
      <patternFill patternType="solid">
        <fgColor theme="4"/>
        <bgColor theme="4"/>
      </patternFill>
    </fill>
    <fill>
      <patternFill patternType="solid">
        <fgColor theme="4" tint="-0.249977111117893"/>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indexed="64"/>
      </right>
      <top style="thin">
        <color indexed="64"/>
      </top>
      <bottom/>
      <diagonal/>
    </border>
    <border>
      <left style="thin">
        <color rgb="FF505050"/>
      </left>
      <right style="thin">
        <color rgb="FF505050"/>
      </right>
      <top style="thin">
        <color rgb="FF505050"/>
      </top>
      <bottom style="thin">
        <color rgb="FF505050"/>
      </bottom>
      <diagonal/>
    </border>
    <border>
      <left style="thin">
        <color indexed="64"/>
      </left>
      <right/>
      <top/>
      <bottom style="thin">
        <color indexed="64"/>
      </bottom>
      <diagonal/>
    </border>
    <border>
      <left style="thin">
        <color rgb="FF505050"/>
      </left>
      <right style="thin">
        <color rgb="FF505050"/>
      </right>
      <top style="thin">
        <color rgb="FF505050"/>
      </top>
      <bottom/>
      <diagonal/>
    </border>
    <border>
      <left/>
      <right style="thin">
        <color rgb="FF505050"/>
      </right>
      <top style="thin">
        <color rgb="FF505050"/>
      </top>
      <bottom style="thin">
        <color rgb="FF505050"/>
      </bottom>
      <diagonal/>
    </border>
    <border>
      <left/>
      <right/>
      <top/>
      <bottom style="thin">
        <color rgb="FF000000"/>
      </bottom>
      <diagonal/>
    </border>
    <border>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style="thin">
        <color rgb="FFF0F0F0"/>
      </left>
      <right style="thin">
        <color rgb="FFF0F0F0"/>
      </right>
      <top style="thin">
        <color rgb="FFF0F0F0"/>
      </top>
      <bottom style="thin">
        <color rgb="FFF0F0F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indexed="64"/>
      </right>
      <top/>
      <bottom/>
      <diagonal/>
    </border>
    <border>
      <left style="medium">
        <color rgb="FF000000"/>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diagonal/>
    </border>
    <border>
      <left style="thin">
        <color indexed="64"/>
      </left>
      <right style="thin">
        <color indexed="64"/>
      </right>
      <top style="medium">
        <color rgb="FF000000"/>
      </top>
      <bottom/>
      <diagonal/>
    </border>
    <border>
      <left style="thin">
        <color indexed="64"/>
      </left>
      <right/>
      <top/>
      <bottom/>
      <diagonal/>
    </border>
    <border>
      <left/>
      <right/>
      <top style="thin">
        <color theme="4"/>
      </top>
      <bottom/>
      <diagonal/>
    </border>
    <border>
      <left style="thin">
        <color theme="4"/>
      </left>
      <right/>
      <top style="thin">
        <color theme="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s>
  <cellStyleXfs count="22">
    <xf numFmtId="0" fontId="0" fillId="0" borderId="0"/>
    <xf numFmtId="167" fontId="5" fillId="0" borderId="0" applyFont="0" applyFill="0" applyBorder="0" applyAlignment="0" applyProtection="0"/>
    <xf numFmtId="166" fontId="5" fillId="0" borderId="0" applyFont="0" applyFill="0" applyBorder="0" applyAlignment="0" applyProtection="0"/>
    <xf numFmtId="9" fontId="5" fillId="0" borderId="0" applyFont="0" applyFill="0" applyBorder="0" applyAlignment="0" applyProtection="0"/>
    <xf numFmtId="0" fontId="5" fillId="0" borderId="0"/>
    <xf numFmtId="169" fontId="5" fillId="0" borderId="0" applyFont="0" applyFill="0" applyBorder="0" applyAlignment="0" applyProtection="0"/>
    <xf numFmtId="167" fontId="5" fillId="0" borderId="0" applyFont="0" applyFill="0" applyBorder="0" applyAlignment="0" applyProtection="0"/>
    <xf numFmtId="0" fontId="4" fillId="0" borderId="0"/>
    <xf numFmtId="43" fontId="4" fillId="0" borderId="0" applyFont="0" applyFill="0" applyBorder="0" applyAlignment="0" applyProtection="0"/>
    <xf numFmtId="169" fontId="4" fillId="0" borderId="0" applyFont="0" applyFill="0" applyBorder="0" applyAlignment="0" applyProtection="0"/>
    <xf numFmtId="9" fontId="4" fillId="0" borderId="0" applyFont="0" applyFill="0" applyBorder="0" applyAlignment="0" applyProtection="0"/>
    <xf numFmtId="0" fontId="3" fillId="0" borderId="0"/>
    <xf numFmtId="43" fontId="3" fillId="0" borderId="0" applyFont="0" applyFill="0" applyBorder="0" applyAlignment="0" applyProtection="0"/>
    <xf numFmtId="169"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7" fillId="0" borderId="0"/>
    <xf numFmtId="169" fontId="7" fillId="0" borderId="0" applyFont="0" applyFill="0" applyBorder="0" applyAlignment="0" applyProtection="0"/>
    <xf numFmtId="0" fontId="1" fillId="0" borderId="0"/>
  </cellStyleXfs>
  <cellXfs count="899">
    <xf numFmtId="0" fontId="0" fillId="0" borderId="0" xfId="0"/>
    <xf numFmtId="0" fontId="0" fillId="0" borderId="0" xfId="0" applyAlignment="1">
      <alignment horizontal="left"/>
    </xf>
    <xf numFmtId="0" fontId="0" fillId="0" borderId="0" xfId="0" pivotButton="1"/>
    <xf numFmtId="0" fontId="11" fillId="0" borderId="0" xfId="0" applyFont="1"/>
    <xf numFmtId="0" fontId="12" fillId="2" borderId="0" xfId="0" applyFont="1" applyFill="1" applyAlignment="1">
      <alignment horizontal="center" vertical="center" wrapText="1"/>
    </xf>
    <xf numFmtId="0" fontId="11" fillId="2" borderId="0" xfId="0" applyFont="1" applyFill="1" applyAlignment="1">
      <alignment horizontal="center" vertical="center" wrapText="1"/>
    </xf>
    <xf numFmtId="0" fontId="13"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14" fontId="13" fillId="2" borderId="1" xfId="0" applyNumberFormat="1" applyFont="1" applyFill="1" applyBorder="1" applyAlignment="1">
      <alignment horizontal="center" vertical="center" wrapText="1"/>
    </xf>
    <xf numFmtId="0" fontId="13" fillId="2" borderId="15" xfId="0" applyFont="1" applyFill="1" applyBorder="1" applyAlignment="1">
      <alignment horizontal="center" vertical="center" wrapText="1"/>
    </xf>
    <xf numFmtId="166" fontId="13" fillId="2" borderId="1" xfId="2" applyFont="1" applyFill="1" applyBorder="1" applyAlignment="1">
      <alignment horizontal="center" vertical="center" wrapText="1"/>
    </xf>
    <xf numFmtId="49" fontId="13" fillId="2" borderId="1" xfId="2" applyNumberFormat="1" applyFont="1" applyFill="1" applyBorder="1" applyAlignment="1">
      <alignment horizontal="center" vertical="center" wrapText="1"/>
    </xf>
    <xf numFmtId="167" fontId="13" fillId="2" borderId="1" xfId="1" applyFont="1" applyFill="1" applyBorder="1" applyAlignment="1">
      <alignment horizontal="center" vertical="center" wrapText="1"/>
    </xf>
    <xf numFmtId="14" fontId="13" fillId="2" borderId="1" xfId="2" applyNumberFormat="1" applyFont="1" applyFill="1" applyBorder="1" applyAlignment="1">
      <alignment horizontal="center" vertical="center" wrapText="1"/>
    </xf>
    <xf numFmtId="0" fontId="11" fillId="2" borderId="0" xfId="0" applyFont="1" applyFill="1" applyAlignment="1">
      <alignment vertical="center" wrapText="1"/>
    </xf>
    <xf numFmtId="0" fontId="13" fillId="2" borderId="1" xfId="2" applyNumberFormat="1" applyFont="1" applyFill="1" applyBorder="1" applyAlignment="1">
      <alignment horizontal="center" vertical="center" wrapText="1"/>
    </xf>
    <xf numFmtId="0" fontId="13" fillId="2" borderId="7" xfId="0" applyFont="1" applyFill="1" applyBorder="1" applyAlignment="1">
      <alignment horizontal="center" vertical="center" wrapText="1"/>
    </xf>
    <xf numFmtId="3" fontId="13" fillId="2" borderId="1" xfId="2" applyNumberFormat="1" applyFont="1" applyFill="1" applyBorder="1" applyAlignment="1">
      <alignment horizontal="center" vertical="center" wrapText="1"/>
    </xf>
    <xf numFmtId="0" fontId="14" fillId="0" borderId="1" xfId="0" applyFont="1" applyBorder="1" applyAlignment="1">
      <alignment wrapText="1"/>
    </xf>
    <xf numFmtId="14" fontId="14" fillId="0" borderId="13" xfId="0" applyNumberFormat="1" applyFont="1" applyBorder="1" applyAlignment="1">
      <alignment wrapText="1"/>
    </xf>
    <xf numFmtId="49" fontId="14" fillId="7" borderId="13" xfId="0" applyNumberFormat="1" applyFont="1" applyFill="1" applyBorder="1" applyAlignment="1">
      <alignment horizontal="center" vertical="center" wrapText="1"/>
    </xf>
    <xf numFmtId="49" fontId="14" fillId="7"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14" fontId="13" fillId="0" borderId="1" xfId="0" applyNumberFormat="1" applyFont="1" applyBorder="1" applyAlignment="1">
      <alignment horizontal="center" vertical="center" wrapText="1"/>
    </xf>
    <xf numFmtId="49" fontId="13" fillId="2" borderId="1" xfId="0" applyNumberFormat="1"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0" fontId="11" fillId="7" borderId="13" xfId="0" applyFont="1" applyFill="1" applyBorder="1" applyAlignment="1">
      <alignment horizontal="center" vertical="center" wrapText="1"/>
    </xf>
    <xf numFmtId="1" fontId="13" fillId="2" borderId="1" xfId="2" applyNumberFormat="1" applyFont="1" applyFill="1" applyBorder="1" applyAlignment="1">
      <alignment horizontal="center" vertical="center" wrapText="1"/>
    </xf>
    <xf numFmtId="14" fontId="14" fillId="7" borderId="1" xfId="0" applyNumberFormat="1" applyFont="1" applyFill="1" applyBorder="1" applyAlignment="1">
      <alignment horizontal="center" vertical="center" wrapText="1"/>
    </xf>
    <xf numFmtId="14" fontId="11" fillId="2" borderId="1" xfId="0" applyNumberFormat="1" applyFont="1" applyFill="1" applyBorder="1" applyAlignment="1">
      <alignment horizontal="center" vertical="center" wrapText="1"/>
    </xf>
    <xf numFmtId="0" fontId="13" fillId="2" borderId="1" xfId="4" applyFont="1" applyFill="1" applyBorder="1" applyAlignment="1">
      <alignment horizontal="center" vertical="center" wrapText="1"/>
    </xf>
    <xf numFmtId="166" fontId="11" fillId="2" borderId="1" xfId="2" applyFont="1" applyFill="1" applyBorder="1" applyAlignment="1">
      <alignment horizontal="center" vertical="center" wrapText="1"/>
    </xf>
    <xf numFmtId="167" fontId="11" fillId="2" borderId="1" xfId="1" applyFont="1" applyFill="1" applyBorder="1" applyAlignment="1">
      <alignment horizontal="center" vertical="center" wrapText="1"/>
    </xf>
    <xf numFmtId="49" fontId="11" fillId="2" borderId="1" xfId="1" applyNumberFormat="1" applyFont="1" applyFill="1" applyBorder="1" applyAlignment="1">
      <alignment horizontal="center" vertical="center" wrapText="1"/>
    </xf>
    <xf numFmtId="49" fontId="11" fillId="2" borderId="1" xfId="2" applyNumberFormat="1"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170" fontId="11" fillId="2" borderId="1" xfId="3" applyNumberFormat="1" applyFont="1" applyFill="1" applyBorder="1" applyAlignment="1">
      <alignment horizontal="center" vertical="center" wrapText="1"/>
    </xf>
    <xf numFmtId="49" fontId="11" fillId="0" borderId="1" xfId="0" applyNumberFormat="1" applyFont="1" applyBorder="1" applyAlignment="1">
      <alignment horizontal="center" vertical="center"/>
    </xf>
    <xf numFmtId="49" fontId="11" fillId="0" borderId="1" xfId="0" applyNumberFormat="1" applyFont="1" applyBorder="1" applyAlignment="1">
      <alignment horizontal="center" vertical="center" wrapText="1"/>
    </xf>
    <xf numFmtId="167" fontId="13" fillId="0" borderId="1" xfId="6" applyFont="1" applyFill="1" applyBorder="1" applyAlignment="1">
      <alignment horizontal="center" vertical="center" wrapText="1"/>
    </xf>
    <xf numFmtId="169" fontId="13" fillId="0" borderId="1" xfId="5" applyFont="1" applyFill="1" applyBorder="1" applyAlignment="1">
      <alignment horizontal="center" vertical="center" wrapText="1"/>
    </xf>
    <xf numFmtId="49" fontId="13" fillId="0" borderId="1" xfId="5" applyNumberFormat="1" applyFont="1" applyFill="1" applyBorder="1" applyAlignment="1">
      <alignment horizontal="center" vertical="center" wrapText="1"/>
    </xf>
    <xf numFmtId="0" fontId="13" fillId="0" borderId="1" xfId="4" applyFont="1" applyBorder="1" applyAlignment="1">
      <alignment horizontal="center" vertical="center" wrapText="1"/>
    </xf>
    <xf numFmtId="14" fontId="11" fillId="2" borderId="1" xfId="2" applyNumberFormat="1" applyFont="1" applyFill="1" applyBorder="1" applyAlignment="1">
      <alignment horizontal="center" vertical="center" wrapText="1"/>
    </xf>
    <xf numFmtId="49" fontId="16" fillId="7" borderId="0" xfId="0" applyNumberFormat="1" applyFont="1" applyFill="1" applyAlignment="1">
      <alignment horizontal="left" vertical="center" wrapText="1"/>
    </xf>
    <xf numFmtId="0" fontId="11" fillId="7" borderId="1" xfId="0" applyFont="1" applyFill="1" applyBorder="1" applyAlignment="1">
      <alignment horizontal="center"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xf>
    <xf numFmtId="14" fontId="13" fillId="0" borderId="1" xfId="5" applyNumberFormat="1" applyFont="1" applyFill="1" applyBorder="1" applyAlignment="1">
      <alignment horizontal="center" vertical="center" wrapText="1"/>
    </xf>
    <xf numFmtId="0" fontId="17" fillId="6" borderId="0" xfId="0" applyFont="1" applyFill="1" applyAlignment="1">
      <alignment wrapText="1"/>
    </xf>
    <xf numFmtId="49" fontId="13" fillId="0" borderId="1" xfId="6" applyNumberFormat="1" applyFont="1" applyFill="1" applyBorder="1" applyAlignment="1">
      <alignment horizontal="center" vertical="center" wrapText="1"/>
    </xf>
    <xf numFmtId="0" fontId="11" fillId="2" borderId="1" xfId="0" applyFont="1" applyFill="1" applyBorder="1" applyAlignment="1">
      <alignment horizontal="left" vertical="center" wrapText="1"/>
    </xf>
    <xf numFmtId="14" fontId="11" fillId="7" borderId="13" xfId="0" applyNumberFormat="1" applyFont="1" applyFill="1" applyBorder="1" applyAlignment="1">
      <alignment horizontal="center" vertical="center" wrapText="1"/>
    </xf>
    <xf numFmtId="49" fontId="11" fillId="7" borderId="13" xfId="0" applyNumberFormat="1" applyFont="1" applyFill="1" applyBorder="1" applyAlignment="1">
      <alignment horizontal="center" vertical="center" wrapText="1"/>
    </xf>
    <xf numFmtId="14" fontId="13" fillId="2" borderId="13" xfId="0" applyNumberFormat="1" applyFont="1" applyFill="1" applyBorder="1" applyAlignment="1">
      <alignment horizontal="center" vertical="center" wrapText="1"/>
    </xf>
    <xf numFmtId="0" fontId="13" fillId="2" borderId="13" xfId="0" applyFont="1" applyFill="1" applyBorder="1" applyAlignment="1">
      <alignment horizontal="left" vertical="center" wrapText="1"/>
    </xf>
    <xf numFmtId="0" fontId="13" fillId="2" borderId="13" xfId="0" applyFont="1" applyFill="1" applyBorder="1" applyAlignment="1">
      <alignment horizontal="center" vertical="center" wrapText="1"/>
    </xf>
    <xf numFmtId="49" fontId="13" fillId="2" borderId="13" xfId="0" applyNumberFormat="1" applyFont="1" applyFill="1" applyBorder="1" applyAlignment="1">
      <alignment horizontal="center" vertical="center" wrapText="1"/>
    </xf>
    <xf numFmtId="0" fontId="13" fillId="2" borderId="0" xfId="0" applyFont="1" applyFill="1"/>
    <xf numFmtId="0" fontId="14" fillId="7" borderId="1" xfId="0" applyFont="1" applyFill="1" applyBorder="1" applyAlignment="1">
      <alignment horizontal="center" vertical="center" wrapText="1"/>
    </xf>
    <xf numFmtId="0" fontId="11" fillId="3" borderId="5" xfId="0" applyFont="1" applyFill="1" applyBorder="1" applyAlignment="1">
      <alignment horizontal="center" vertical="center" wrapText="1"/>
    </xf>
    <xf numFmtId="14" fontId="11" fillId="3" borderId="1" xfId="0" applyNumberFormat="1" applyFont="1" applyFill="1" applyBorder="1" applyAlignment="1">
      <alignment horizontal="center" vertical="center" wrapText="1"/>
    </xf>
    <xf numFmtId="0" fontId="11" fillId="3" borderId="3" xfId="0" applyFont="1" applyFill="1" applyBorder="1" applyAlignment="1">
      <alignment horizontal="center" vertical="center" wrapText="1"/>
    </xf>
    <xf numFmtId="1" fontId="11" fillId="3" borderId="4"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1" fillId="7" borderId="5" xfId="0" applyFont="1" applyFill="1" applyBorder="1" applyAlignment="1">
      <alignment horizontal="center" vertical="center" wrapText="1"/>
    </xf>
    <xf numFmtId="17" fontId="13" fillId="2" borderId="1" xfId="2" applyNumberFormat="1" applyFont="1" applyFill="1" applyBorder="1" applyAlignment="1">
      <alignment horizontal="center" vertical="center" wrapText="1"/>
    </xf>
    <xf numFmtId="1" fontId="11" fillId="2" borderId="1" xfId="2" applyNumberFormat="1" applyFont="1" applyFill="1" applyBorder="1" applyAlignment="1">
      <alignment horizontal="center" vertical="center" wrapText="1"/>
    </xf>
    <xf numFmtId="14" fontId="11" fillId="7" borderId="1" xfId="0" applyNumberFormat="1" applyFont="1" applyFill="1" applyBorder="1" applyAlignment="1">
      <alignment horizontal="center" vertical="center" wrapText="1"/>
    </xf>
    <xf numFmtId="49" fontId="11" fillId="7" borderId="13" xfId="0" applyNumberFormat="1" applyFont="1" applyFill="1" applyBorder="1" applyAlignment="1">
      <alignment horizontal="left" vertical="center" wrapText="1"/>
    </xf>
    <xf numFmtId="0" fontId="14" fillId="7" borderId="13"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5" xfId="0" applyFont="1" applyFill="1" applyBorder="1" applyAlignment="1">
      <alignment horizontal="center" vertical="center" wrapText="1"/>
    </xf>
    <xf numFmtId="14" fontId="11" fillId="6" borderId="1" xfId="0" applyNumberFormat="1"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1" fillId="6" borderId="13" xfId="0" applyFont="1" applyFill="1" applyBorder="1" applyAlignment="1">
      <alignment horizontal="center" vertical="center" wrapText="1"/>
    </xf>
    <xf numFmtId="166" fontId="11" fillId="6" borderId="1" xfId="2" applyFont="1" applyFill="1" applyBorder="1" applyAlignment="1">
      <alignment horizontal="center" vertical="center" wrapText="1"/>
    </xf>
    <xf numFmtId="1" fontId="11" fillId="6" borderId="1" xfId="2" applyNumberFormat="1" applyFont="1" applyFill="1" applyBorder="1" applyAlignment="1">
      <alignment horizontal="center" vertical="center" wrapText="1"/>
    </xf>
    <xf numFmtId="167" fontId="11" fillId="6" borderId="1" xfId="1" applyFont="1" applyFill="1" applyBorder="1" applyAlignment="1">
      <alignment horizontal="center" vertical="center" wrapText="1"/>
    </xf>
    <xf numFmtId="49" fontId="11" fillId="6" borderId="1" xfId="1" applyNumberFormat="1" applyFont="1" applyFill="1" applyBorder="1" applyAlignment="1">
      <alignment horizontal="center" vertical="center" wrapText="1"/>
    </xf>
    <xf numFmtId="166" fontId="13" fillId="6" borderId="1" xfId="2" applyFont="1" applyFill="1" applyBorder="1" applyAlignment="1">
      <alignment horizontal="center" vertical="center" wrapText="1"/>
    </xf>
    <xf numFmtId="0" fontId="11" fillId="6" borderId="4" xfId="0" applyFont="1" applyFill="1" applyBorder="1" applyAlignment="1">
      <alignment horizontal="center" vertical="center" wrapText="1"/>
    </xf>
    <xf numFmtId="14" fontId="14" fillId="0" borderId="1" xfId="0" applyNumberFormat="1" applyFont="1" applyBorder="1" applyAlignment="1">
      <alignment horizontal="center" wrapText="1"/>
    </xf>
    <xf numFmtId="0" fontId="14" fillId="0" borderId="13" xfId="0" applyFont="1" applyBorder="1" applyAlignment="1">
      <alignment horizontal="center" wrapText="1"/>
    </xf>
    <xf numFmtId="0" fontId="11" fillId="0" borderId="13" xfId="0" applyFont="1" applyBorder="1" applyAlignment="1">
      <alignment wrapText="1"/>
    </xf>
    <xf numFmtId="49" fontId="11" fillId="6" borderId="1" xfId="2" applyNumberFormat="1" applyFont="1" applyFill="1" applyBorder="1" applyAlignment="1">
      <alignment horizontal="center" vertical="center" wrapText="1"/>
    </xf>
    <xf numFmtId="0" fontId="13" fillId="6" borderId="1" xfId="4" applyFont="1" applyFill="1" applyBorder="1" applyAlignment="1">
      <alignment horizontal="center" vertical="center" wrapText="1"/>
    </xf>
    <xf numFmtId="0" fontId="13" fillId="6" borderId="1" xfId="0" applyFont="1" applyFill="1" applyBorder="1" applyAlignment="1">
      <alignment horizontal="center" vertical="center" wrapText="1"/>
    </xf>
    <xf numFmtId="49" fontId="13" fillId="6" borderId="1"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14" fontId="11" fillId="3" borderId="4" xfId="0" applyNumberFormat="1" applyFont="1" applyFill="1" applyBorder="1" applyAlignment="1">
      <alignment horizontal="center" vertical="center" wrapText="1"/>
    </xf>
    <xf numFmtId="49" fontId="11" fillId="2" borderId="1" xfId="1" applyNumberFormat="1" applyFont="1" applyFill="1" applyBorder="1" applyAlignment="1">
      <alignment horizontal="left" vertical="center" wrapText="1"/>
    </xf>
    <xf numFmtId="14" fontId="13" fillId="2" borderId="4" xfId="0" applyNumberFormat="1" applyFont="1" applyFill="1" applyBorder="1" applyAlignment="1">
      <alignment horizontal="center" vertical="center" wrapText="1"/>
    </xf>
    <xf numFmtId="0" fontId="11" fillId="2" borderId="5" xfId="0" applyFont="1" applyFill="1" applyBorder="1" applyAlignment="1">
      <alignment horizontal="left" vertical="center" wrapText="1"/>
    </xf>
    <xf numFmtId="0" fontId="11" fillId="2" borderId="1" xfId="2" applyNumberFormat="1" applyFont="1" applyFill="1" applyBorder="1" applyAlignment="1">
      <alignment horizontal="center" vertical="center" wrapText="1"/>
    </xf>
    <xf numFmtId="0" fontId="13" fillId="2" borderId="4" xfId="0" applyFont="1" applyFill="1" applyBorder="1" applyAlignment="1">
      <alignment horizontal="center" vertical="center" wrapText="1"/>
    </xf>
    <xf numFmtId="0" fontId="11" fillId="6" borderId="1" xfId="0" applyFont="1" applyFill="1" applyBorder="1" applyAlignment="1">
      <alignment horizontal="left" vertical="center" wrapText="1"/>
    </xf>
    <xf numFmtId="49" fontId="13" fillId="2" borderId="4" xfId="0" applyNumberFormat="1" applyFont="1" applyFill="1" applyBorder="1" applyAlignment="1">
      <alignment horizontal="left" vertical="center" wrapText="1"/>
    </xf>
    <xf numFmtId="0" fontId="11" fillId="0" borderId="0" xfId="0" applyFont="1" applyAlignment="1">
      <alignment horizontal="center" vertical="center"/>
    </xf>
    <xf numFmtId="0" fontId="11" fillId="2" borderId="4" xfId="0" applyFont="1" applyFill="1" applyBorder="1" applyAlignment="1">
      <alignment horizontal="center" vertical="center" wrapText="1"/>
    </xf>
    <xf numFmtId="49" fontId="11" fillId="0" borderId="7" xfId="0" applyNumberFormat="1" applyFont="1" applyBorder="1" applyAlignment="1">
      <alignment horizontal="center" vertical="center"/>
    </xf>
    <xf numFmtId="0" fontId="11" fillId="2" borderId="7" xfId="0" applyFont="1" applyFill="1" applyBorder="1" applyAlignment="1">
      <alignment horizontal="center" vertical="center" wrapText="1"/>
    </xf>
    <xf numFmtId="0" fontId="11" fillId="0" borderId="4" xfId="0" applyFont="1" applyBorder="1"/>
    <xf numFmtId="49" fontId="13" fillId="2" borderId="4" xfId="0" applyNumberFormat="1" applyFont="1" applyFill="1" applyBorder="1" applyAlignment="1">
      <alignment horizontal="center" vertical="center" wrapText="1"/>
    </xf>
    <xf numFmtId="166" fontId="13" fillId="2" borderId="4" xfId="2" applyFont="1" applyFill="1" applyBorder="1" applyAlignment="1">
      <alignment horizontal="center" vertical="center" wrapText="1"/>
    </xf>
    <xf numFmtId="167" fontId="13" fillId="2" borderId="4" xfId="1" applyFont="1" applyFill="1" applyBorder="1" applyAlignment="1">
      <alignment horizontal="center" vertical="center" wrapText="1"/>
    </xf>
    <xf numFmtId="49" fontId="11" fillId="6" borderId="1" xfId="0" applyNumberFormat="1" applyFont="1" applyFill="1" applyBorder="1" applyAlignment="1">
      <alignment horizontal="left" vertical="center" wrapText="1"/>
    </xf>
    <xf numFmtId="14" fontId="13" fillId="6" borderId="1" xfId="0" applyNumberFormat="1" applyFont="1" applyFill="1" applyBorder="1" applyAlignment="1">
      <alignment horizontal="center" vertical="center" wrapText="1"/>
    </xf>
    <xf numFmtId="0" fontId="14" fillId="0" borderId="13" xfId="0" applyFont="1" applyBorder="1" applyAlignment="1">
      <alignment wrapText="1"/>
    </xf>
    <xf numFmtId="0" fontId="13" fillId="2" borderId="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1" fillId="7" borderId="13" xfId="0" applyFont="1" applyFill="1" applyBorder="1" applyAlignment="1">
      <alignment wrapText="1"/>
    </xf>
    <xf numFmtId="0" fontId="14" fillId="0" borderId="13" xfId="0" applyFont="1" applyBorder="1" applyAlignment="1">
      <alignment horizontal="center" vertical="center" wrapText="1"/>
    </xf>
    <xf numFmtId="49" fontId="13" fillId="2" borderId="7" xfId="0" applyNumberFormat="1" applyFont="1" applyFill="1" applyBorder="1" applyAlignment="1">
      <alignment horizontal="center" vertical="center" wrapText="1"/>
    </xf>
    <xf numFmtId="0" fontId="14" fillId="0" borderId="20" xfId="0" applyFont="1" applyBorder="1" applyAlignment="1">
      <alignment wrapText="1"/>
    </xf>
    <xf numFmtId="0" fontId="11" fillId="7" borderId="20" xfId="0" applyFont="1" applyFill="1" applyBorder="1" applyAlignment="1">
      <alignment wrapText="1"/>
    </xf>
    <xf numFmtId="49" fontId="11" fillId="6" borderId="2" xfId="0" applyNumberFormat="1" applyFont="1" applyFill="1" applyBorder="1" applyAlignment="1">
      <alignment horizontal="left" vertical="center" wrapText="1"/>
    </xf>
    <xf numFmtId="49" fontId="13" fillId="6" borderId="2" xfId="0" applyNumberFormat="1"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20" xfId="0" applyFont="1" applyBorder="1" applyAlignment="1">
      <alignment horizontal="center" vertical="center" wrapText="1"/>
    </xf>
    <xf numFmtId="0" fontId="13" fillId="6" borderId="2" xfId="0" applyFont="1" applyFill="1" applyBorder="1" applyAlignment="1">
      <alignment horizontal="center" vertical="center" wrapText="1"/>
    </xf>
    <xf numFmtId="49" fontId="13" fillId="6" borderId="4" xfId="0" applyNumberFormat="1" applyFont="1" applyFill="1" applyBorder="1" applyAlignment="1">
      <alignment horizontal="center" vertical="center" wrapText="1"/>
    </xf>
    <xf numFmtId="0" fontId="14" fillId="7" borderId="20"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0" borderId="4" xfId="0" applyFont="1" applyBorder="1" applyAlignment="1">
      <alignment wrapText="1"/>
    </xf>
    <xf numFmtId="0" fontId="11" fillId="7" borderId="4" xfId="0" applyFont="1" applyFill="1" applyBorder="1" applyAlignment="1">
      <alignment wrapText="1"/>
    </xf>
    <xf numFmtId="49" fontId="11" fillId="6" borderId="4" xfId="0" applyNumberFormat="1" applyFont="1" applyFill="1" applyBorder="1" applyAlignment="1">
      <alignment horizontal="left" vertical="center" wrapText="1"/>
    </xf>
    <xf numFmtId="0" fontId="13" fillId="6" borderId="4" xfId="0" applyFont="1" applyFill="1" applyBorder="1" applyAlignment="1">
      <alignment horizontal="center" vertical="center" wrapText="1"/>
    </xf>
    <xf numFmtId="0" fontId="11" fillId="7" borderId="0" xfId="0" applyFont="1" applyFill="1" applyAlignment="1">
      <alignment wrapText="1"/>
    </xf>
    <xf numFmtId="49" fontId="11" fillId="6" borderId="4" xfId="0" applyNumberFormat="1" applyFont="1" applyFill="1" applyBorder="1" applyAlignment="1">
      <alignment horizontal="center" vertical="center" wrapText="1"/>
    </xf>
    <xf numFmtId="17" fontId="13" fillId="6" borderId="4" xfId="0" applyNumberFormat="1" applyFont="1" applyFill="1" applyBorder="1" applyAlignment="1">
      <alignment horizontal="center" vertical="center" wrapText="1"/>
    </xf>
    <xf numFmtId="0" fontId="18" fillId="0" borderId="0" xfId="0" applyFont="1"/>
    <xf numFmtId="0" fontId="11" fillId="0" borderId="4" xfId="0" applyFont="1" applyBorder="1" applyAlignment="1">
      <alignment horizontal="center" vertical="center" wrapText="1"/>
    </xf>
    <xf numFmtId="49" fontId="11" fillId="0" borderId="4" xfId="0" applyNumberFormat="1" applyFont="1" applyBorder="1" applyAlignment="1">
      <alignment horizontal="center" vertical="center" wrapText="1"/>
    </xf>
    <xf numFmtId="0" fontId="14" fillId="0" borderId="0" xfId="0" applyFont="1"/>
    <xf numFmtId="14" fontId="13" fillId="2" borderId="7" xfId="0" applyNumberFormat="1" applyFont="1" applyFill="1" applyBorder="1" applyAlignment="1">
      <alignment horizontal="center" vertical="center" wrapText="1"/>
    </xf>
    <xf numFmtId="0" fontId="14" fillId="0" borderId="7" xfId="0" applyFont="1" applyBorder="1" applyAlignment="1">
      <alignment horizontal="center" vertical="center" wrapText="1"/>
    </xf>
    <xf numFmtId="0" fontId="14" fillId="0" borderId="7" xfId="0" applyFont="1" applyBorder="1" applyAlignment="1">
      <alignment wrapText="1"/>
    </xf>
    <xf numFmtId="0" fontId="11" fillId="7" borderId="7" xfId="0" applyFont="1" applyFill="1" applyBorder="1" applyAlignment="1">
      <alignment wrapText="1"/>
    </xf>
    <xf numFmtId="49" fontId="11" fillId="6" borderId="7" xfId="0" applyNumberFormat="1" applyFont="1" applyFill="1" applyBorder="1" applyAlignment="1">
      <alignment horizontal="left" vertical="center" wrapText="1"/>
    </xf>
    <xf numFmtId="0" fontId="13" fillId="6" borderId="7" xfId="0" applyFont="1" applyFill="1" applyBorder="1" applyAlignment="1">
      <alignment horizontal="center" vertical="center" wrapText="1"/>
    </xf>
    <xf numFmtId="0" fontId="11" fillId="0" borderId="7" xfId="0" applyFont="1" applyBorder="1" applyAlignment="1">
      <alignment horizontal="center" vertical="center" wrapText="1"/>
    </xf>
    <xf numFmtId="49" fontId="13" fillId="6" borderId="17" xfId="0" applyNumberFormat="1" applyFont="1" applyFill="1" applyBorder="1" applyAlignment="1">
      <alignment horizontal="center" vertical="center" wrapText="1"/>
    </xf>
    <xf numFmtId="49" fontId="13" fillId="2" borderId="17" xfId="0" applyNumberFormat="1" applyFont="1" applyFill="1" applyBorder="1" applyAlignment="1">
      <alignment horizontal="center" vertical="center" wrapText="1"/>
    </xf>
    <xf numFmtId="0" fontId="11" fillId="0" borderId="4" xfId="0" applyFont="1" applyBorder="1" applyAlignment="1">
      <alignment horizontal="center" vertical="center"/>
    </xf>
    <xf numFmtId="49" fontId="13" fillId="2" borderId="15" xfId="0" applyNumberFormat="1" applyFont="1" applyFill="1" applyBorder="1" applyAlignment="1">
      <alignment horizontal="center" vertical="center" wrapText="1"/>
    </xf>
    <xf numFmtId="0" fontId="14" fillId="0" borderId="4" xfId="0" applyFont="1" applyBorder="1" applyAlignment="1">
      <alignment horizontal="center" vertical="center" wrapText="1"/>
    </xf>
    <xf numFmtId="0" fontId="11" fillId="0" borderId="12" xfId="0" applyFont="1" applyBorder="1" applyAlignment="1">
      <alignment horizontal="center" vertical="center" wrapText="1"/>
    </xf>
    <xf numFmtId="0" fontId="13" fillId="6" borderId="15" xfId="0" applyFont="1" applyFill="1" applyBorder="1" applyAlignment="1">
      <alignment horizontal="center" vertical="center" wrapText="1"/>
    </xf>
    <xf numFmtId="49" fontId="11" fillId="0" borderId="4" xfId="0" applyNumberFormat="1" applyFont="1" applyBorder="1" applyAlignment="1">
      <alignment horizontal="center" vertical="center"/>
    </xf>
    <xf numFmtId="0" fontId="11" fillId="3" borderId="1" xfId="0"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169" fontId="13" fillId="0" borderId="1" xfId="5" applyFont="1" applyBorder="1" applyAlignment="1">
      <alignment horizontal="center" vertical="center" wrapText="1"/>
    </xf>
    <xf numFmtId="0" fontId="11" fillId="6" borderId="7" xfId="19" applyFont="1" applyFill="1" applyBorder="1" applyAlignment="1">
      <alignment horizontal="center" vertical="center" wrapText="1"/>
    </xf>
    <xf numFmtId="14" fontId="11" fillId="6" borderId="7" xfId="19" applyNumberFormat="1" applyFont="1" applyFill="1" applyBorder="1" applyAlignment="1">
      <alignment horizontal="center" vertical="center" wrapText="1"/>
    </xf>
    <xf numFmtId="0" fontId="11" fillId="6" borderId="7" xfId="19" applyFont="1" applyFill="1" applyBorder="1" applyAlignment="1">
      <alignment horizontal="center" vertical="center"/>
    </xf>
    <xf numFmtId="49" fontId="11" fillId="6" borderId="7" xfId="19" applyNumberFormat="1" applyFont="1" applyFill="1" applyBorder="1" applyAlignment="1">
      <alignment horizontal="center" vertical="center" wrapText="1"/>
    </xf>
    <xf numFmtId="3" fontId="11" fillId="6" borderId="7" xfId="19" applyNumberFormat="1" applyFont="1" applyFill="1" applyBorder="1" applyAlignment="1">
      <alignment horizontal="center" vertical="center"/>
    </xf>
    <xf numFmtId="0" fontId="13" fillId="6" borderId="7" xfId="19" applyFont="1" applyFill="1" applyBorder="1" applyAlignment="1">
      <alignment horizontal="center" vertical="center"/>
    </xf>
    <xf numFmtId="14" fontId="11" fillId="6" borderId="7" xfId="20" applyNumberFormat="1" applyFont="1" applyFill="1" applyBorder="1" applyAlignment="1">
      <alignment horizontal="center" vertical="center"/>
    </xf>
    <xf numFmtId="169" fontId="11" fillId="6" borderId="7" xfId="20" applyFont="1" applyFill="1" applyBorder="1" applyAlignment="1">
      <alignment horizontal="center" vertical="center"/>
    </xf>
    <xf numFmtId="166" fontId="11" fillId="6" borderId="7" xfId="2" applyFont="1" applyFill="1" applyBorder="1" applyAlignment="1">
      <alignment horizontal="center" vertical="center" wrapText="1"/>
    </xf>
    <xf numFmtId="0" fontId="11" fillId="6" borderId="7" xfId="0" applyFont="1" applyFill="1" applyBorder="1" applyAlignment="1">
      <alignment horizontal="center" vertical="center" wrapText="1"/>
    </xf>
    <xf numFmtId="0" fontId="14" fillId="0" borderId="15" xfId="0" applyFont="1" applyBorder="1" applyAlignment="1">
      <alignment horizontal="center" vertical="center"/>
    </xf>
    <xf numFmtId="0" fontId="11" fillId="0" borderId="15" xfId="0" applyFont="1" applyBorder="1" applyAlignment="1">
      <alignment horizontal="center" vertical="center" wrapText="1"/>
    </xf>
    <xf numFmtId="14" fontId="14" fillId="0" borderId="4" xfId="0" applyNumberFormat="1" applyFont="1" applyBorder="1" applyAlignment="1">
      <alignment horizontal="center" vertical="center"/>
    </xf>
    <xf numFmtId="0" fontId="14" fillId="0" borderId="4" xfId="0" applyFont="1" applyBorder="1" applyAlignment="1">
      <alignment horizontal="center" vertical="center"/>
    </xf>
    <xf numFmtId="0" fontId="14" fillId="0" borderId="15" xfId="0" applyFont="1" applyBorder="1" applyAlignment="1">
      <alignment horizontal="center" wrapText="1"/>
    </xf>
    <xf numFmtId="0" fontId="11" fillId="6" borderId="15" xfId="19" applyFont="1" applyFill="1" applyBorder="1" applyAlignment="1">
      <alignment horizontal="center" vertical="center"/>
    </xf>
    <xf numFmtId="49" fontId="14" fillId="0" borderId="4" xfId="0" applyNumberFormat="1" applyFont="1" applyBorder="1" applyAlignment="1">
      <alignment horizontal="center" vertical="center" wrapText="1"/>
    </xf>
    <xf numFmtId="3" fontId="11" fillId="6" borderId="4" xfId="19" applyNumberFormat="1" applyFont="1" applyFill="1" applyBorder="1" applyAlignment="1">
      <alignment horizontal="center" vertical="center"/>
    </xf>
    <xf numFmtId="0" fontId="11" fillId="6" borderId="4" xfId="19" applyFont="1" applyFill="1" applyBorder="1" applyAlignment="1">
      <alignment horizontal="center" vertical="center"/>
    </xf>
    <xf numFmtId="0" fontId="13" fillId="6" borderId="15" xfId="19" applyFont="1" applyFill="1" applyBorder="1" applyAlignment="1">
      <alignment horizontal="center" vertical="center"/>
    </xf>
    <xf numFmtId="0" fontId="13" fillId="6" borderId="4" xfId="19" applyFont="1" applyFill="1" applyBorder="1" applyAlignment="1">
      <alignment horizontal="center" vertical="center"/>
    </xf>
    <xf numFmtId="14" fontId="11" fillId="6" borderId="4" xfId="20" applyNumberFormat="1" applyFont="1" applyFill="1" applyBorder="1" applyAlignment="1">
      <alignment horizontal="center" vertical="center"/>
    </xf>
    <xf numFmtId="14" fontId="11" fillId="6" borderId="11" xfId="20" applyNumberFormat="1" applyFont="1" applyFill="1" applyBorder="1" applyAlignment="1">
      <alignment horizontal="center" vertical="center"/>
    </xf>
    <xf numFmtId="0" fontId="14" fillId="0" borderId="4" xfId="0" applyFont="1" applyBorder="1" applyAlignment="1">
      <alignment vertical="center" wrapText="1"/>
    </xf>
    <xf numFmtId="0" fontId="14" fillId="0" borderId="4" xfId="0" applyFont="1" applyBorder="1"/>
    <xf numFmtId="1" fontId="11" fillId="3" borderId="2" xfId="0" applyNumberFormat="1" applyFont="1" applyFill="1" applyBorder="1" applyAlignment="1">
      <alignment horizontal="center" vertical="center" wrapText="1"/>
    </xf>
    <xf numFmtId="0" fontId="13" fillId="2" borderId="2" xfId="0" applyFont="1" applyFill="1" applyBorder="1" applyAlignment="1">
      <alignment horizontal="center" vertical="center" wrapText="1"/>
    </xf>
    <xf numFmtId="169" fontId="13" fillId="0" borderId="2" xfId="5" applyFont="1" applyBorder="1" applyAlignment="1">
      <alignment horizontal="center" vertical="center" wrapText="1"/>
    </xf>
    <xf numFmtId="166" fontId="13" fillId="2" borderId="2" xfId="2" applyFont="1" applyFill="1" applyBorder="1" applyAlignment="1">
      <alignment horizontal="center" vertical="center" wrapText="1"/>
    </xf>
    <xf numFmtId="0" fontId="11" fillId="6" borderId="4" xfId="19" applyFont="1" applyFill="1" applyBorder="1" applyAlignment="1">
      <alignment horizontal="center" vertical="center" wrapText="1"/>
    </xf>
    <xf numFmtId="14" fontId="11" fillId="6" borderId="4" xfId="19" applyNumberFormat="1" applyFont="1" applyFill="1" applyBorder="1" applyAlignment="1">
      <alignment horizontal="center" vertical="center" wrapText="1"/>
    </xf>
    <xf numFmtId="49" fontId="11" fillId="6" borderId="4" xfId="19" applyNumberFormat="1" applyFont="1" applyFill="1" applyBorder="1" applyAlignment="1">
      <alignment horizontal="center" vertical="center" wrapText="1"/>
    </xf>
    <xf numFmtId="169" fontId="11" fillId="6" borderId="4" xfId="20" applyFont="1" applyFill="1" applyBorder="1" applyAlignment="1">
      <alignment horizontal="center" vertical="center"/>
    </xf>
    <xf numFmtId="166" fontId="11" fillId="6" borderId="4" xfId="2" applyFont="1" applyFill="1" applyBorder="1" applyAlignment="1">
      <alignment horizontal="center" vertical="center" wrapText="1"/>
    </xf>
    <xf numFmtId="166" fontId="11" fillId="6" borderId="15" xfId="2" applyFont="1" applyFill="1" applyBorder="1" applyAlignment="1">
      <alignment horizontal="center" vertical="center" wrapText="1"/>
    </xf>
    <xf numFmtId="166" fontId="11" fillId="6" borderId="8" xfId="2" applyFont="1" applyFill="1" applyBorder="1" applyAlignment="1">
      <alignment horizontal="center" vertical="center" wrapText="1"/>
    </xf>
    <xf numFmtId="0" fontId="11" fillId="6" borderId="3" xfId="19" applyFont="1" applyFill="1" applyBorder="1" applyAlignment="1">
      <alignment horizontal="center" vertical="center" wrapText="1"/>
    </xf>
    <xf numFmtId="0" fontId="19" fillId="0" borderId="0" xfId="0" applyFont="1" applyAlignment="1">
      <alignment horizontal="left"/>
    </xf>
    <xf numFmtId="0" fontId="11" fillId="6" borderId="4" xfId="19" applyFont="1" applyFill="1" applyBorder="1" applyAlignment="1">
      <alignment horizontal="left" vertical="center" wrapText="1"/>
    </xf>
    <xf numFmtId="0" fontId="16" fillId="6" borderId="30" xfId="0" applyFont="1" applyFill="1" applyBorder="1" applyAlignment="1">
      <alignment wrapText="1"/>
    </xf>
    <xf numFmtId="0" fontId="14" fillId="0" borderId="1" xfId="0" applyFont="1" applyBorder="1" applyAlignment="1">
      <alignment horizontal="center" vertical="center" wrapText="1"/>
    </xf>
    <xf numFmtId="49" fontId="14" fillId="7" borderId="13" xfId="0" applyNumberFormat="1" applyFont="1" applyFill="1" applyBorder="1" applyAlignment="1">
      <alignment wrapText="1"/>
    </xf>
    <xf numFmtId="0" fontId="14" fillId="7" borderId="13" xfId="0" applyFont="1" applyFill="1" applyBorder="1" applyAlignment="1">
      <alignment wrapText="1"/>
    </xf>
    <xf numFmtId="0" fontId="14" fillId="0" borderId="26" xfId="0" applyFont="1" applyBorder="1" applyAlignment="1">
      <alignment vertical="center" wrapText="1"/>
    </xf>
    <xf numFmtId="0" fontId="14" fillId="0" borderId="13" xfId="0" applyFont="1" applyBorder="1" applyAlignment="1">
      <alignment vertical="center" wrapText="1"/>
    </xf>
    <xf numFmtId="0" fontId="14" fillId="7" borderId="13" xfId="0" applyFont="1" applyFill="1" applyBorder="1" applyAlignment="1">
      <alignment vertical="center" wrapText="1"/>
    </xf>
    <xf numFmtId="0" fontId="11" fillId="7" borderId="13" xfId="0" applyFont="1" applyFill="1" applyBorder="1" applyAlignment="1">
      <alignment vertical="center" wrapText="1"/>
    </xf>
    <xf numFmtId="167" fontId="11" fillId="6" borderId="4" xfId="2" applyNumberFormat="1" applyFont="1" applyFill="1" applyBorder="1" applyAlignment="1">
      <alignment horizontal="center" vertical="center" wrapText="1"/>
    </xf>
    <xf numFmtId="11" fontId="11" fillId="6" borderId="4" xfId="2" applyNumberFormat="1" applyFont="1" applyFill="1" applyBorder="1" applyAlignment="1">
      <alignment horizontal="center" vertical="center" wrapText="1"/>
    </xf>
    <xf numFmtId="166" fontId="11" fillId="6" borderId="3" xfId="2" applyFont="1" applyFill="1" applyBorder="1" applyAlignment="1">
      <alignment horizontal="center" vertical="center" wrapText="1"/>
    </xf>
    <xf numFmtId="49" fontId="11" fillId="6" borderId="4" xfId="2" applyNumberFormat="1" applyFont="1" applyFill="1" applyBorder="1" applyAlignment="1">
      <alignment horizontal="center" vertical="center" wrapText="1"/>
    </xf>
    <xf numFmtId="14" fontId="11" fillId="6" borderId="4" xfId="2" applyNumberFormat="1" applyFont="1" applyFill="1" applyBorder="1" applyAlignment="1">
      <alignment horizontal="center" vertical="center" wrapText="1"/>
    </xf>
    <xf numFmtId="166" fontId="11" fillId="6" borderId="17" xfId="2" applyFont="1" applyFill="1" applyBorder="1" applyAlignment="1">
      <alignment horizontal="center" vertical="center" wrapText="1"/>
    </xf>
    <xf numFmtId="49" fontId="11" fillId="0" borderId="0" xfId="0" applyNumberFormat="1" applyFont="1" applyAlignment="1">
      <alignment wrapText="1"/>
    </xf>
    <xf numFmtId="49" fontId="11" fillId="2" borderId="5" xfId="2" applyNumberFormat="1" applyFont="1" applyFill="1" applyBorder="1" applyAlignment="1">
      <alignment horizontal="center" vertical="center" wrapText="1"/>
    </xf>
    <xf numFmtId="0" fontId="19" fillId="0" borderId="1" xfId="0" applyFont="1" applyBorder="1" applyAlignment="1">
      <alignment horizontal="center" vertical="center" wrapText="1"/>
    </xf>
    <xf numFmtId="0" fontId="14" fillId="0" borderId="0" xfId="0" applyFont="1" applyAlignment="1">
      <alignment horizontal="center" vertical="center" wrapText="1"/>
    </xf>
    <xf numFmtId="49" fontId="11" fillId="0" borderId="0" xfId="0" applyNumberFormat="1" applyFont="1"/>
    <xf numFmtId="49" fontId="14" fillId="2" borderId="1" xfId="2"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49" fontId="14" fillId="2" borderId="1" xfId="0" applyNumberFormat="1" applyFont="1" applyFill="1" applyBorder="1" applyAlignment="1">
      <alignment horizontal="center" vertical="center" wrapText="1"/>
    </xf>
    <xf numFmtId="49" fontId="14" fillId="0" borderId="1" xfId="0" applyNumberFormat="1" applyFont="1" applyBorder="1" applyAlignment="1">
      <alignment horizontal="center" vertical="center" wrapText="1"/>
    </xf>
    <xf numFmtId="0" fontId="21" fillId="0" borderId="1" xfId="0" applyFont="1" applyBorder="1" applyAlignment="1">
      <alignment horizontal="center" vertical="center" wrapText="1"/>
    </xf>
    <xf numFmtId="49" fontId="13" fillId="6" borderId="1" xfId="0" applyNumberFormat="1" applyFont="1" applyFill="1" applyBorder="1" applyAlignment="1">
      <alignment horizontal="justify" vertical="center" wrapText="1"/>
    </xf>
    <xf numFmtId="49" fontId="14" fillId="2" borderId="4" xfId="0" applyNumberFormat="1" applyFont="1" applyFill="1" applyBorder="1" applyAlignment="1">
      <alignment horizontal="center" vertical="center" wrapText="1"/>
    </xf>
    <xf numFmtId="49" fontId="13" fillId="2" borderId="10" xfId="0" applyNumberFormat="1" applyFont="1" applyFill="1" applyBorder="1" applyAlignment="1">
      <alignment horizontal="center" vertical="center" wrapText="1"/>
    </xf>
    <xf numFmtId="0" fontId="13" fillId="2" borderId="18" xfId="0" applyFont="1" applyFill="1" applyBorder="1" applyAlignment="1">
      <alignment horizontal="center" vertical="center" wrapText="1"/>
    </xf>
    <xf numFmtId="49" fontId="13" fillId="2" borderId="0" xfId="0" applyNumberFormat="1" applyFont="1" applyFill="1" applyAlignment="1">
      <alignment horizontal="center" vertical="center" wrapText="1"/>
    </xf>
    <xf numFmtId="0" fontId="11" fillId="2" borderId="13" xfId="0" applyFont="1" applyFill="1" applyBorder="1" applyAlignment="1">
      <alignment horizontal="center" vertical="center" wrapText="1"/>
    </xf>
    <xf numFmtId="0" fontId="13" fillId="6" borderId="13" xfId="0" applyFont="1" applyFill="1" applyBorder="1" applyAlignment="1">
      <alignment horizontal="center" vertical="center" wrapText="1"/>
    </xf>
    <xf numFmtId="49" fontId="13" fillId="6" borderId="13" xfId="0" applyNumberFormat="1" applyFont="1" applyFill="1" applyBorder="1" applyAlignment="1">
      <alignment horizontal="center" vertical="center" wrapText="1"/>
    </xf>
    <xf numFmtId="14" fontId="13" fillId="2" borderId="1" xfId="0" applyNumberFormat="1" applyFont="1" applyFill="1" applyBorder="1" applyAlignment="1">
      <alignment horizontal="center" vertical="center"/>
    </xf>
    <xf numFmtId="0" fontId="13" fillId="2" borderId="0" xfId="0" applyFont="1" applyFill="1" applyAlignment="1">
      <alignment horizontal="center" vertical="center" wrapText="1"/>
    </xf>
    <xf numFmtId="170" fontId="13" fillId="2" borderId="1" xfId="3" applyNumberFormat="1" applyFont="1" applyFill="1" applyBorder="1" applyAlignment="1">
      <alignment horizontal="center" vertical="center" wrapText="1"/>
    </xf>
    <xf numFmtId="14" fontId="14" fillId="7" borderId="1" xfId="0" applyNumberFormat="1" applyFont="1" applyFill="1" applyBorder="1" applyAlignment="1">
      <alignment horizontal="center" vertical="center"/>
    </xf>
    <xf numFmtId="167" fontId="13" fillId="2" borderId="1" xfId="1" applyFont="1" applyFill="1" applyBorder="1" applyAlignment="1">
      <alignment horizontal="center" vertical="top" wrapText="1" indent="5"/>
    </xf>
    <xf numFmtId="0" fontId="14" fillId="0" borderId="1" xfId="0" applyFont="1" applyBorder="1" applyAlignment="1">
      <alignment horizontal="center" wrapText="1"/>
    </xf>
    <xf numFmtId="14" fontId="14" fillId="0" borderId="1" xfId="0" applyNumberFormat="1" applyFont="1" applyBorder="1" applyAlignment="1">
      <alignment horizontal="center" vertical="center"/>
    </xf>
    <xf numFmtId="49" fontId="14" fillId="0" borderId="1" xfId="0" applyNumberFormat="1" applyFont="1" applyBorder="1" applyAlignment="1">
      <alignment horizontal="center" wrapText="1"/>
    </xf>
    <xf numFmtId="0" fontId="11" fillId="0" borderId="0" xfId="0" applyFont="1" applyAlignment="1">
      <alignment horizontal="center" vertical="center" wrapText="1"/>
    </xf>
    <xf numFmtId="0" fontId="11" fillId="2" borderId="1" xfId="0" applyFont="1" applyFill="1" applyBorder="1" applyAlignment="1">
      <alignment horizontal="center" vertical="center"/>
    </xf>
    <xf numFmtId="14" fontId="11" fillId="0" borderId="1" xfId="0" applyNumberFormat="1" applyFont="1" applyBorder="1" applyAlignment="1">
      <alignment horizontal="center" vertical="center"/>
    </xf>
    <xf numFmtId="14" fontId="11" fillId="2" borderId="1" xfId="0" applyNumberFormat="1" applyFont="1" applyFill="1" applyBorder="1" applyAlignment="1">
      <alignment horizontal="center" vertical="center"/>
    </xf>
    <xf numFmtId="14" fontId="11" fillId="3" borderId="1"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wrapText="1"/>
    </xf>
    <xf numFmtId="3" fontId="13" fillId="2" borderId="1" xfId="0" applyNumberFormat="1" applyFont="1" applyFill="1" applyBorder="1" applyAlignment="1">
      <alignment horizontal="center" vertical="center" wrapText="1"/>
    </xf>
    <xf numFmtId="0" fontId="11" fillId="6" borderId="0" xfId="0" applyFont="1" applyFill="1" applyAlignment="1">
      <alignment horizontal="center" vertical="center" wrapText="1"/>
    </xf>
    <xf numFmtId="14" fontId="13" fillId="2" borderId="0" xfId="0" applyNumberFormat="1" applyFont="1" applyFill="1" applyAlignment="1">
      <alignment horizontal="center" vertical="center" wrapText="1"/>
    </xf>
    <xf numFmtId="14"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wrapText="1"/>
    </xf>
    <xf numFmtId="3" fontId="13" fillId="0" borderId="1" xfId="0" applyNumberFormat="1" applyFont="1" applyBorder="1" applyAlignment="1">
      <alignment horizontal="center" vertical="center"/>
    </xf>
    <xf numFmtId="0" fontId="14" fillId="2" borderId="0" xfId="0" applyFont="1" applyFill="1" applyAlignment="1">
      <alignment vertical="center" wrapText="1"/>
    </xf>
    <xf numFmtId="0" fontId="13" fillId="2" borderId="1" xfId="7" applyFont="1" applyFill="1" applyBorder="1" applyAlignment="1">
      <alignment horizontal="center" vertical="center" wrapText="1"/>
    </xf>
    <xf numFmtId="169" fontId="13" fillId="2" borderId="1" xfId="9" applyFont="1" applyFill="1" applyBorder="1" applyAlignment="1">
      <alignment horizontal="center" vertical="center" wrapText="1"/>
    </xf>
    <xf numFmtId="49" fontId="13" fillId="2" borderId="1" xfId="9" applyNumberFormat="1" applyFont="1" applyFill="1" applyBorder="1" applyAlignment="1">
      <alignment horizontal="center" vertical="center" wrapText="1"/>
    </xf>
    <xf numFmtId="14" fontId="13" fillId="2" borderId="1" xfId="9" applyNumberFormat="1" applyFont="1" applyFill="1" applyBorder="1" applyAlignment="1">
      <alignment horizontal="center" vertical="center" wrapText="1"/>
    </xf>
    <xf numFmtId="0" fontId="11" fillId="7" borderId="1" xfId="0" applyFont="1" applyFill="1" applyBorder="1" applyAlignment="1">
      <alignment horizontal="center" vertical="center" wrapText="1" indent="1"/>
    </xf>
    <xf numFmtId="49" fontId="13" fillId="2" borderId="1" xfId="2" applyNumberFormat="1" applyFont="1" applyFill="1" applyBorder="1" applyAlignment="1">
      <alignment horizontal="left" vertical="center" wrapText="1"/>
    </xf>
    <xf numFmtId="49" fontId="14" fillId="0" borderId="1" xfId="0" applyNumberFormat="1" applyFont="1" applyBorder="1" applyAlignment="1">
      <alignment wrapText="1"/>
    </xf>
    <xf numFmtId="0" fontId="14" fillId="0" borderId="1" xfId="0" applyFont="1" applyBorder="1" applyAlignment="1">
      <alignment horizontal="center" vertical="center"/>
    </xf>
    <xf numFmtId="17" fontId="14" fillId="0" borderId="1" xfId="0" applyNumberFormat="1" applyFont="1" applyBorder="1" applyAlignment="1">
      <alignment horizontal="center" vertical="center"/>
    </xf>
    <xf numFmtId="0" fontId="11" fillId="2" borderId="1" xfId="19" applyFont="1" applyFill="1" applyBorder="1" applyAlignment="1">
      <alignment horizontal="center" vertical="center" wrapText="1"/>
    </xf>
    <xf numFmtId="167" fontId="11" fillId="2" borderId="1" xfId="1" applyFont="1" applyFill="1" applyBorder="1" applyAlignment="1">
      <alignment vertical="center" wrapText="1"/>
    </xf>
    <xf numFmtId="0" fontId="13" fillId="2" borderId="1" xfId="0" applyFont="1" applyFill="1" applyBorder="1" applyAlignment="1">
      <alignment horizontal="center" vertical="center"/>
    </xf>
    <xf numFmtId="0" fontId="11" fillId="6" borderId="0" xfId="0" applyFont="1" applyFill="1"/>
    <xf numFmtId="14" fontId="13" fillId="2" borderId="1" xfId="7" applyNumberFormat="1" applyFont="1" applyFill="1" applyBorder="1" applyAlignment="1">
      <alignment horizontal="center" vertical="center"/>
    </xf>
    <xf numFmtId="49" fontId="13" fillId="2" borderId="1" xfId="7" applyNumberFormat="1" applyFont="1" applyFill="1" applyBorder="1" applyAlignment="1">
      <alignment horizontal="center" vertical="center" wrapText="1"/>
    </xf>
    <xf numFmtId="43" fontId="13" fillId="2" borderId="1" xfId="8" applyFont="1" applyFill="1" applyBorder="1" applyAlignment="1">
      <alignment horizontal="center" vertical="center" wrapText="1"/>
    </xf>
    <xf numFmtId="0" fontId="20" fillId="0" borderId="1" xfId="0" applyFont="1" applyBorder="1" applyAlignment="1">
      <alignment wrapText="1"/>
    </xf>
    <xf numFmtId="0" fontId="14" fillId="2" borderId="1" xfId="0" applyFont="1" applyFill="1" applyBorder="1" applyAlignment="1">
      <alignment horizontal="center" vertical="center"/>
    </xf>
    <xf numFmtId="167" fontId="13" fillId="2" borderId="1" xfId="1" applyFont="1" applyFill="1" applyBorder="1" applyAlignment="1">
      <alignment horizontal="left" vertical="center" wrapText="1"/>
    </xf>
    <xf numFmtId="166" fontId="11" fillId="3" borderId="1" xfId="0" applyNumberFormat="1" applyFont="1" applyFill="1" applyBorder="1" applyAlignment="1">
      <alignment horizontal="center" vertical="center" wrapText="1"/>
    </xf>
    <xf numFmtId="0" fontId="13" fillId="2" borderId="0" xfId="4" applyFont="1" applyFill="1" applyAlignment="1">
      <alignment horizontal="center" vertical="center" wrapText="1"/>
    </xf>
    <xf numFmtId="0" fontId="14" fillId="0" borderId="1" xfId="0" applyFont="1" applyBorder="1"/>
    <xf numFmtId="49" fontId="14" fillId="0" borderId="1" xfId="0" applyNumberFormat="1" applyFont="1" applyBorder="1"/>
    <xf numFmtId="14" fontId="11" fillId="2" borderId="1" xfId="19" applyNumberFormat="1" applyFont="1" applyFill="1" applyBorder="1" applyAlignment="1">
      <alignment horizontal="center" vertical="center"/>
    </xf>
    <xf numFmtId="0" fontId="11" fillId="2" borderId="1" xfId="19" applyFont="1" applyFill="1" applyBorder="1" applyAlignment="1">
      <alignment horizontal="center" vertical="center"/>
    </xf>
    <xf numFmtId="49" fontId="11" fillId="2" borderId="1" xfId="19" applyNumberFormat="1" applyFont="1" applyFill="1" applyBorder="1" applyAlignment="1">
      <alignment horizontal="center" vertical="center" wrapText="1"/>
    </xf>
    <xf numFmtId="3" fontId="11" fillId="2" borderId="1" xfId="19" applyNumberFormat="1" applyFont="1" applyFill="1" applyBorder="1" applyAlignment="1">
      <alignment horizontal="center" vertical="center"/>
    </xf>
    <xf numFmtId="0" fontId="13" fillId="0" borderId="1" xfId="19" applyFont="1" applyBorder="1" applyAlignment="1">
      <alignment horizontal="center" vertical="center"/>
    </xf>
    <xf numFmtId="0" fontId="13" fillId="0" borderId="1" xfId="19" applyFont="1" applyBorder="1" applyAlignment="1">
      <alignment horizontal="center" vertical="center" wrapText="1"/>
    </xf>
    <xf numFmtId="14" fontId="11" fillId="2" borderId="1" xfId="20" applyNumberFormat="1" applyFont="1" applyFill="1" applyBorder="1" applyAlignment="1">
      <alignment horizontal="center" vertical="center"/>
    </xf>
    <xf numFmtId="169" fontId="11" fillId="2" borderId="1" xfId="20" applyFont="1" applyFill="1" applyBorder="1" applyAlignment="1">
      <alignment horizontal="center" vertical="center"/>
    </xf>
    <xf numFmtId="0" fontId="14" fillId="0" borderId="0" xfId="0" applyFont="1" applyAlignment="1">
      <alignment horizontal="center" vertical="center"/>
    </xf>
    <xf numFmtId="49" fontId="11" fillId="6" borderId="1" xfId="0" applyNumberFormat="1" applyFont="1" applyFill="1" applyBorder="1" applyAlignment="1">
      <alignment horizontal="left" wrapText="1"/>
    </xf>
    <xf numFmtId="14" fontId="11" fillId="0" borderId="1" xfId="0" quotePrefix="1" applyNumberFormat="1" applyFont="1" applyBorder="1" applyAlignment="1">
      <alignment horizontal="center" vertical="center"/>
    </xf>
    <xf numFmtId="2" fontId="11" fillId="0" borderId="1" xfId="0" applyNumberFormat="1" applyFont="1" applyBorder="1" applyAlignment="1">
      <alignment horizontal="center" vertical="center" wrapText="1"/>
    </xf>
    <xf numFmtId="14" fontId="14" fillId="2" borderId="1" xfId="0" applyNumberFormat="1" applyFont="1" applyFill="1" applyBorder="1" applyAlignment="1">
      <alignment horizontal="center" vertical="center"/>
    </xf>
    <xf numFmtId="166" fontId="14" fillId="2" borderId="1" xfId="2" applyFont="1" applyFill="1" applyBorder="1" applyAlignment="1">
      <alignment horizontal="center" vertical="center" wrapText="1"/>
    </xf>
    <xf numFmtId="167" fontId="14" fillId="2" borderId="1" xfId="1" applyFont="1" applyFill="1" applyBorder="1" applyAlignment="1">
      <alignment horizontal="center" vertical="center" wrapText="1"/>
    </xf>
    <xf numFmtId="170" fontId="14" fillId="2" borderId="1" xfId="3" applyNumberFormat="1" applyFont="1" applyFill="1" applyBorder="1" applyAlignment="1">
      <alignment horizontal="center" vertical="center" wrapText="1"/>
    </xf>
    <xf numFmtId="14" fontId="14" fillId="2" borderId="1" xfId="2" applyNumberFormat="1" applyFont="1" applyFill="1" applyBorder="1" applyAlignment="1">
      <alignment horizontal="center" vertical="center" wrapText="1"/>
    </xf>
    <xf numFmtId="10" fontId="14" fillId="2" borderId="1" xfId="3" applyNumberFormat="1" applyFont="1" applyFill="1" applyBorder="1" applyAlignment="1">
      <alignment horizontal="center" vertical="center" wrapText="1"/>
    </xf>
    <xf numFmtId="0" fontId="14" fillId="2" borderId="0" xfId="0" applyFont="1" applyFill="1" applyAlignment="1">
      <alignment horizontal="center" vertical="center" wrapText="1"/>
    </xf>
    <xf numFmtId="0" fontId="14" fillId="0" borderId="1" xfId="0" applyFont="1" applyBorder="1" applyAlignment="1">
      <alignment horizontal="center"/>
    </xf>
    <xf numFmtId="49" fontId="13" fillId="2" borderId="1" xfId="2" applyNumberFormat="1" applyFont="1" applyFill="1" applyBorder="1" applyAlignment="1">
      <alignment vertical="center" wrapText="1"/>
    </xf>
    <xf numFmtId="14" fontId="11" fillId="7" borderId="1" xfId="0" applyNumberFormat="1" applyFont="1" applyFill="1" applyBorder="1" applyAlignment="1">
      <alignment horizontal="center" vertical="center"/>
    </xf>
    <xf numFmtId="0" fontId="13" fillId="0" borderId="0" xfId="4" applyFont="1" applyAlignment="1">
      <alignment horizontal="center" vertical="center" wrapText="1"/>
    </xf>
    <xf numFmtId="10" fontId="14" fillId="0" borderId="1" xfId="0" applyNumberFormat="1" applyFont="1" applyBorder="1" applyAlignment="1">
      <alignment horizontal="center" vertical="center"/>
    </xf>
    <xf numFmtId="49" fontId="13" fillId="2" borderId="0" xfId="2" applyNumberFormat="1" applyFont="1" applyFill="1" applyBorder="1" applyAlignment="1">
      <alignment horizontal="center" vertical="center" wrapText="1"/>
    </xf>
    <xf numFmtId="14" fontId="14" fillId="3" borderId="1" xfId="0" applyNumberFormat="1" applyFont="1" applyFill="1" applyBorder="1" applyAlignment="1">
      <alignment horizontal="center" vertical="center"/>
    </xf>
    <xf numFmtId="0" fontId="14" fillId="3" borderId="1" xfId="0" applyFont="1" applyFill="1" applyBorder="1" applyAlignment="1">
      <alignment horizontal="center" vertical="center" wrapText="1"/>
    </xf>
    <xf numFmtId="166" fontId="14" fillId="6" borderId="1" xfId="2" applyFont="1" applyFill="1" applyBorder="1" applyAlignment="1">
      <alignment horizontal="center" vertical="center" wrapText="1"/>
    </xf>
    <xf numFmtId="10" fontId="14" fillId="2" borderId="1" xfId="2" applyNumberFormat="1" applyFont="1" applyFill="1" applyBorder="1" applyAlignment="1">
      <alignment horizontal="center" vertical="center" wrapText="1"/>
    </xf>
    <xf numFmtId="166" fontId="14" fillId="2" borderId="0" xfId="2" applyFont="1" applyFill="1" applyBorder="1" applyAlignment="1">
      <alignment horizontal="center" vertical="center" wrapText="1"/>
    </xf>
    <xf numFmtId="10" fontId="13" fillId="2" borderId="1" xfId="0" applyNumberFormat="1" applyFont="1" applyFill="1" applyBorder="1" applyAlignment="1">
      <alignment horizontal="center" vertical="center" wrapText="1"/>
    </xf>
    <xf numFmtId="49" fontId="13" fillId="0" borderId="1" xfId="0" applyNumberFormat="1" applyFont="1" applyBorder="1" applyAlignment="1">
      <alignment horizontal="justify" vertical="center"/>
    </xf>
    <xf numFmtId="0" fontId="11" fillId="2" borderId="1" xfId="0" applyFont="1" applyFill="1" applyBorder="1" applyAlignment="1">
      <alignment vertical="center" wrapText="1"/>
    </xf>
    <xf numFmtId="0" fontId="14" fillId="7" borderId="1" xfId="0" applyFont="1" applyFill="1" applyBorder="1" applyAlignment="1">
      <alignment wrapText="1"/>
    </xf>
    <xf numFmtId="49" fontId="11" fillId="3" borderId="1" xfId="0" applyNumberFormat="1" applyFont="1" applyFill="1" applyBorder="1" applyAlignment="1">
      <alignment horizontal="left" vertical="center" wrapText="1"/>
    </xf>
    <xf numFmtId="17" fontId="13" fillId="2" borderId="1" xfId="0" applyNumberFormat="1"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24" fillId="6" borderId="0" xfId="0" applyFont="1" applyFill="1" applyAlignment="1">
      <alignment horizontal="center" vertical="center" wrapText="1"/>
    </xf>
    <xf numFmtId="10" fontId="14" fillId="2" borderId="1" xfId="0" applyNumberFormat="1" applyFont="1" applyFill="1" applyBorder="1" applyAlignment="1">
      <alignment horizontal="center" vertical="center" wrapText="1"/>
    </xf>
    <xf numFmtId="14" fontId="13" fillId="0" borderId="1" xfId="4" applyNumberFormat="1" applyFont="1" applyBorder="1" applyAlignment="1">
      <alignment horizontal="center" vertical="center"/>
    </xf>
    <xf numFmtId="0" fontId="13" fillId="2" borderId="4" xfId="4" applyFont="1" applyFill="1" applyBorder="1" applyAlignment="1">
      <alignment horizontal="center" vertical="center" wrapText="1"/>
    </xf>
    <xf numFmtId="49" fontId="13" fillId="0" borderId="1" xfId="4" applyNumberFormat="1" applyFont="1" applyBorder="1" applyAlignment="1">
      <alignment horizontal="center" vertical="center" wrapText="1"/>
    </xf>
    <xf numFmtId="167" fontId="13" fillId="0" borderId="1" xfId="6" applyFont="1" applyBorder="1" applyAlignment="1">
      <alignment horizontal="center" vertical="center" wrapText="1"/>
    </xf>
    <xf numFmtId="166" fontId="13" fillId="0" borderId="1" xfId="2" applyFont="1" applyBorder="1" applyAlignment="1">
      <alignment horizontal="center" vertical="center" wrapText="1"/>
    </xf>
    <xf numFmtId="14" fontId="13" fillId="0" borderId="1" xfId="5" applyNumberFormat="1" applyFont="1" applyBorder="1" applyAlignment="1">
      <alignment horizontal="center" vertical="center" wrapText="1"/>
    </xf>
    <xf numFmtId="169" fontId="13" fillId="2" borderId="1" xfId="5" applyFont="1" applyFill="1" applyBorder="1" applyAlignment="1">
      <alignment horizontal="center" vertical="center" wrapText="1"/>
    </xf>
    <xf numFmtId="0" fontId="13" fillId="0" borderId="4" xfId="0" applyFont="1" applyBorder="1" applyAlignment="1">
      <alignment horizontal="center" vertical="center" wrapText="1"/>
    </xf>
    <xf numFmtId="49" fontId="13" fillId="2" borderId="6" xfId="7" applyNumberFormat="1" applyFont="1" applyFill="1" applyBorder="1" applyAlignment="1">
      <alignment horizontal="center" vertical="center" wrapText="1"/>
    </xf>
    <xf numFmtId="49" fontId="13" fillId="2" borderId="5" xfId="9" applyNumberFormat="1" applyFont="1" applyFill="1" applyBorder="1" applyAlignment="1">
      <alignment horizontal="center" vertical="center" wrapText="1"/>
    </xf>
    <xf numFmtId="0" fontId="11" fillId="2" borderId="0" xfId="0" applyFont="1" applyFill="1"/>
    <xf numFmtId="14" fontId="13" fillId="2" borderId="4" xfId="0" applyNumberFormat="1" applyFont="1" applyFill="1" applyBorder="1" applyAlignment="1">
      <alignment horizontal="center" vertical="center"/>
    </xf>
    <xf numFmtId="14" fontId="13" fillId="2" borderId="3" xfId="0" applyNumberFormat="1" applyFont="1" applyFill="1" applyBorder="1" applyAlignment="1">
      <alignment horizontal="center" vertical="center"/>
    </xf>
    <xf numFmtId="49" fontId="13" fillId="2" borderId="3"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1" fontId="11" fillId="2" borderId="3" xfId="0" applyNumberFormat="1" applyFont="1" applyFill="1" applyBorder="1" applyAlignment="1">
      <alignment horizontal="center" vertical="center" wrapText="1"/>
    </xf>
    <xf numFmtId="1" fontId="11" fillId="2" borderId="4" xfId="0" applyNumberFormat="1" applyFont="1" applyFill="1" applyBorder="1" applyAlignment="1">
      <alignment horizontal="center" vertical="center" wrapText="1"/>
    </xf>
    <xf numFmtId="166" fontId="13" fillId="2" borderId="0" xfId="2" applyFont="1" applyFill="1" applyBorder="1" applyAlignment="1">
      <alignment horizontal="center" vertical="center" wrapText="1"/>
    </xf>
    <xf numFmtId="49" fontId="13" fillId="2" borderId="1" xfId="2" applyNumberFormat="1" applyFont="1" applyFill="1" applyBorder="1" applyAlignment="1">
      <alignment horizontal="left" vertical="top" wrapText="1"/>
    </xf>
    <xf numFmtId="49" fontId="11" fillId="2" borderId="5" xfId="0" applyNumberFormat="1" applyFont="1" applyFill="1" applyBorder="1" applyAlignment="1">
      <alignment horizontal="center" vertical="center" wrapText="1"/>
    </xf>
    <xf numFmtId="166" fontId="11" fillId="2" borderId="0" xfId="2"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3" fillId="2" borderId="5" xfId="4" applyFont="1" applyFill="1" applyBorder="1" applyAlignment="1">
      <alignment horizontal="center" vertical="center" wrapText="1"/>
    </xf>
    <xf numFmtId="49" fontId="13" fillId="2" borderId="12" xfId="0" applyNumberFormat="1" applyFont="1" applyFill="1" applyBorder="1" applyAlignment="1">
      <alignment horizontal="center" vertical="center" wrapText="1"/>
    </xf>
    <xf numFmtId="49" fontId="13" fillId="0" borderId="5" xfId="0" applyNumberFormat="1" applyFont="1" applyBorder="1" applyAlignment="1">
      <alignment horizontal="justify" vertical="center"/>
    </xf>
    <xf numFmtId="0" fontId="11" fillId="0" borderId="1" xfId="0" applyFont="1" applyBorder="1"/>
    <xf numFmtId="0" fontId="13" fillId="2" borderId="12" xfId="0" applyFont="1" applyFill="1" applyBorder="1" applyAlignment="1">
      <alignment horizontal="center" vertical="center" wrapText="1"/>
    </xf>
    <xf numFmtId="0" fontId="13" fillId="2" borderId="14" xfId="0" applyFont="1" applyFill="1" applyBorder="1" applyAlignment="1">
      <alignment horizontal="center" vertical="center" wrapText="1"/>
    </xf>
    <xf numFmtId="49" fontId="13" fillId="2" borderId="5" xfId="0" applyNumberFormat="1" applyFont="1" applyFill="1" applyBorder="1" applyAlignment="1">
      <alignment horizontal="center" vertical="center" wrapText="1"/>
    </xf>
    <xf numFmtId="14" fontId="13" fillId="2" borderId="1" xfId="4" applyNumberFormat="1" applyFont="1" applyFill="1" applyBorder="1" applyAlignment="1">
      <alignment horizontal="center" vertical="center"/>
    </xf>
    <xf numFmtId="49" fontId="13" fillId="2" borderId="1" xfId="4" applyNumberFormat="1" applyFont="1" applyFill="1" applyBorder="1" applyAlignment="1">
      <alignment horizontal="center" vertical="center" wrapText="1"/>
    </xf>
    <xf numFmtId="49" fontId="13" fillId="2" borderId="1" xfId="6" applyNumberFormat="1" applyFont="1" applyFill="1" applyBorder="1" applyAlignment="1">
      <alignment horizontal="center" vertical="center" wrapText="1"/>
    </xf>
    <xf numFmtId="14" fontId="13" fillId="2" borderId="1" xfId="5" applyNumberFormat="1" applyFont="1" applyFill="1" applyBorder="1" applyAlignment="1">
      <alignment horizontal="center" vertical="center" wrapText="1"/>
    </xf>
    <xf numFmtId="0" fontId="13" fillId="0" borderId="9" xfId="4" applyFont="1" applyBorder="1" applyAlignment="1">
      <alignment horizontal="center" vertical="center" wrapText="1"/>
    </xf>
    <xf numFmtId="0" fontId="13" fillId="0" borderId="13" xfId="4" applyFont="1" applyBorder="1" applyAlignment="1">
      <alignment horizontal="center" vertical="center" wrapText="1"/>
    </xf>
    <xf numFmtId="49" fontId="13" fillId="0" borderId="1" xfId="5" applyNumberFormat="1" applyFont="1" applyBorder="1" applyAlignment="1">
      <alignment horizontal="center" vertical="center" wrapText="1"/>
    </xf>
    <xf numFmtId="0" fontId="14" fillId="0" borderId="9" xfId="0" applyFont="1" applyBorder="1" applyAlignment="1">
      <alignment horizontal="center" vertical="center" wrapText="1"/>
    </xf>
    <xf numFmtId="0" fontId="11" fillId="0" borderId="1" xfId="0" applyFont="1" applyBorder="1" applyAlignment="1">
      <alignment horizontal="center" wrapText="1"/>
    </xf>
    <xf numFmtId="0" fontId="11" fillId="3" borderId="9"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0" xfId="0" applyFont="1" applyFill="1" applyAlignment="1">
      <alignment horizontal="center" vertical="center"/>
    </xf>
    <xf numFmtId="0" fontId="11" fillId="2" borderId="9" xfId="0" applyFont="1" applyFill="1" applyBorder="1" applyAlignment="1">
      <alignment horizontal="center" vertical="center" wrapText="1"/>
    </xf>
    <xf numFmtId="49" fontId="13" fillId="2" borderId="1" xfId="2" applyNumberFormat="1" applyFont="1" applyFill="1" applyBorder="1" applyAlignment="1">
      <alignment horizontal="justify" vertical="center" wrapText="1"/>
    </xf>
    <xf numFmtId="14" fontId="13" fillId="6" borderId="1" xfId="0" applyNumberFormat="1" applyFont="1" applyFill="1" applyBorder="1" applyAlignment="1">
      <alignment horizontal="center" vertical="center"/>
    </xf>
    <xf numFmtId="49" fontId="11"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xf>
    <xf numFmtId="169" fontId="13" fillId="6" borderId="1" xfId="5" applyFont="1" applyFill="1" applyBorder="1" applyAlignment="1">
      <alignment horizontal="center" vertical="center" wrapText="1"/>
    </xf>
    <xf numFmtId="0" fontId="14" fillId="0" borderId="1" xfId="0" applyFont="1" applyBorder="1" applyAlignment="1">
      <alignment horizontal="center" vertical="top" wrapText="1"/>
    </xf>
    <xf numFmtId="0" fontId="14" fillId="0" borderId="1" xfId="0" applyFont="1" applyBorder="1" applyAlignment="1">
      <alignment vertical="top" wrapText="1"/>
    </xf>
    <xf numFmtId="0" fontId="14" fillId="0" borderId="13" xfId="0" applyFont="1" applyBorder="1" applyAlignment="1">
      <alignment horizontal="center" vertical="center"/>
    </xf>
    <xf numFmtId="0" fontId="14" fillId="0" borderId="1" xfId="0" applyFont="1" applyBorder="1" applyAlignment="1">
      <alignment vertical="center" wrapText="1"/>
    </xf>
    <xf numFmtId="11" fontId="11" fillId="2" borderId="1" xfId="0" applyNumberFormat="1" applyFont="1" applyFill="1" applyBorder="1" applyAlignment="1">
      <alignment horizontal="center" vertical="center" wrapText="1"/>
    </xf>
    <xf numFmtId="0" fontId="20" fillId="0" borderId="1" xfId="0" applyFont="1" applyBorder="1" applyAlignment="1">
      <alignment vertical="center" wrapText="1"/>
    </xf>
    <xf numFmtId="49" fontId="11" fillId="2" borderId="1" xfId="0" applyNumberFormat="1" applyFont="1" applyFill="1" applyBorder="1" applyAlignment="1">
      <alignment horizontal="justify" vertical="center" wrapText="1"/>
    </xf>
    <xf numFmtId="166" fontId="11" fillId="2" borderId="9" xfId="2" applyFont="1" applyFill="1" applyBorder="1" applyAlignment="1">
      <alignment horizontal="center" vertical="center" wrapText="1"/>
    </xf>
    <xf numFmtId="166" fontId="11" fillId="2" borderId="4" xfId="2" applyFont="1" applyFill="1" applyBorder="1" applyAlignment="1">
      <alignment horizontal="center" vertical="center" wrapText="1"/>
    </xf>
    <xf numFmtId="0" fontId="11" fillId="2" borderId="20" xfId="0" applyFont="1" applyFill="1" applyBorder="1" applyAlignment="1">
      <alignment horizontal="center" vertical="center" wrapText="1"/>
    </xf>
    <xf numFmtId="1" fontId="11" fillId="2" borderId="9" xfId="0" applyNumberFormat="1" applyFont="1" applyFill="1" applyBorder="1" applyAlignment="1">
      <alignment horizontal="center" vertical="center" wrapText="1"/>
    </xf>
    <xf numFmtId="1" fontId="11" fillId="2" borderId="14" xfId="0" applyNumberFormat="1" applyFont="1" applyFill="1" applyBorder="1" applyAlignment="1">
      <alignment horizontal="center" vertical="center" wrapText="1"/>
    </xf>
    <xf numFmtId="0" fontId="13" fillId="2" borderId="2" xfId="4" applyFont="1" applyFill="1" applyBorder="1" applyAlignment="1">
      <alignment horizontal="center" vertical="center" wrapText="1"/>
    </xf>
    <xf numFmtId="0" fontId="14" fillId="0" borderId="0" xfId="0" applyFont="1" applyAlignment="1">
      <alignment vertical="center" wrapText="1"/>
    </xf>
    <xf numFmtId="0" fontId="14" fillId="7" borderId="1" xfId="0" applyFont="1" applyFill="1" applyBorder="1" applyAlignment="1">
      <alignment horizontal="center" wrapText="1"/>
    </xf>
    <xf numFmtId="166" fontId="13" fillId="2" borderId="13" xfId="2" applyFont="1" applyFill="1" applyBorder="1" applyAlignment="1">
      <alignment horizontal="center" vertical="center" wrapText="1"/>
    </xf>
    <xf numFmtId="164" fontId="13" fillId="2" borderId="1" xfId="2" applyNumberFormat="1"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13" xfId="0" applyFont="1" applyBorder="1" applyAlignment="1">
      <alignment horizontal="center" vertical="center" wrapText="1"/>
    </xf>
    <xf numFmtId="49" fontId="11" fillId="0" borderId="0" xfId="0" applyNumberFormat="1" applyFont="1" applyAlignment="1">
      <alignment horizontal="center" vertical="center" wrapText="1"/>
    </xf>
    <xf numFmtId="171" fontId="13" fillId="2" borderId="1" xfId="0" applyNumberFormat="1" applyFont="1" applyFill="1" applyBorder="1" applyAlignment="1">
      <alignment horizontal="center" vertical="center" wrapText="1"/>
    </xf>
    <xf numFmtId="49" fontId="13" fillId="2" borderId="4" xfId="2" applyNumberFormat="1" applyFont="1" applyFill="1" applyBorder="1" applyAlignment="1">
      <alignment horizontal="center" vertical="center" wrapText="1"/>
    </xf>
    <xf numFmtId="14" fontId="11" fillId="2" borderId="4" xfId="0" applyNumberFormat="1" applyFont="1" applyFill="1" applyBorder="1" applyAlignment="1">
      <alignment horizontal="center" vertical="center"/>
    </xf>
    <xf numFmtId="1" fontId="11" fillId="2" borderId="0" xfId="0" applyNumberFormat="1" applyFont="1" applyFill="1" applyAlignment="1">
      <alignment horizontal="center" vertical="center" wrapText="1"/>
    </xf>
    <xf numFmtId="49" fontId="11" fillId="2" borderId="0" xfId="0" applyNumberFormat="1" applyFont="1" applyFill="1" applyAlignment="1">
      <alignment horizontal="center" vertical="center" wrapText="1"/>
    </xf>
    <xf numFmtId="0" fontId="13" fillId="2" borderId="4" xfId="2" applyNumberFormat="1" applyFont="1" applyFill="1" applyBorder="1" applyAlignment="1">
      <alignment horizontal="center" vertical="center" wrapText="1"/>
    </xf>
    <xf numFmtId="14" fontId="11" fillId="3" borderId="4" xfId="0" applyNumberFormat="1" applyFont="1" applyFill="1" applyBorder="1" applyAlignment="1">
      <alignment horizontal="center" vertical="center"/>
    </xf>
    <xf numFmtId="49" fontId="11" fillId="2" borderId="4" xfId="0" applyNumberFormat="1" applyFont="1" applyFill="1" applyBorder="1" applyAlignment="1">
      <alignment horizontal="center" vertical="center" wrapText="1"/>
    </xf>
    <xf numFmtId="1" fontId="11" fillId="2" borderId="4" xfId="2" applyNumberFormat="1" applyFont="1" applyFill="1" applyBorder="1" applyAlignment="1">
      <alignment horizontal="center" vertical="center" wrapText="1"/>
    </xf>
    <xf numFmtId="167" fontId="11" fillId="2" borderId="4" xfId="1" applyFont="1" applyFill="1" applyBorder="1" applyAlignment="1">
      <alignment horizontal="center" vertical="center" wrapText="1"/>
    </xf>
    <xf numFmtId="14" fontId="11" fillId="2" borderId="4" xfId="1" applyNumberFormat="1" applyFont="1" applyFill="1" applyBorder="1" applyAlignment="1">
      <alignment horizontal="center" vertical="center" wrapText="1"/>
    </xf>
    <xf numFmtId="167" fontId="11" fillId="2" borderId="0" xfId="1" applyFont="1" applyFill="1" applyBorder="1" applyAlignment="1">
      <alignment horizontal="center" vertical="center" wrapText="1"/>
    </xf>
    <xf numFmtId="0" fontId="11" fillId="2" borderId="4" xfId="19" applyFont="1" applyFill="1" applyBorder="1" applyAlignment="1">
      <alignment horizontal="center" vertical="center" wrapText="1"/>
    </xf>
    <xf numFmtId="14" fontId="13" fillId="2" borderId="4" xfId="2" applyNumberFormat="1" applyFont="1" applyFill="1" applyBorder="1" applyAlignment="1">
      <alignment horizontal="center" vertical="center" wrapText="1"/>
    </xf>
    <xf numFmtId="0" fontId="14" fillId="0" borderId="4" xfId="0" applyFont="1" applyBorder="1" applyAlignment="1">
      <alignment horizontal="center" wrapText="1"/>
    </xf>
    <xf numFmtId="49" fontId="11" fillId="2" borderId="4" xfId="2" applyNumberFormat="1" applyFont="1" applyFill="1" applyBorder="1" applyAlignment="1">
      <alignment horizontal="center" vertical="center" wrapText="1"/>
    </xf>
    <xf numFmtId="170" fontId="11" fillId="2" borderId="4" xfId="3" applyNumberFormat="1" applyFont="1" applyFill="1" applyBorder="1" applyAlignment="1">
      <alignment horizontal="center" vertical="center" wrapText="1"/>
    </xf>
    <xf numFmtId="14" fontId="11" fillId="2" borderId="4" xfId="2" applyNumberFormat="1" applyFont="1" applyFill="1" applyBorder="1" applyAlignment="1">
      <alignment horizontal="center" vertical="center" wrapText="1"/>
    </xf>
    <xf numFmtId="49" fontId="11" fillId="2" borderId="4" xfId="1" applyNumberFormat="1" applyFont="1" applyFill="1" applyBorder="1" applyAlignment="1">
      <alignment horizontal="center" vertical="center" wrapText="1"/>
    </xf>
    <xf numFmtId="14" fontId="11" fillId="2" borderId="7" xfId="0" applyNumberFormat="1" applyFont="1" applyFill="1" applyBorder="1" applyAlignment="1">
      <alignment horizontal="center" vertical="center"/>
    </xf>
    <xf numFmtId="0" fontId="13" fillId="2" borderId="11" xfId="0" applyFont="1" applyFill="1" applyBorder="1" applyAlignment="1">
      <alignment horizontal="center" vertical="center" wrapText="1"/>
    </xf>
    <xf numFmtId="166" fontId="13" fillId="2" borderId="7" xfId="2" applyFont="1" applyFill="1" applyBorder="1" applyAlignment="1">
      <alignment horizontal="center" vertical="center" wrapText="1"/>
    </xf>
    <xf numFmtId="167" fontId="13" fillId="2" borderId="7" xfId="1" applyFont="1" applyFill="1" applyBorder="1" applyAlignment="1">
      <alignment horizontal="center" vertical="center" wrapText="1"/>
    </xf>
    <xf numFmtId="14" fontId="13" fillId="2" borderId="7" xfId="2" applyNumberFormat="1"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0" borderId="28" xfId="0" applyFont="1" applyBorder="1" applyAlignment="1">
      <alignment horizontal="center" vertical="center" wrapText="1"/>
    </xf>
    <xf numFmtId="0" fontId="14" fillId="0" borderId="6" xfId="0" applyFont="1" applyBorder="1" applyAlignment="1">
      <alignment horizontal="center" vertical="center" wrapText="1"/>
    </xf>
    <xf numFmtId="49" fontId="13" fillId="2" borderId="6" xfId="0" applyNumberFormat="1" applyFont="1" applyFill="1" applyBorder="1" applyAlignment="1">
      <alignment horizontal="center" vertical="center" wrapText="1"/>
    </xf>
    <xf numFmtId="166" fontId="13" fillId="2" borderId="6" xfId="2" applyFont="1" applyFill="1" applyBorder="1" applyAlignment="1">
      <alignment horizontal="center" vertical="center" wrapText="1"/>
    </xf>
    <xf numFmtId="49" fontId="13" fillId="2" borderId="5" xfId="2" applyNumberFormat="1" applyFont="1" applyFill="1" applyBorder="1" applyAlignment="1">
      <alignment horizontal="center" vertical="center" wrapText="1"/>
    </xf>
    <xf numFmtId="166" fontId="13" fillId="2" borderId="5" xfId="2" applyFont="1" applyFill="1" applyBorder="1" applyAlignment="1">
      <alignment horizontal="center" vertical="center" wrapText="1"/>
    </xf>
    <xf numFmtId="167" fontId="13" fillId="2" borderId="5" xfId="1" applyFont="1" applyFill="1" applyBorder="1" applyAlignment="1">
      <alignment horizontal="center" vertical="center" wrapText="1"/>
    </xf>
    <xf numFmtId="170" fontId="13" fillId="2" borderId="5" xfId="3" applyNumberFormat="1" applyFont="1" applyFill="1" applyBorder="1" applyAlignment="1">
      <alignment horizontal="center" vertical="center" wrapText="1"/>
    </xf>
    <xf numFmtId="14" fontId="13" fillId="2" borderId="5" xfId="2" applyNumberFormat="1" applyFont="1" applyFill="1" applyBorder="1" applyAlignment="1">
      <alignment horizontal="center" vertical="center" wrapText="1"/>
    </xf>
    <xf numFmtId="14" fontId="13" fillId="2" borderId="6" xfId="0" applyNumberFormat="1" applyFont="1" applyFill="1" applyBorder="1" applyAlignment="1">
      <alignment horizontal="center" vertical="center"/>
    </xf>
    <xf numFmtId="0" fontId="14" fillId="0" borderId="0" xfId="0" applyFont="1" applyAlignment="1">
      <alignment horizontal="center" wrapText="1"/>
    </xf>
    <xf numFmtId="0" fontId="11" fillId="0" borderId="4" xfId="0" applyFont="1" applyBorder="1" applyAlignment="1">
      <alignment wrapText="1"/>
    </xf>
    <xf numFmtId="49" fontId="11" fillId="0" borderId="4" xfId="0" applyNumberFormat="1" applyFont="1" applyBorder="1" applyAlignment="1">
      <alignment wrapText="1"/>
    </xf>
    <xf numFmtId="14" fontId="13" fillId="2" borderId="7" xfId="0" applyNumberFormat="1" applyFont="1" applyFill="1" applyBorder="1" applyAlignment="1">
      <alignment horizontal="center" vertical="center"/>
    </xf>
    <xf numFmtId="14" fontId="13" fillId="2" borderId="11" xfId="0" applyNumberFormat="1" applyFont="1" applyFill="1" applyBorder="1" applyAlignment="1">
      <alignment horizontal="center" vertical="center"/>
    </xf>
    <xf numFmtId="0" fontId="11" fillId="2" borderId="7" xfId="19" applyFont="1" applyFill="1" applyBorder="1" applyAlignment="1">
      <alignment horizontal="center" vertical="center" wrapText="1"/>
    </xf>
    <xf numFmtId="0" fontId="13" fillId="2" borderId="8" xfId="0" applyFont="1" applyFill="1" applyBorder="1" applyAlignment="1">
      <alignment horizontal="center" vertical="center" wrapText="1"/>
    </xf>
    <xf numFmtId="0" fontId="11" fillId="2" borderId="13" xfId="19" applyFont="1" applyFill="1" applyBorder="1" applyAlignment="1">
      <alignment horizontal="center" vertical="center" wrapText="1"/>
    </xf>
    <xf numFmtId="49" fontId="13" fillId="2" borderId="7" xfId="2" applyNumberFormat="1" applyFont="1" applyFill="1" applyBorder="1" applyAlignment="1">
      <alignment horizontal="center" vertical="center" wrapText="1"/>
    </xf>
    <xf numFmtId="0" fontId="14" fillId="0" borderId="7" xfId="0" applyFont="1" applyBorder="1" applyAlignment="1">
      <alignment horizontal="center" wrapText="1"/>
    </xf>
    <xf numFmtId="0" fontId="14" fillId="0" borderId="11" xfId="0" applyFont="1" applyBorder="1" applyAlignment="1">
      <alignment horizontal="center" vertical="center" wrapText="1"/>
    </xf>
    <xf numFmtId="0" fontId="11" fillId="0" borderId="7" xfId="0" applyFont="1" applyBorder="1"/>
    <xf numFmtId="0" fontId="11" fillId="2" borderId="8" xfId="0" applyFont="1" applyFill="1" applyBorder="1" applyAlignment="1">
      <alignment horizontal="center" vertical="center" wrapText="1"/>
    </xf>
    <xf numFmtId="0" fontId="11" fillId="2" borderId="11" xfId="0" applyFont="1" applyFill="1" applyBorder="1" applyAlignment="1">
      <alignment horizontal="center" vertical="center" wrapText="1"/>
    </xf>
    <xf numFmtId="49" fontId="11" fillId="2" borderId="16" xfId="0" applyNumberFormat="1" applyFont="1" applyFill="1" applyBorder="1" applyAlignment="1">
      <alignment horizontal="center" vertical="center" wrapText="1"/>
    </xf>
    <xf numFmtId="166" fontId="11" fillId="2" borderId="7" xfId="2" applyFont="1" applyFill="1" applyBorder="1" applyAlignment="1">
      <alignment horizontal="center" vertical="center" wrapText="1"/>
    </xf>
    <xf numFmtId="49" fontId="11" fillId="2" borderId="7" xfId="2" applyNumberFormat="1" applyFont="1" applyFill="1" applyBorder="1" applyAlignment="1">
      <alignment horizontal="center" vertical="center" wrapText="1"/>
    </xf>
    <xf numFmtId="167" fontId="11" fillId="2" borderId="7" xfId="1" applyFont="1" applyFill="1" applyBorder="1" applyAlignment="1">
      <alignment horizontal="center" vertical="center" wrapText="1"/>
    </xf>
    <xf numFmtId="14" fontId="11" fillId="2" borderId="7" xfId="2" applyNumberFormat="1" applyFont="1" applyFill="1" applyBorder="1" applyAlignment="1">
      <alignment horizontal="center" vertical="center" wrapText="1"/>
    </xf>
    <xf numFmtId="0" fontId="11" fillId="2" borderId="16" xfId="19" applyFont="1" applyFill="1" applyBorder="1" applyAlignment="1">
      <alignment horizontal="center" vertical="center" wrapText="1"/>
    </xf>
    <xf numFmtId="165" fontId="13" fillId="2" borderId="4" xfId="0" applyNumberFormat="1" applyFont="1" applyFill="1" applyBorder="1" applyAlignment="1">
      <alignment horizontal="center" vertical="center" wrapText="1"/>
    </xf>
    <xf numFmtId="0" fontId="13" fillId="2" borderId="6" xfId="2" applyNumberFormat="1" applyFont="1" applyFill="1" applyBorder="1" applyAlignment="1">
      <alignment horizontal="left" vertical="top" wrapText="1" indent="1"/>
    </xf>
    <xf numFmtId="0" fontId="11" fillId="2" borderId="17" xfId="0" applyFont="1" applyFill="1" applyBorder="1" applyAlignment="1">
      <alignment horizontal="center" vertical="center" wrapText="1"/>
    </xf>
    <xf numFmtId="166" fontId="13" fillId="2" borderId="17" xfId="2" applyFont="1" applyFill="1" applyBorder="1" applyAlignment="1">
      <alignment horizontal="center" vertical="center" wrapText="1"/>
    </xf>
    <xf numFmtId="49" fontId="11" fillId="0" borderId="17" xfId="0" applyNumberFormat="1" applyFont="1" applyBorder="1" applyAlignment="1">
      <alignment horizontal="center" vertical="center"/>
    </xf>
    <xf numFmtId="49" fontId="11" fillId="0" borderId="10" xfId="0" applyNumberFormat="1" applyFont="1" applyBorder="1" applyAlignment="1">
      <alignment horizontal="center" vertical="center"/>
    </xf>
    <xf numFmtId="14" fontId="11" fillId="0" borderId="18" xfId="0" applyNumberFormat="1" applyFont="1" applyBorder="1" applyAlignment="1">
      <alignment horizontal="center" vertical="center"/>
    </xf>
    <xf numFmtId="49" fontId="11" fillId="0" borderId="19" xfId="0" applyNumberFormat="1" applyFont="1" applyBorder="1" applyAlignment="1">
      <alignment horizontal="center" vertical="center"/>
    </xf>
    <xf numFmtId="49" fontId="11" fillId="0" borderId="11" xfId="0" applyNumberFormat="1" applyFont="1" applyBorder="1" applyAlignment="1">
      <alignment horizontal="center" vertical="center"/>
    </xf>
    <xf numFmtId="49" fontId="11" fillId="0" borderId="8"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0" borderId="7" xfId="0" applyNumberFormat="1" applyFont="1" applyBorder="1" applyAlignment="1">
      <alignment horizontal="center" vertical="center" wrapText="1"/>
    </xf>
    <xf numFmtId="14" fontId="11" fillId="0" borderId="4" xfId="0" applyNumberFormat="1" applyFont="1" applyBorder="1" applyAlignment="1">
      <alignment horizontal="center" vertical="center"/>
    </xf>
    <xf numFmtId="49" fontId="11" fillId="0" borderId="0" xfId="0" applyNumberFormat="1" applyFont="1" applyAlignment="1">
      <alignment horizontal="center" vertical="center"/>
    </xf>
    <xf numFmtId="49" fontId="11" fillId="0" borderId="8" xfId="0" applyNumberFormat="1" applyFont="1" applyBorder="1" applyAlignment="1">
      <alignment horizontal="center" vertical="center" wrapText="1"/>
    </xf>
    <xf numFmtId="0" fontId="14" fillId="0" borderId="7" xfId="0" applyFont="1" applyBorder="1" applyAlignment="1">
      <alignment horizontal="center" vertical="center"/>
    </xf>
    <xf numFmtId="14" fontId="11" fillId="0" borderId="7" xfId="0" applyNumberFormat="1" applyFont="1" applyBorder="1" applyAlignment="1">
      <alignment horizontal="center" vertical="center"/>
    </xf>
    <xf numFmtId="0" fontId="11" fillId="0" borderId="8" xfId="0" applyFont="1" applyBorder="1" applyAlignment="1">
      <alignment horizontal="center" vertical="center" wrapText="1"/>
    </xf>
    <xf numFmtId="0" fontId="11" fillId="0" borderId="17" xfId="0" applyFont="1" applyBorder="1" applyAlignment="1">
      <alignment horizontal="center" vertical="center" wrapText="1"/>
    </xf>
    <xf numFmtId="0" fontId="14" fillId="2" borderId="7" xfId="0" applyFont="1" applyFill="1" applyBorder="1" applyAlignment="1">
      <alignment horizontal="center" vertical="center" wrapText="1"/>
    </xf>
    <xf numFmtId="14" fontId="14" fillId="2" borderId="7" xfId="0" applyNumberFormat="1" applyFont="1" applyFill="1" applyBorder="1" applyAlignment="1">
      <alignment horizontal="center" vertical="center"/>
    </xf>
    <xf numFmtId="49" fontId="14" fillId="2" borderId="7" xfId="0" applyNumberFormat="1" applyFont="1" applyFill="1" applyBorder="1" applyAlignment="1">
      <alignment horizontal="center" vertical="center" wrapText="1"/>
    </xf>
    <xf numFmtId="166" fontId="14" fillId="2" borderId="7" xfId="2" applyFont="1" applyFill="1" applyBorder="1" applyAlignment="1">
      <alignment horizontal="center" vertical="center" wrapText="1"/>
    </xf>
    <xf numFmtId="167" fontId="14" fillId="2" borderId="7" xfId="1" applyFont="1" applyFill="1" applyBorder="1" applyAlignment="1">
      <alignment horizontal="center" vertical="center" wrapText="1"/>
    </xf>
    <xf numFmtId="170" fontId="14" fillId="2" borderId="7" xfId="3" applyNumberFormat="1" applyFont="1" applyFill="1" applyBorder="1" applyAlignment="1">
      <alignment horizontal="center" vertical="center" wrapText="1"/>
    </xf>
    <xf numFmtId="14" fontId="14" fillId="2" borderId="7" xfId="2" applyNumberFormat="1" applyFont="1" applyFill="1" applyBorder="1" applyAlignment="1">
      <alignment horizontal="center" vertical="center" wrapText="1"/>
    </xf>
    <xf numFmtId="49" fontId="11" fillId="2" borderId="7" xfId="0" applyNumberFormat="1" applyFont="1" applyFill="1" applyBorder="1" applyAlignment="1">
      <alignment horizontal="center" vertical="center" wrapText="1"/>
    </xf>
    <xf numFmtId="170" fontId="11" fillId="2" borderId="7" xfId="3" applyNumberFormat="1" applyFont="1" applyFill="1" applyBorder="1" applyAlignment="1">
      <alignment horizontal="center" vertical="center" wrapText="1"/>
    </xf>
    <xf numFmtId="166" fontId="13" fillId="4" borderId="7" xfId="2"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4" fillId="0" borderId="25" xfId="0" applyFont="1" applyBorder="1"/>
    <xf numFmtId="0" fontId="14" fillId="0" borderId="25" xfId="0" applyFont="1" applyBorder="1" applyAlignment="1">
      <alignment horizontal="center" vertical="center" wrapText="1"/>
    </xf>
    <xf numFmtId="0" fontId="13" fillId="2" borderId="27" xfId="0" applyFont="1" applyFill="1" applyBorder="1" applyAlignment="1">
      <alignment horizontal="center" vertical="center" wrapText="1"/>
    </xf>
    <xf numFmtId="0" fontId="13" fillId="2" borderId="26" xfId="0" applyFont="1" applyFill="1" applyBorder="1" applyAlignment="1">
      <alignment horizontal="center" vertical="center" wrapText="1"/>
    </xf>
    <xf numFmtId="14" fontId="13" fillId="2" borderId="15" xfId="2" applyNumberFormat="1" applyFont="1" applyFill="1" applyBorder="1" applyAlignment="1">
      <alignment horizontal="center" vertical="center" wrapText="1"/>
    </xf>
    <xf numFmtId="167" fontId="13" fillId="2" borderId="6" xfId="1" applyFont="1" applyFill="1" applyBorder="1" applyAlignment="1">
      <alignment horizontal="center" vertical="center" wrapText="1"/>
    </xf>
    <xf numFmtId="14" fontId="13" fillId="2" borderId="6" xfId="2" applyNumberFormat="1" applyFont="1" applyFill="1" applyBorder="1" applyAlignment="1">
      <alignment horizontal="center" vertical="center" wrapText="1"/>
    </xf>
    <xf numFmtId="14" fontId="11" fillId="3" borderId="11" xfId="0" applyNumberFormat="1" applyFont="1" applyFill="1" applyBorder="1" applyAlignment="1">
      <alignment horizontal="center" vertical="center"/>
    </xf>
    <xf numFmtId="0" fontId="11" fillId="2" borderId="15"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7" xfId="0" applyFont="1" applyBorder="1" applyAlignment="1">
      <alignment horizontal="center" vertical="center"/>
    </xf>
    <xf numFmtId="2" fontId="11" fillId="0" borderId="7" xfId="0" applyNumberFormat="1" applyFont="1" applyBorder="1" applyAlignment="1">
      <alignment horizontal="center" vertical="center" wrapText="1"/>
    </xf>
    <xf numFmtId="0" fontId="11" fillId="0" borderId="11"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wrapText="1"/>
    </xf>
    <xf numFmtId="49" fontId="11" fillId="2" borderId="15" xfId="0" applyNumberFormat="1" applyFont="1" applyFill="1" applyBorder="1" applyAlignment="1">
      <alignment horizontal="center" vertical="center" wrapText="1"/>
    </xf>
    <xf numFmtId="0" fontId="13" fillId="6" borderId="4" xfId="4" applyFont="1" applyFill="1" applyBorder="1" applyAlignment="1">
      <alignment horizontal="center" vertical="center" wrapText="1"/>
    </xf>
    <xf numFmtId="49" fontId="11" fillId="6" borderId="15" xfId="0" applyNumberFormat="1" applyFont="1" applyFill="1" applyBorder="1" applyAlignment="1">
      <alignment horizontal="left" vertical="center" wrapText="1"/>
    </xf>
    <xf numFmtId="0" fontId="13" fillId="6" borderId="3" xfId="0" applyFont="1" applyFill="1" applyBorder="1" applyAlignment="1">
      <alignment horizontal="center" vertical="center" wrapText="1"/>
    </xf>
    <xf numFmtId="0" fontId="14" fillId="7" borderId="4" xfId="0" applyFont="1" applyFill="1" applyBorder="1" applyAlignment="1">
      <alignment horizontal="center" vertical="center" wrapText="1"/>
    </xf>
    <xf numFmtId="1" fontId="11" fillId="2" borderId="2" xfId="0" applyNumberFormat="1" applyFont="1" applyFill="1" applyBorder="1" applyAlignment="1">
      <alignment horizontal="center" vertical="center" wrapText="1"/>
    </xf>
    <xf numFmtId="1" fontId="11" fillId="2" borderId="20" xfId="0" applyNumberFormat="1" applyFont="1" applyFill="1" applyBorder="1" applyAlignment="1">
      <alignment horizontal="center" vertical="center" wrapText="1"/>
    </xf>
    <xf numFmtId="14" fontId="11" fillId="2" borderId="20" xfId="0" applyNumberFormat="1" applyFont="1" applyFill="1" applyBorder="1" applyAlignment="1">
      <alignment horizontal="center" vertical="center"/>
    </xf>
    <xf numFmtId="49" fontId="11" fillId="2" borderId="20" xfId="0" applyNumberFormat="1" applyFont="1" applyFill="1" applyBorder="1" applyAlignment="1">
      <alignment horizontal="center" vertical="center" wrapText="1"/>
    </xf>
    <xf numFmtId="0" fontId="14" fillId="0" borderId="3" xfId="0" applyFont="1" applyBorder="1"/>
    <xf numFmtId="49" fontId="13" fillId="2" borderId="20" xfId="0" applyNumberFormat="1" applyFont="1" applyFill="1" applyBorder="1" applyAlignment="1">
      <alignment horizontal="center" vertical="center" wrapText="1"/>
    </xf>
    <xf numFmtId="0" fontId="13" fillId="2" borderId="20" xfId="4" applyFont="1" applyFill="1" applyBorder="1" applyAlignment="1">
      <alignment horizontal="center" vertical="center" wrapText="1"/>
    </xf>
    <xf numFmtId="166" fontId="11" fillId="2" borderId="20" xfId="2" applyFont="1" applyFill="1" applyBorder="1" applyAlignment="1">
      <alignment horizontal="center" vertical="center" wrapText="1"/>
    </xf>
    <xf numFmtId="167" fontId="11" fillId="2" borderId="20" xfId="1" applyFont="1" applyFill="1" applyBorder="1" applyAlignment="1">
      <alignment horizontal="center" vertical="center" wrapText="1"/>
    </xf>
    <xf numFmtId="14" fontId="11" fillId="2" borderId="13" xfId="0" applyNumberFormat="1" applyFont="1" applyFill="1" applyBorder="1" applyAlignment="1">
      <alignment horizontal="center" vertical="center"/>
    </xf>
    <xf numFmtId="49" fontId="11" fillId="2" borderId="13" xfId="0" applyNumberFormat="1" applyFont="1" applyFill="1" applyBorder="1" applyAlignment="1">
      <alignment horizontal="center" vertical="center" wrapText="1"/>
    </xf>
    <xf numFmtId="166" fontId="11" fillId="2" borderId="13" xfId="2" applyFont="1" applyFill="1" applyBorder="1" applyAlignment="1">
      <alignment horizontal="center" vertical="center" wrapText="1"/>
    </xf>
    <xf numFmtId="49" fontId="11" fillId="2" borderId="13" xfId="2" applyNumberFormat="1" applyFont="1" applyFill="1" applyBorder="1" applyAlignment="1">
      <alignment horizontal="center" vertical="center" wrapText="1"/>
    </xf>
    <xf numFmtId="167" fontId="11" fillId="2" borderId="13" xfId="1" applyFont="1" applyFill="1" applyBorder="1" applyAlignment="1">
      <alignment horizontal="center" vertical="center" wrapText="1"/>
    </xf>
    <xf numFmtId="170" fontId="11" fillId="2" borderId="13" xfId="3" applyNumberFormat="1" applyFont="1" applyFill="1" applyBorder="1" applyAlignment="1">
      <alignment horizontal="center" vertical="center" wrapText="1"/>
    </xf>
    <xf numFmtId="14" fontId="11" fillId="2" borderId="13" xfId="2" applyNumberFormat="1"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13" xfId="0" applyFont="1" applyBorder="1" applyAlignment="1">
      <alignment horizontal="center" vertical="center"/>
    </xf>
    <xf numFmtId="49" fontId="13" fillId="0" borderId="13" xfId="0" applyNumberFormat="1" applyFont="1" applyBorder="1" applyAlignment="1">
      <alignment horizontal="center" vertical="center" wrapText="1"/>
    </xf>
    <xf numFmtId="3"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0" fontId="11" fillId="2" borderId="0" xfId="19" applyFont="1" applyFill="1" applyAlignment="1">
      <alignment horizontal="center" vertical="center"/>
    </xf>
    <xf numFmtId="14" fontId="13" fillId="6" borderId="13" xfId="0" applyNumberFormat="1" applyFont="1" applyFill="1" applyBorder="1" applyAlignment="1">
      <alignment horizontal="center" vertical="center"/>
    </xf>
    <xf numFmtId="0" fontId="13" fillId="6" borderId="0" xfId="0" applyFont="1" applyFill="1" applyAlignment="1">
      <alignment horizontal="center" vertical="center" wrapText="1"/>
    </xf>
    <xf numFmtId="0" fontId="13" fillId="2" borderId="20" xfId="0" applyFont="1" applyFill="1" applyBorder="1" applyAlignment="1">
      <alignment horizontal="center" vertical="center" wrapText="1"/>
    </xf>
    <xf numFmtId="14" fontId="13" fillId="2" borderId="20" xfId="0" applyNumberFormat="1" applyFont="1" applyFill="1" applyBorder="1" applyAlignment="1">
      <alignment horizontal="center" vertical="center"/>
    </xf>
    <xf numFmtId="166" fontId="13" fillId="2" borderId="20" xfId="2" applyFont="1" applyFill="1" applyBorder="1" applyAlignment="1">
      <alignment horizontal="center" vertical="center" wrapText="1"/>
    </xf>
    <xf numFmtId="167" fontId="13" fillId="2" borderId="20" xfId="1" applyFont="1" applyFill="1" applyBorder="1" applyAlignment="1">
      <alignment horizontal="center" vertical="center" wrapText="1"/>
    </xf>
    <xf numFmtId="14" fontId="13" fillId="2" borderId="20" xfId="2" applyNumberFormat="1" applyFont="1" applyFill="1" applyBorder="1" applyAlignment="1">
      <alignment horizontal="center" vertical="center" wrapText="1"/>
    </xf>
    <xf numFmtId="0" fontId="13" fillId="2" borderId="20" xfId="2" applyNumberFormat="1" applyFont="1" applyFill="1" applyBorder="1" applyAlignment="1">
      <alignment horizontal="center" vertical="center" wrapText="1"/>
    </xf>
    <xf numFmtId="49" fontId="13" fillId="2" borderId="20" xfId="2" applyNumberFormat="1" applyFont="1" applyFill="1" applyBorder="1" applyAlignment="1">
      <alignment horizontal="center" vertical="center" wrapText="1"/>
    </xf>
    <xf numFmtId="0" fontId="13" fillId="2" borderId="7" xfId="2" applyNumberFormat="1" applyFont="1" applyFill="1" applyBorder="1" applyAlignment="1">
      <alignment horizontal="center" vertical="center" wrapText="1"/>
    </xf>
    <xf numFmtId="0" fontId="13" fillId="0" borderId="4" xfId="4" applyFont="1" applyBorder="1" applyAlignment="1">
      <alignment horizontal="center" vertical="center" wrapText="1"/>
    </xf>
    <xf numFmtId="0" fontId="13" fillId="0" borderId="15" xfId="0" applyFont="1" applyBorder="1" applyAlignment="1">
      <alignment horizontal="center" vertical="center" wrapText="1"/>
    </xf>
    <xf numFmtId="0" fontId="13" fillId="0" borderId="15" xfId="0" applyFont="1" applyBorder="1" applyAlignment="1">
      <alignment horizontal="center" vertical="center"/>
    </xf>
    <xf numFmtId="49" fontId="13" fillId="0" borderId="4" xfId="0" applyNumberFormat="1" applyFont="1" applyBorder="1" applyAlignment="1">
      <alignment horizontal="justify" vertical="center"/>
    </xf>
    <xf numFmtId="0" fontId="13" fillId="0" borderId="12" xfId="0" applyFont="1" applyBorder="1" applyAlignment="1">
      <alignment horizontal="center" vertical="center"/>
    </xf>
    <xf numFmtId="6" fontId="11" fillId="0" borderId="4" xfId="0" applyNumberFormat="1" applyFont="1" applyBorder="1" applyAlignment="1">
      <alignment vertical="center"/>
    </xf>
    <xf numFmtId="169" fontId="13" fillId="0" borderId="12" xfId="5" applyFont="1" applyFill="1" applyBorder="1" applyAlignment="1">
      <alignment horizontal="center" vertical="center" wrapText="1"/>
    </xf>
    <xf numFmtId="0" fontId="13" fillId="0" borderId="7" xfId="4" applyFont="1" applyBorder="1" applyAlignment="1">
      <alignment horizontal="center" vertical="center" wrapText="1"/>
    </xf>
    <xf numFmtId="0" fontId="13" fillId="0" borderId="7" xfId="0" applyFont="1" applyBorder="1" applyAlignment="1">
      <alignment horizontal="center" vertical="center" wrapText="1"/>
    </xf>
    <xf numFmtId="14" fontId="13" fillId="0" borderId="7" xfId="0" applyNumberFormat="1" applyFont="1" applyBorder="1" applyAlignment="1">
      <alignment horizontal="center" vertical="center" wrapText="1"/>
    </xf>
    <xf numFmtId="49" fontId="14" fillId="2" borderId="7" xfId="0" applyNumberFormat="1" applyFont="1" applyFill="1" applyBorder="1" applyAlignment="1">
      <alignment horizontal="left" vertical="top" wrapText="1"/>
    </xf>
    <xf numFmtId="169" fontId="13" fillId="0" borderId="7" xfId="5" applyFont="1" applyFill="1" applyBorder="1" applyAlignment="1">
      <alignment horizontal="center" vertical="center" wrapText="1"/>
    </xf>
    <xf numFmtId="167" fontId="13" fillId="0" borderId="7" xfId="6" applyFont="1" applyFill="1" applyBorder="1" applyAlignment="1">
      <alignment horizontal="center" vertical="center" wrapText="1"/>
    </xf>
    <xf numFmtId="49" fontId="13" fillId="2" borderId="4" xfId="0" applyNumberFormat="1" applyFont="1" applyFill="1" applyBorder="1" applyAlignment="1">
      <alignment horizontal="justify" vertical="center" wrapText="1"/>
    </xf>
    <xf numFmtId="49" fontId="11" fillId="2" borderId="2" xfId="0" applyNumberFormat="1" applyFont="1" applyFill="1" applyBorder="1" applyAlignment="1">
      <alignment horizontal="center" vertical="center" wrapText="1"/>
    </xf>
    <xf numFmtId="166" fontId="11" fillId="2" borderId="2" xfId="2" applyFont="1" applyFill="1" applyBorder="1" applyAlignment="1">
      <alignment horizontal="center" vertical="center" wrapText="1"/>
    </xf>
    <xf numFmtId="49" fontId="11" fillId="2" borderId="2" xfId="2" applyNumberFormat="1" applyFont="1" applyFill="1" applyBorder="1" applyAlignment="1">
      <alignment horizontal="center" vertical="center" wrapText="1"/>
    </xf>
    <xf numFmtId="167" fontId="11" fillId="2" borderId="2" xfId="1" applyFont="1" applyFill="1" applyBorder="1" applyAlignment="1">
      <alignment horizontal="center" vertical="center" wrapText="1"/>
    </xf>
    <xf numFmtId="170" fontId="11" fillId="2" borderId="2" xfId="3" applyNumberFormat="1" applyFont="1" applyFill="1" applyBorder="1" applyAlignment="1">
      <alignment horizontal="center" vertical="center" wrapText="1"/>
    </xf>
    <xf numFmtId="14" fontId="11" fillId="2" borderId="2" xfId="2" applyNumberFormat="1" applyFont="1" applyFill="1" applyBorder="1" applyAlignment="1">
      <alignment horizontal="center" vertical="center" wrapText="1"/>
    </xf>
    <xf numFmtId="0" fontId="13" fillId="2" borderId="8" xfId="4" applyFont="1" applyFill="1" applyBorder="1" applyAlignment="1">
      <alignment horizontal="center" vertical="center" wrapText="1"/>
    </xf>
    <xf numFmtId="0" fontId="13" fillId="2" borderId="7" xfId="4" applyFont="1" applyFill="1" applyBorder="1" applyAlignment="1">
      <alignment horizontal="center" vertical="center" wrapText="1"/>
    </xf>
    <xf numFmtId="49" fontId="11" fillId="2" borderId="8" xfId="0" applyNumberFormat="1" applyFont="1" applyFill="1" applyBorder="1" applyAlignment="1">
      <alignment horizontal="center" vertical="center" wrapText="1"/>
    </xf>
    <xf numFmtId="170" fontId="11" fillId="2" borderId="8" xfId="3" applyNumberFormat="1" applyFont="1" applyFill="1" applyBorder="1" applyAlignment="1">
      <alignment horizontal="center" vertical="center" wrapText="1"/>
    </xf>
    <xf numFmtId="0" fontId="14" fillId="7" borderId="7" xfId="0" applyFont="1" applyFill="1" applyBorder="1" applyAlignment="1">
      <alignment horizontal="center" vertical="center" wrapText="1"/>
    </xf>
    <xf numFmtId="14" fontId="14" fillId="7" borderId="7" xfId="0" applyNumberFormat="1" applyFont="1" applyFill="1" applyBorder="1" applyAlignment="1">
      <alignment horizontal="center" vertical="center"/>
    </xf>
    <xf numFmtId="0" fontId="13" fillId="0" borderId="24" xfId="4" applyFont="1" applyBorder="1" applyAlignment="1">
      <alignment horizontal="center" vertical="center" wrapText="1"/>
    </xf>
    <xf numFmtId="0" fontId="11" fillId="6" borderId="21" xfId="0" applyFont="1" applyFill="1" applyBorder="1" applyAlignment="1">
      <alignment horizontal="center" vertical="center" wrapText="1"/>
    </xf>
    <xf numFmtId="0" fontId="13" fillId="0" borderId="21" xfId="0" applyFont="1" applyBorder="1" applyAlignment="1">
      <alignment horizontal="center" vertical="center" wrapText="1"/>
    </xf>
    <xf numFmtId="14" fontId="13" fillId="2" borderId="21" xfId="0" applyNumberFormat="1" applyFont="1" applyFill="1" applyBorder="1" applyAlignment="1">
      <alignment horizontal="center" vertical="center"/>
    </xf>
    <xf numFmtId="49" fontId="13" fillId="2" borderId="21" xfId="0" applyNumberFormat="1" applyFont="1" applyFill="1" applyBorder="1" applyAlignment="1">
      <alignment horizontal="center" vertical="center" wrapText="1"/>
    </xf>
    <xf numFmtId="0" fontId="13" fillId="2" borderId="21" xfId="0" applyFont="1" applyFill="1" applyBorder="1" applyAlignment="1">
      <alignment horizontal="center" vertical="center" wrapText="1"/>
    </xf>
    <xf numFmtId="49" fontId="11" fillId="2" borderId="21" xfId="0" applyNumberFormat="1" applyFont="1" applyFill="1" applyBorder="1" applyAlignment="1">
      <alignment horizontal="center" vertical="center" wrapText="1"/>
    </xf>
    <xf numFmtId="49" fontId="13" fillId="0" borderId="21" xfId="0" applyNumberFormat="1" applyFont="1" applyBorder="1" applyAlignment="1">
      <alignment horizontal="justify" vertical="center"/>
    </xf>
    <xf numFmtId="0" fontId="13" fillId="0" borderId="21" xfId="0" applyFont="1" applyBorder="1" applyAlignment="1">
      <alignment horizontal="center" vertical="center"/>
    </xf>
    <xf numFmtId="0" fontId="11" fillId="0" borderId="21" xfId="0" applyFont="1" applyBorder="1" applyAlignment="1">
      <alignment horizontal="center" vertical="center"/>
    </xf>
    <xf numFmtId="169" fontId="13" fillId="0" borderId="21" xfId="5" applyFont="1" applyFill="1" applyBorder="1" applyAlignment="1">
      <alignment horizontal="center" vertical="center" wrapText="1"/>
    </xf>
    <xf numFmtId="0" fontId="11" fillId="0" borderId="21" xfId="0" applyFont="1" applyBorder="1" applyAlignment="1">
      <alignment horizontal="center" vertical="center" wrapText="1"/>
    </xf>
    <xf numFmtId="0" fontId="13" fillId="0" borderId="6" xfId="4" applyFont="1" applyBorder="1" applyAlignment="1">
      <alignment horizontal="center" vertical="center" wrapText="1"/>
    </xf>
    <xf numFmtId="0" fontId="13" fillId="0" borderId="11" xfId="4" applyFont="1" applyBorder="1" applyAlignment="1">
      <alignment horizontal="center" vertical="center" wrapText="1"/>
    </xf>
    <xf numFmtId="14" fontId="13" fillId="2" borderId="23" xfId="0" applyNumberFormat="1" applyFont="1" applyFill="1" applyBorder="1" applyAlignment="1">
      <alignment horizontal="center" vertical="center"/>
    </xf>
    <xf numFmtId="49" fontId="13" fillId="2" borderId="23" xfId="0" applyNumberFormat="1" applyFont="1" applyFill="1" applyBorder="1" applyAlignment="1">
      <alignment horizontal="center" vertical="center" wrapText="1"/>
    </xf>
    <xf numFmtId="49" fontId="13" fillId="0" borderId="23" xfId="0" applyNumberFormat="1" applyFont="1" applyBorder="1" applyAlignment="1">
      <alignment horizontal="justify" vertical="center"/>
    </xf>
    <xf numFmtId="0" fontId="13" fillId="0" borderId="7" xfId="0" applyFont="1" applyBorder="1" applyAlignment="1">
      <alignment horizontal="center" vertical="center"/>
    </xf>
    <xf numFmtId="49" fontId="13" fillId="2" borderId="2" xfId="0" applyNumberFormat="1"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2" borderId="4" xfId="0" applyFont="1" applyFill="1" applyBorder="1" applyAlignment="1">
      <alignment horizontal="center" vertical="center"/>
    </xf>
    <xf numFmtId="0" fontId="14" fillId="2" borderId="0" xfId="0" applyFont="1" applyFill="1" applyAlignment="1">
      <alignment horizontal="center" vertical="center"/>
    </xf>
    <xf numFmtId="0" fontId="14" fillId="0" borderId="15"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6" xfId="0" applyFont="1" applyBorder="1" applyAlignment="1">
      <alignment horizontal="center" vertical="center"/>
    </xf>
    <xf numFmtId="0" fontId="11" fillId="3" borderId="13" xfId="0" applyFont="1" applyFill="1" applyBorder="1" applyAlignment="1">
      <alignment horizontal="center" vertical="center" wrapText="1"/>
    </xf>
    <xf numFmtId="14" fontId="14" fillId="0" borderId="14" xfId="0" applyNumberFormat="1" applyFont="1" applyBorder="1" applyAlignment="1">
      <alignment horizontal="center" vertical="center"/>
    </xf>
    <xf numFmtId="0" fontId="11" fillId="3" borderId="2" xfId="0" applyFont="1" applyFill="1" applyBorder="1" applyAlignment="1">
      <alignment horizontal="center" vertical="center" wrapText="1"/>
    </xf>
    <xf numFmtId="14" fontId="11" fillId="2" borderId="29" xfId="0" applyNumberFormat="1" applyFont="1" applyFill="1" applyBorder="1" applyAlignment="1">
      <alignment horizontal="center" vertical="center"/>
    </xf>
    <xf numFmtId="0" fontId="11" fillId="0" borderId="16" xfId="0" applyFont="1" applyBorder="1" applyAlignment="1">
      <alignment horizontal="center" vertical="center" wrapText="1"/>
    </xf>
    <xf numFmtId="172" fontId="14" fillId="0" borderId="4" xfId="0" applyNumberFormat="1" applyFont="1" applyBorder="1" applyAlignment="1">
      <alignment horizontal="center" vertical="center"/>
    </xf>
    <xf numFmtId="172" fontId="14" fillId="0" borderId="4" xfId="0" applyNumberFormat="1" applyFont="1" applyBorder="1" applyAlignment="1">
      <alignment horizontal="center" vertical="center" wrapText="1"/>
    </xf>
    <xf numFmtId="14" fontId="14" fillId="0" borderId="7" xfId="0" applyNumberFormat="1" applyFont="1" applyBorder="1" applyAlignment="1">
      <alignment horizontal="center" vertical="center"/>
    </xf>
    <xf numFmtId="49" fontId="14" fillId="0" borderId="7" xfId="0" applyNumberFormat="1" applyFont="1" applyBorder="1" applyAlignment="1">
      <alignment horizontal="center" vertical="center" wrapText="1"/>
    </xf>
    <xf numFmtId="172" fontId="14" fillId="0" borderId="7" xfId="0" applyNumberFormat="1" applyFont="1" applyBorder="1" applyAlignment="1">
      <alignment horizontal="center" vertical="center" wrapText="1"/>
    </xf>
    <xf numFmtId="0" fontId="14" fillId="0" borderId="37" xfId="0" applyFont="1" applyBorder="1" applyAlignment="1">
      <alignment horizontal="center"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14" fontId="14" fillId="0" borderId="39" xfId="0" applyNumberFormat="1" applyFont="1" applyBorder="1" applyAlignment="1">
      <alignment horizontal="center" vertical="center"/>
    </xf>
    <xf numFmtId="0" fontId="13" fillId="2" borderId="39" xfId="0" applyFont="1" applyFill="1" applyBorder="1" applyAlignment="1">
      <alignment horizontal="center" vertical="center" wrapText="1"/>
    </xf>
    <xf numFmtId="0" fontId="13" fillId="2" borderId="40" xfId="0" applyFont="1" applyFill="1" applyBorder="1" applyAlignment="1">
      <alignment horizontal="center" vertical="center" wrapText="1"/>
    </xf>
    <xf numFmtId="49" fontId="14" fillId="0" borderId="39" xfId="0" applyNumberFormat="1" applyFont="1" applyBorder="1" applyAlignment="1">
      <alignment horizontal="center" vertical="center" wrapText="1"/>
    </xf>
    <xf numFmtId="172" fontId="14" fillId="0" borderId="38" xfId="0" applyNumberFormat="1" applyFont="1" applyBorder="1" applyAlignment="1">
      <alignment horizontal="center" vertical="center" wrapText="1"/>
    </xf>
    <xf numFmtId="0" fontId="14" fillId="0" borderId="35"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14" fontId="14" fillId="0" borderId="33" xfId="0" applyNumberFormat="1" applyFont="1" applyBorder="1" applyAlignment="1">
      <alignment horizontal="center" vertical="center"/>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49" fontId="14" fillId="0" borderId="33" xfId="0" applyNumberFormat="1" applyFont="1" applyBorder="1" applyAlignment="1">
      <alignment horizontal="center" vertical="center" wrapText="1"/>
    </xf>
    <xf numFmtId="172" fontId="14" fillId="0" borderId="32" xfId="0" applyNumberFormat="1" applyFont="1" applyBorder="1" applyAlignment="1">
      <alignment horizontal="center" vertical="center" wrapText="1"/>
    </xf>
    <xf numFmtId="1" fontId="11" fillId="2" borderId="36" xfId="0" applyNumberFormat="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5" xfId="0" applyFont="1" applyBorder="1" applyAlignment="1">
      <alignment horizontal="center" vertical="center"/>
    </xf>
    <xf numFmtId="14" fontId="14" fillId="0" borderId="6" xfId="0" applyNumberFormat="1" applyFont="1" applyBorder="1" applyAlignment="1">
      <alignment horizontal="center" vertical="center"/>
    </xf>
    <xf numFmtId="0" fontId="14" fillId="0" borderId="9" xfId="0" applyFont="1" applyBorder="1" applyAlignment="1">
      <alignment horizontal="center" vertical="center"/>
    </xf>
    <xf numFmtId="0" fontId="13" fillId="2" borderId="28" xfId="0" applyFont="1" applyFill="1" applyBorder="1" applyAlignment="1">
      <alignment horizontal="center" vertical="center" wrapText="1"/>
    </xf>
    <xf numFmtId="17" fontId="14" fillId="0" borderId="4" xfId="0" applyNumberFormat="1" applyFont="1" applyBorder="1" applyAlignment="1">
      <alignment horizontal="center" vertical="center"/>
    </xf>
    <xf numFmtId="10" fontId="14" fillId="0" borderId="4" xfId="0" applyNumberFormat="1" applyFont="1" applyBorder="1" applyAlignment="1">
      <alignment horizontal="center" vertical="center"/>
    </xf>
    <xf numFmtId="0" fontId="14" fillId="2" borderId="7" xfId="0" applyFont="1" applyFill="1" applyBorder="1" applyAlignment="1">
      <alignment horizontal="center" vertical="center"/>
    </xf>
    <xf numFmtId="14" fontId="14" fillId="0" borderId="17" xfId="0" applyNumberFormat="1" applyFont="1" applyBorder="1" applyAlignment="1">
      <alignment horizontal="center" vertical="center"/>
    </xf>
    <xf numFmtId="1" fontId="11" fillId="2" borderId="7" xfId="0" applyNumberFormat="1" applyFont="1" applyFill="1" applyBorder="1" applyAlignment="1">
      <alignment horizontal="center" vertical="center" wrapText="1"/>
    </xf>
    <xf numFmtId="17" fontId="14" fillId="0" borderId="7" xfId="0" applyNumberFormat="1" applyFont="1" applyBorder="1" applyAlignment="1">
      <alignment horizontal="center" vertical="center"/>
    </xf>
    <xf numFmtId="172" fontId="14" fillId="0" borderId="7" xfId="0" applyNumberFormat="1" applyFont="1" applyBorder="1" applyAlignment="1">
      <alignment horizontal="center" vertical="center"/>
    </xf>
    <xf numFmtId="10" fontId="14" fillId="0" borderId="7" xfId="0" applyNumberFormat="1" applyFont="1" applyBorder="1" applyAlignment="1">
      <alignment horizontal="center" vertical="center"/>
    </xf>
    <xf numFmtId="17" fontId="14" fillId="2" borderId="7" xfId="0" applyNumberFormat="1" applyFont="1" applyFill="1" applyBorder="1" applyAlignment="1">
      <alignment horizontal="center" vertical="center"/>
    </xf>
    <xf numFmtId="172" fontId="14" fillId="2" borderId="7" xfId="0" applyNumberFormat="1" applyFont="1" applyFill="1" applyBorder="1" applyAlignment="1">
      <alignment horizontal="center" vertical="center"/>
    </xf>
    <xf numFmtId="0" fontId="14" fillId="0" borderId="3" xfId="0" applyFont="1" applyBorder="1" applyAlignment="1">
      <alignment horizontal="center" vertical="center"/>
    </xf>
    <xf numFmtId="0" fontId="14" fillId="2" borderId="8" xfId="0" applyFont="1" applyFill="1" applyBorder="1" applyAlignment="1">
      <alignment horizontal="center" vertical="center" wrapText="1"/>
    </xf>
    <xf numFmtId="1" fontId="11" fillId="2" borderId="8" xfId="0" applyNumberFormat="1" applyFont="1" applyFill="1" applyBorder="1" applyAlignment="1">
      <alignment horizontal="center" vertical="center" wrapText="1"/>
    </xf>
    <xf numFmtId="0" fontId="14" fillId="2" borderId="11" xfId="0" applyFont="1" applyFill="1" applyBorder="1" applyAlignment="1">
      <alignment horizontal="center" vertical="center"/>
    </xf>
    <xf numFmtId="2" fontId="14" fillId="2" borderId="7" xfId="0" applyNumberFormat="1" applyFont="1" applyFill="1" applyBorder="1" applyAlignment="1">
      <alignment horizontal="center" vertical="center" wrapText="1"/>
    </xf>
    <xf numFmtId="17" fontId="14" fillId="0" borderId="7" xfId="0" applyNumberFormat="1" applyFont="1" applyBorder="1" applyAlignment="1">
      <alignment horizontal="center" vertical="center" wrapText="1"/>
    </xf>
    <xf numFmtId="0" fontId="14" fillId="0" borderId="8" xfId="0" applyFont="1" applyBorder="1" applyAlignment="1">
      <alignment horizontal="center" vertical="center" wrapText="1"/>
    </xf>
    <xf numFmtId="10" fontId="14" fillId="0" borderId="7" xfId="0" applyNumberFormat="1" applyFont="1" applyBorder="1" applyAlignment="1">
      <alignment horizontal="center" vertical="center" wrapText="1"/>
    </xf>
    <xf numFmtId="0" fontId="14" fillId="0" borderId="2" xfId="0" applyFont="1" applyBorder="1" applyAlignment="1">
      <alignment horizontal="center" vertical="center"/>
    </xf>
    <xf numFmtId="0" fontId="14" fillId="0" borderId="20" xfId="0" applyFont="1" applyBorder="1" applyAlignment="1">
      <alignment horizontal="center" vertical="center"/>
    </xf>
    <xf numFmtId="14" fontId="14" fillId="0" borderId="20" xfId="0" applyNumberFormat="1" applyFont="1" applyBorder="1" applyAlignment="1">
      <alignment horizontal="center" vertical="center"/>
    </xf>
    <xf numFmtId="0" fontId="14" fillId="0" borderId="25" xfId="0" applyFont="1" applyBorder="1" applyAlignment="1">
      <alignment horizontal="center" vertical="center"/>
    </xf>
    <xf numFmtId="0" fontId="14" fillId="0" borderId="17" xfId="0" applyFont="1" applyBorder="1" applyAlignment="1">
      <alignment horizontal="center" vertical="center"/>
    </xf>
    <xf numFmtId="0" fontId="14" fillId="7" borderId="17" xfId="0" applyFont="1" applyFill="1" applyBorder="1" applyAlignment="1">
      <alignment horizontal="center" vertical="center" wrapText="1"/>
    </xf>
    <xf numFmtId="0" fontId="14" fillId="0" borderId="17" xfId="0" applyFont="1" applyBorder="1" applyAlignment="1">
      <alignment horizontal="center" vertical="center" wrapText="1"/>
    </xf>
    <xf numFmtId="0" fontId="14" fillId="0" borderId="8" xfId="0" applyFont="1" applyBorder="1" applyAlignment="1">
      <alignment horizontal="center" vertical="center"/>
    </xf>
    <xf numFmtId="0" fontId="14" fillId="7" borderId="8" xfId="0" applyFont="1" applyFill="1" applyBorder="1" applyAlignment="1">
      <alignment horizontal="center" vertical="center" wrapText="1"/>
    </xf>
    <xf numFmtId="0" fontId="14" fillId="7" borderId="15" xfId="0" applyFont="1" applyFill="1" applyBorder="1" applyAlignment="1">
      <alignment horizontal="center" vertical="center" wrapText="1"/>
    </xf>
    <xf numFmtId="0" fontId="14" fillId="0" borderId="2" xfId="0" applyFont="1" applyBorder="1" applyAlignment="1">
      <alignment horizontal="center" vertical="center" wrapText="1" indent="1"/>
    </xf>
    <xf numFmtId="0" fontId="14" fillId="7" borderId="20" xfId="0" applyFont="1" applyFill="1" applyBorder="1" applyAlignment="1">
      <alignment horizontal="center" vertical="center" wrapText="1" indent="1"/>
    </xf>
    <xf numFmtId="0" fontId="14" fillId="0" borderId="20" xfId="0" applyFont="1" applyBorder="1" applyAlignment="1">
      <alignment horizontal="center" vertical="center" wrapText="1" indent="1"/>
    </xf>
    <xf numFmtId="0" fontId="11" fillId="7" borderId="20" xfId="0" applyFont="1" applyFill="1" applyBorder="1" applyAlignment="1">
      <alignment horizontal="center" vertical="center" wrapText="1" indent="1"/>
    </xf>
    <xf numFmtId="0" fontId="14" fillId="0" borderId="0" xfId="0" applyFont="1" applyAlignment="1">
      <alignment horizontal="center" vertical="center" indent="1"/>
    </xf>
    <xf numFmtId="0" fontId="14" fillId="7" borderId="4" xfId="0" applyFont="1" applyFill="1" applyBorder="1" applyAlignment="1">
      <alignment horizontal="center" wrapText="1"/>
    </xf>
    <xf numFmtId="0" fontId="11" fillId="7" borderId="4" xfId="0" applyFont="1" applyFill="1" applyBorder="1" applyAlignment="1">
      <alignment horizontal="center" wrapText="1"/>
    </xf>
    <xf numFmtId="0" fontId="14" fillId="0" borderId="16" xfId="0" applyFont="1" applyBorder="1" applyAlignment="1">
      <alignment horizontal="center" vertical="center" wrapText="1"/>
    </xf>
    <xf numFmtId="49" fontId="14" fillId="0" borderId="0" xfId="0" applyNumberFormat="1" applyFont="1"/>
    <xf numFmtId="0" fontId="14" fillId="0" borderId="0" xfId="0" applyFont="1" applyAlignment="1">
      <alignment wrapText="1"/>
    </xf>
    <xf numFmtId="0" fontId="9" fillId="0" borderId="0" xfId="21" applyFont="1"/>
    <xf numFmtId="0" fontId="25" fillId="8" borderId="0" xfId="0" applyFont="1" applyFill="1" applyAlignment="1">
      <alignment horizontal="left" vertical="center" wrapText="1"/>
    </xf>
    <xf numFmtId="0" fontId="27" fillId="8" borderId="0" xfId="0" applyFont="1" applyFill="1" applyAlignment="1">
      <alignment horizontal="left"/>
    </xf>
    <xf numFmtId="0" fontId="22" fillId="9"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49" fontId="22" fillId="9" borderId="1" xfId="0" applyNumberFormat="1" applyFont="1" applyFill="1" applyBorder="1" applyAlignment="1">
      <alignment horizontal="center" vertical="center" wrapText="1"/>
    </xf>
    <xf numFmtId="166" fontId="22" fillId="9" borderId="1" xfId="2" applyFont="1" applyFill="1" applyBorder="1" applyAlignment="1">
      <alignment horizontal="center" vertical="center" wrapText="1"/>
    </xf>
    <xf numFmtId="0" fontId="23" fillId="9" borderId="1" xfId="2" applyNumberFormat="1" applyFont="1" applyFill="1" applyBorder="1" applyAlignment="1">
      <alignment horizontal="center" vertical="center" wrapText="1"/>
    </xf>
    <xf numFmtId="166" fontId="23" fillId="9" borderId="1" xfId="2" applyFont="1" applyFill="1" applyBorder="1" applyAlignment="1">
      <alignment horizontal="center" vertical="center" wrapText="1"/>
    </xf>
    <xf numFmtId="167" fontId="23" fillId="9" borderId="1" xfId="1" applyFont="1" applyFill="1" applyBorder="1" applyAlignment="1">
      <alignment horizontal="center" vertical="center" wrapText="1"/>
    </xf>
    <xf numFmtId="170" fontId="22" fillId="9" borderId="1" xfId="3" applyNumberFormat="1" applyFont="1" applyFill="1" applyBorder="1" applyAlignment="1">
      <alignment horizontal="center" vertical="center" wrapText="1"/>
    </xf>
    <xf numFmtId="167" fontId="22" fillId="9" borderId="1" xfId="1" applyFont="1" applyFill="1" applyBorder="1" applyAlignment="1">
      <alignment horizontal="center" vertical="center" wrapText="1"/>
    </xf>
    <xf numFmtId="14" fontId="22" fillId="9" borderId="1" xfId="2" applyNumberFormat="1" applyFont="1" applyFill="1" applyBorder="1" applyAlignment="1">
      <alignment horizontal="center" vertical="center" wrapText="1"/>
    </xf>
    <xf numFmtId="0" fontId="22" fillId="9" borderId="0" xfId="0" applyFont="1" applyFill="1" applyAlignment="1">
      <alignment horizontal="center" vertical="center" wrapText="1"/>
    </xf>
    <xf numFmtId="0" fontId="26" fillId="9" borderId="0" xfId="0" applyFont="1" applyFill="1" applyAlignment="1">
      <alignment horizontal="left" vertical="center" wrapText="1"/>
    </xf>
    <xf numFmtId="0" fontId="14" fillId="9" borderId="0" xfId="0" applyFont="1" applyFill="1"/>
    <xf numFmtId="0" fontId="10"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166" fontId="10" fillId="9" borderId="1" xfId="2" applyFont="1" applyFill="1" applyBorder="1" applyAlignment="1">
      <alignment horizontal="center" vertical="center" wrapText="1"/>
    </xf>
    <xf numFmtId="0" fontId="10" fillId="9" borderId="1" xfId="2" applyNumberFormat="1" applyFont="1" applyFill="1" applyBorder="1" applyAlignment="1">
      <alignment horizontal="center" vertical="center" wrapText="1"/>
    </xf>
    <xf numFmtId="167" fontId="10" fillId="9" borderId="1" xfId="1" applyFont="1" applyFill="1" applyBorder="1" applyAlignment="1">
      <alignment horizontal="center" vertical="center" wrapText="1"/>
    </xf>
    <xf numFmtId="170" fontId="10" fillId="9" borderId="1" xfId="3" applyNumberFormat="1" applyFont="1" applyFill="1" applyBorder="1" applyAlignment="1">
      <alignment horizontal="center" vertical="center" wrapText="1"/>
    </xf>
    <xf numFmtId="14" fontId="10" fillId="9" borderId="1" xfId="2" applyNumberFormat="1" applyFont="1" applyFill="1" applyBorder="1" applyAlignment="1">
      <alignment horizontal="center" vertical="center" wrapText="1"/>
    </xf>
    <xf numFmtId="49" fontId="10" fillId="9" borderId="1" xfId="2" applyNumberFormat="1" applyFont="1" applyFill="1" applyBorder="1" applyAlignment="1">
      <alignment horizontal="center" vertical="center" wrapText="1"/>
    </xf>
    <xf numFmtId="0" fontId="11" fillId="9" borderId="0" xfId="0" applyFont="1" applyFill="1" applyAlignment="1">
      <alignment horizontal="center" vertical="center" wrapText="1"/>
    </xf>
    <xf numFmtId="0" fontId="11" fillId="9" borderId="0" xfId="0" applyFont="1" applyFill="1"/>
    <xf numFmtId="14" fontId="0" fillId="0" borderId="0" xfId="0" applyNumberFormat="1"/>
    <xf numFmtId="0" fontId="11" fillId="7" borderId="1" xfId="0" applyFont="1" applyFill="1" applyBorder="1" applyAlignment="1">
      <alignment horizontal="center" vertical="center"/>
    </xf>
    <xf numFmtId="0" fontId="29" fillId="0" borderId="0" xfId="0" applyFont="1"/>
    <xf numFmtId="0" fontId="29" fillId="10" borderId="0" xfId="0" applyFont="1" applyFill="1"/>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4" fontId="0" fillId="0" borderId="0" xfId="0" applyNumberFormat="1" applyAlignment="1">
      <alignment horizontal="center" vertical="center" wrapText="1"/>
    </xf>
    <xf numFmtId="49" fontId="27" fillId="0" borderId="0" xfId="2" applyNumberFormat="1" applyFont="1" applyFill="1" applyBorder="1" applyAlignment="1">
      <alignment horizontal="center" vertical="center" wrapText="1"/>
    </xf>
    <xf numFmtId="166" fontId="27" fillId="0" borderId="0" xfId="2" applyFont="1" applyFill="1" applyBorder="1" applyAlignment="1">
      <alignment horizontal="center" vertical="center" wrapText="1"/>
    </xf>
    <xf numFmtId="0" fontId="32" fillId="0" borderId="0" xfId="0" applyFont="1"/>
    <xf numFmtId="166" fontId="32" fillId="0" borderId="0" xfId="2" applyFont="1" applyFill="1" applyBorder="1" applyAlignment="1">
      <alignment horizontal="center" vertical="center" wrapText="1"/>
    </xf>
    <xf numFmtId="167" fontId="27" fillId="0" borderId="0" xfId="1" applyFont="1" applyFill="1" applyBorder="1" applyAlignment="1">
      <alignment horizontal="center" vertical="center" wrapText="1"/>
    </xf>
    <xf numFmtId="0" fontId="34" fillId="0" borderId="0" xfId="0" applyFont="1" applyAlignment="1">
      <alignment horizontal="left"/>
    </xf>
    <xf numFmtId="0" fontId="34" fillId="0" borderId="0" xfId="0" applyFont="1"/>
    <xf numFmtId="0" fontId="35" fillId="0" borderId="0" xfId="0" applyFont="1"/>
    <xf numFmtId="0" fontId="9" fillId="11" borderId="0" xfId="21" applyFont="1" applyFill="1"/>
    <xf numFmtId="0" fontId="28" fillId="12" borderId="0" xfId="21" applyFont="1" applyFill="1" applyAlignment="1">
      <alignment horizontal="left" vertical="center"/>
    </xf>
    <xf numFmtId="0" fontId="8" fillId="12" borderId="0" xfId="21" applyFont="1" applyFill="1" applyAlignment="1">
      <alignment horizontal="left"/>
    </xf>
    <xf numFmtId="0" fontId="25" fillId="0" borderId="0" xfId="0" applyFont="1" applyAlignment="1">
      <alignment horizontal="center" vertical="center" wrapText="1"/>
    </xf>
    <xf numFmtId="49" fontId="25" fillId="0" borderId="0" xfId="0" applyNumberFormat="1" applyFont="1" applyAlignment="1">
      <alignment horizontal="center" vertical="center" wrapText="1"/>
    </xf>
    <xf numFmtId="166" fontId="25" fillId="0" borderId="0" xfId="2" applyFont="1" applyFill="1" applyBorder="1" applyAlignment="1">
      <alignment horizontal="center" vertical="center" wrapText="1"/>
    </xf>
    <xf numFmtId="0" fontId="25" fillId="0" borderId="0" xfId="2" applyNumberFormat="1" applyFont="1" applyFill="1" applyBorder="1" applyAlignment="1">
      <alignment horizontal="center" vertical="center" wrapText="1"/>
    </xf>
    <xf numFmtId="167" fontId="25" fillId="0" borderId="0" xfId="1" applyFont="1" applyFill="1" applyBorder="1" applyAlignment="1">
      <alignment horizontal="center" vertical="center" wrapText="1"/>
    </xf>
    <xf numFmtId="170" fontId="25" fillId="0" borderId="0" xfId="3" applyNumberFormat="1" applyFont="1" applyFill="1" applyBorder="1" applyAlignment="1">
      <alignment horizontal="center" vertical="center" wrapText="1"/>
    </xf>
    <xf numFmtId="14" fontId="25" fillId="0" borderId="0" xfId="2" applyNumberFormat="1" applyFont="1" applyFill="1" applyBorder="1" applyAlignment="1">
      <alignment horizontal="center" vertical="center" wrapText="1"/>
    </xf>
    <xf numFmtId="0" fontId="27" fillId="0" borderId="0" xfId="0" applyFont="1" applyAlignment="1">
      <alignment horizontal="center" vertical="center" wrapText="1"/>
    </xf>
    <xf numFmtId="14" fontId="27" fillId="0" borderId="0" xfId="0" applyNumberFormat="1" applyFont="1" applyAlignment="1">
      <alignment horizontal="center" vertical="center"/>
    </xf>
    <xf numFmtId="49" fontId="27" fillId="0" borderId="0" xfId="0" applyNumberFormat="1" applyFont="1" applyAlignment="1">
      <alignment horizontal="center" vertical="center" wrapText="1"/>
    </xf>
    <xf numFmtId="172" fontId="27" fillId="0" borderId="0" xfId="0" applyNumberFormat="1" applyFont="1" applyAlignment="1">
      <alignment horizontal="center" vertical="center" wrapText="1"/>
    </xf>
    <xf numFmtId="0" fontId="27" fillId="0" borderId="0" xfId="19" applyFont="1" applyAlignment="1">
      <alignment horizontal="center" vertical="center"/>
    </xf>
    <xf numFmtId="14" fontId="27" fillId="0" borderId="0" xfId="0" applyNumberFormat="1" applyFont="1" applyAlignment="1">
      <alignment horizontal="center" vertical="center" wrapText="1"/>
    </xf>
    <xf numFmtId="0" fontId="27" fillId="0" borderId="0" xfId="19" applyFont="1" applyAlignment="1">
      <alignment horizontal="center" vertical="center" wrapText="1"/>
    </xf>
    <xf numFmtId="14" fontId="27" fillId="0" borderId="0" xfId="2" applyNumberFormat="1" applyFont="1" applyFill="1" applyBorder="1" applyAlignment="1">
      <alignment horizontal="center" vertical="center" wrapText="1"/>
    </xf>
    <xf numFmtId="0" fontId="27" fillId="0" borderId="0" xfId="2" applyNumberFormat="1" applyFont="1" applyFill="1" applyBorder="1" applyAlignment="1">
      <alignment horizontal="center" vertical="center" wrapText="1"/>
    </xf>
    <xf numFmtId="0" fontId="27" fillId="0" borderId="0" xfId="4" applyFont="1" applyAlignment="1">
      <alignment horizontal="center" vertical="center" wrapText="1"/>
    </xf>
    <xf numFmtId="6" fontId="27" fillId="0" borderId="0" xfId="0" applyNumberFormat="1" applyFont="1" applyAlignment="1">
      <alignment horizontal="center" vertical="center" wrapText="1"/>
    </xf>
    <xf numFmtId="169" fontId="27" fillId="0" borderId="0" xfId="5" applyFont="1" applyFill="1" applyBorder="1" applyAlignment="1">
      <alignment horizontal="center" vertical="center" wrapText="1"/>
    </xf>
    <xf numFmtId="0" fontId="12" fillId="0" borderId="36" xfId="0" applyFont="1" applyBorder="1" applyAlignment="1">
      <alignment horizontal="center" vertical="center" wrapText="1"/>
    </xf>
    <xf numFmtId="0" fontId="25" fillId="0" borderId="10" xfId="0" applyFont="1" applyBorder="1" applyAlignment="1">
      <alignment horizontal="center" vertical="center" wrapText="1"/>
    </xf>
    <xf numFmtId="0" fontId="27" fillId="0" borderId="10" xfId="0" applyFont="1" applyBorder="1" applyAlignment="1">
      <alignment horizontal="center" vertical="center" wrapText="1"/>
    </xf>
    <xf numFmtId="166" fontId="25" fillId="0" borderId="10" xfId="2" applyFont="1" applyFill="1" applyBorder="1" applyAlignment="1">
      <alignment horizontal="center" vertical="center" wrapText="1"/>
    </xf>
    <xf numFmtId="0" fontId="25" fillId="0" borderId="10" xfId="2" applyNumberFormat="1" applyFont="1" applyFill="1" applyBorder="1" applyAlignment="1">
      <alignment horizontal="center" vertical="center" wrapText="1"/>
    </xf>
    <xf numFmtId="167" fontId="25" fillId="0" borderId="10" xfId="1" applyFont="1" applyFill="1" applyBorder="1" applyAlignment="1">
      <alignment horizontal="center" vertical="center" wrapText="1"/>
    </xf>
    <xf numFmtId="170" fontId="25" fillId="0" borderId="10" xfId="3" applyNumberFormat="1" applyFont="1" applyFill="1" applyBorder="1" applyAlignment="1">
      <alignment horizontal="center" vertical="center" wrapText="1"/>
    </xf>
    <xf numFmtId="14" fontId="25" fillId="0" borderId="10" xfId="2" applyNumberFormat="1" applyFont="1" applyFill="1" applyBorder="1" applyAlignment="1">
      <alignment horizontal="center" vertical="center" wrapText="1"/>
    </xf>
    <xf numFmtId="49" fontId="25" fillId="0" borderId="10" xfId="2" applyNumberFormat="1" applyFont="1" applyFill="1" applyBorder="1" applyAlignment="1">
      <alignment horizontal="center" vertical="center" wrapText="1"/>
    </xf>
    <xf numFmtId="0" fontId="25" fillId="0" borderId="41" xfId="0" applyFont="1" applyBorder="1" applyAlignment="1">
      <alignment horizontal="center" vertical="center" wrapText="1"/>
    </xf>
    <xf numFmtId="15" fontId="27" fillId="0" borderId="0" xfId="0" applyNumberFormat="1" applyFont="1" applyAlignment="1">
      <alignment horizontal="center" vertical="center" wrapText="1"/>
    </xf>
    <xf numFmtId="3" fontId="27" fillId="0" borderId="0" xfId="2" applyNumberFormat="1" applyFont="1" applyFill="1" applyBorder="1" applyAlignment="1">
      <alignment horizontal="center" vertical="center" wrapText="1"/>
    </xf>
    <xf numFmtId="0" fontId="27" fillId="0" borderId="0" xfId="0" applyFont="1" applyAlignment="1">
      <alignment wrapText="1"/>
    </xf>
    <xf numFmtId="14" fontId="27" fillId="0" borderId="0" xfId="0" applyNumberFormat="1" applyFont="1" applyAlignment="1">
      <alignment wrapText="1"/>
    </xf>
    <xf numFmtId="1" fontId="27" fillId="0" borderId="0" xfId="2" applyNumberFormat="1" applyFont="1" applyFill="1" applyBorder="1" applyAlignment="1">
      <alignment horizontal="center" vertical="center" wrapText="1"/>
    </xf>
    <xf numFmtId="170" fontId="27" fillId="0" borderId="0" xfId="3" applyNumberFormat="1" applyFont="1" applyFill="1" applyBorder="1" applyAlignment="1">
      <alignment horizontal="center" vertical="center" wrapText="1"/>
    </xf>
    <xf numFmtId="167" fontId="27" fillId="0" borderId="0" xfId="6" applyFont="1" applyFill="1" applyBorder="1" applyAlignment="1">
      <alignment horizontal="center" vertical="center" wrapText="1"/>
    </xf>
    <xf numFmtId="49" fontId="27" fillId="0" borderId="0" xfId="5" applyNumberFormat="1" applyFont="1" applyFill="1" applyBorder="1" applyAlignment="1">
      <alignment horizontal="center" vertical="center" wrapText="1"/>
    </xf>
    <xf numFmtId="49" fontId="27" fillId="0" borderId="0" xfId="0" applyNumberFormat="1" applyFont="1" applyAlignment="1">
      <alignment horizontal="left" vertical="center" wrapText="1"/>
    </xf>
    <xf numFmtId="14" fontId="27" fillId="0" borderId="0" xfId="5" applyNumberFormat="1" applyFont="1" applyFill="1" applyBorder="1" applyAlignment="1">
      <alignment horizontal="center" vertical="center" wrapText="1"/>
    </xf>
    <xf numFmtId="0" fontId="30" fillId="0" borderId="0" xfId="0" applyFont="1" applyAlignment="1">
      <alignment wrapText="1"/>
    </xf>
    <xf numFmtId="49" fontId="27" fillId="0" borderId="0" xfId="6" applyNumberFormat="1" applyFont="1" applyFill="1" applyBorder="1" applyAlignment="1">
      <alignment horizontal="center" vertical="center" wrapText="1"/>
    </xf>
    <xf numFmtId="0" fontId="27" fillId="0" borderId="0" xfId="0" applyFont="1" applyAlignment="1">
      <alignment horizontal="left" vertical="center" wrapText="1"/>
    </xf>
    <xf numFmtId="1" fontId="27" fillId="0" borderId="0" xfId="0" applyNumberFormat="1" applyFont="1" applyAlignment="1">
      <alignment horizontal="center" vertical="center" wrapText="1"/>
    </xf>
    <xf numFmtId="17" fontId="27" fillId="0" borderId="0" xfId="2" applyNumberFormat="1" applyFont="1" applyFill="1" applyBorder="1" applyAlignment="1">
      <alignment horizontal="center" vertical="center" wrapText="1"/>
    </xf>
    <xf numFmtId="49" fontId="27" fillId="0" borderId="0" xfId="1" applyNumberFormat="1" applyFont="1" applyFill="1" applyBorder="1" applyAlignment="1">
      <alignment horizontal="center" vertical="center" wrapText="1"/>
    </xf>
    <xf numFmtId="14" fontId="27" fillId="0" borderId="0" xfId="0" applyNumberFormat="1" applyFont="1" applyAlignment="1">
      <alignment horizontal="center" wrapText="1"/>
    </xf>
    <xf numFmtId="0" fontId="27" fillId="0" borderId="0" xfId="0" applyFont="1" applyAlignment="1">
      <alignment horizontal="center" wrapText="1"/>
    </xf>
    <xf numFmtId="49" fontId="27" fillId="0" borderId="0" xfId="1" applyNumberFormat="1" applyFont="1" applyFill="1" applyBorder="1" applyAlignment="1">
      <alignment horizontal="left" vertical="center" wrapText="1"/>
    </xf>
    <xf numFmtId="17" fontId="27" fillId="0" borderId="0" xfId="0" applyNumberFormat="1" applyFont="1" applyAlignment="1">
      <alignment horizontal="center" vertical="center" wrapText="1"/>
    </xf>
    <xf numFmtId="14" fontId="27" fillId="0" borderId="0" xfId="19" applyNumberFormat="1" applyFont="1" applyAlignment="1">
      <alignment horizontal="center" vertical="center" wrapText="1"/>
    </xf>
    <xf numFmtId="49" fontId="27" fillId="0" borderId="0" xfId="19" applyNumberFormat="1" applyFont="1" applyAlignment="1">
      <alignment horizontal="center" vertical="center" wrapText="1"/>
    </xf>
    <xf numFmtId="3" fontId="27" fillId="0" borderId="0" xfId="19" applyNumberFormat="1" applyFont="1" applyAlignment="1">
      <alignment horizontal="center" vertical="center" wrapText="1"/>
    </xf>
    <xf numFmtId="14" fontId="27" fillId="0" borderId="0" xfId="20" applyNumberFormat="1" applyFont="1" applyFill="1" applyBorder="1" applyAlignment="1">
      <alignment horizontal="center" vertical="center" wrapText="1"/>
    </xf>
    <xf numFmtId="0" fontId="27" fillId="0" borderId="0" xfId="0" applyFont="1" applyAlignment="1">
      <alignment vertical="center" wrapText="1"/>
    </xf>
    <xf numFmtId="0" fontId="27" fillId="0" borderId="0" xfId="0" applyFont="1" applyAlignment="1">
      <alignment horizontal="left" wrapText="1"/>
    </xf>
    <xf numFmtId="0" fontId="27" fillId="0" borderId="0" xfId="19" applyFont="1" applyAlignment="1">
      <alignment horizontal="left" vertical="center" wrapText="1"/>
    </xf>
    <xf numFmtId="49" fontId="27" fillId="0" borderId="0" xfId="0" applyNumberFormat="1" applyFont="1" applyAlignment="1">
      <alignment wrapText="1"/>
    </xf>
    <xf numFmtId="167" fontId="27" fillId="0" borderId="0" xfId="2" applyNumberFormat="1" applyFont="1" applyFill="1" applyBorder="1" applyAlignment="1">
      <alignment horizontal="center" vertical="center" wrapText="1"/>
    </xf>
    <xf numFmtId="11" fontId="27" fillId="0" borderId="0" xfId="2" applyNumberFormat="1" applyFont="1" applyFill="1" applyBorder="1" applyAlignment="1">
      <alignment horizontal="center" vertical="center" wrapText="1"/>
    </xf>
    <xf numFmtId="49" fontId="27" fillId="0" borderId="0" xfId="0" applyNumberFormat="1" applyFont="1" applyAlignment="1">
      <alignment horizontal="center" wrapText="1"/>
    </xf>
    <xf numFmtId="3" fontId="27" fillId="0" borderId="0" xfId="0" applyNumberFormat="1" applyFont="1" applyAlignment="1">
      <alignment horizontal="center" vertical="center" wrapText="1"/>
    </xf>
    <xf numFmtId="49" fontId="27" fillId="0" borderId="0" xfId="2" applyNumberFormat="1" applyFont="1" applyFill="1" applyBorder="1" applyAlignment="1">
      <alignment horizontal="left" vertical="center" wrapText="1"/>
    </xf>
    <xf numFmtId="0" fontId="27" fillId="0" borderId="0" xfId="7" applyFont="1" applyAlignment="1">
      <alignment horizontal="center" vertical="center" wrapText="1"/>
    </xf>
    <xf numFmtId="14" fontId="27" fillId="0" borderId="0" xfId="7" applyNumberFormat="1" applyFont="1" applyAlignment="1">
      <alignment horizontal="center" vertical="center" wrapText="1"/>
    </xf>
    <xf numFmtId="49" fontId="27" fillId="0" borderId="0" xfId="7" applyNumberFormat="1" applyFont="1" applyAlignment="1">
      <alignment horizontal="center" vertical="center" wrapText="1"/>
    </xf>
    <xf numFmtId="49" fontId="27" fillId="0" borderId="0" xfId="9" applyNumberFormat="1" applyFont="1" applyFill="1" applyBorder="1" applyAlignment="1">
      <alignment horizontal="center" vertical="center" wrapText="1"/>
    </xf>
    <xf numFmtId="169" fontId="27" fillId="0" borderId="0" xfId="9" applyFont="1" applyFill="1" applyBorder="1" applyAlignment="1">
      <alignment horizontal="center" vertical="center" wrapText="1"/>
    </xf>
    <xf numFmtId="43" fontId="27" fillId="0" borderId="0" xfId="8" applyFont="1" applyFill="1" applyBorder="1" applyAlignment="1">
      <alignment horizontal="center" vertical="center" wrapText="1"/>
    </xf>
    <xf numFmtId="166" fontId="27" fillId="0" borderId="0" xfId="0" applyNumberFormat="1" applyFont="1" applyAlignment="1">
      <alignment horizontal="center" vertical="center" wrapText="1"/>
    </xf>
    <xf numFmtId="0" fontId="27" fillId="0" borderId="0" xfId="0" applyFont="1" applyAlignment="1">
      <alignment horizontal="center" vertical="top" wrapText="1"/>
    </xf>
    <xf numFmtId="0" fontId="27" fillId="0" borderId="0" xfId="0" applyFont="1" applyAlignment="1">
      <alignment vertical="top" wrapText="1"/>
    </xf>
    <xf numFmtId="167" fontId="27" fillId="0" borderId="0" xfId="0" applyNumberFormat="1" applyFont="1" applyAlignment="1">
      <alignment horizontal="center" vertical="center" wrapText="1"/>
    </xf>
    <xf numFmtId="0" fontId="32" fillId="0" borderId="0" xfId="0" applyFont="1" applyAlignment="1">
      <alignment horizontal="center" vertical="center" wrapText="1"/>
    </xf>
    <xf numFmtId="14" fontId="32" fillId="0" borderId="0" xfId="0" applyNumberFormat="1" applyFont="1" applyAlignment="1">
      <alignment horizontal="center" vertical="center"/>
    </xf>
    <xf numFmtId="49" fontId="32" fillId="0" borderId="0" xfId="0" applyNumberFormat="1" applyFont="1" applyAlignment="1">
      <alignment horizontal="center" vertical="center" wrapText="1"/>
    </xf>
    <xf numFmtId="0" fontId="32" fillId="0" borderId="0" xfId="2" applyNumberFormat="1" applyFont="1" applyFill="1" applyBorder="1" applyAlignment="1">
      <alignment horizontal="center" vertical="center" wrapText="1"/>
    </xf>
    <xf numFmtId="167" fontId="32" fillId="0" borderId="0" xfId="1" applyFont="1" applyFill="1" applyBorder="1" applyAlignment="1">
      <alignment horizontal="center" vertical="center" wrapText="1"/>
    </xf>
    <xf numFmtId="170" fontId="32" fillId="0" borderId="0" xfId="3" applyNumberFormat="1" applyFont="1" applyFill="1" applyBorder="1" applyAlignment="1">
      <alignment horizontal="center" vertical="center" wrapText="1"/>
    </xf>
    <xf numFmtId="14" fontId="32" fillId="0" borderId="0" xfId="2" applyNumberFormat="1" applyFont="1" applyFill="1" applyBorder="1" applyAlignment="1">
      <alignment horizontal="center" vertical="center" wrapText="1"/>
    </xf>
    <xf numFmtId="0" fontId="32" fillId="0" borderId="0" xfId="4" applyFont="1" applyAlignment="1">
      <alignment horizontal="center" vertical="center" wrapText="1"/>
    </xf>
    <xf numFmtId="167" fontId="32" fillId="0" borderId="0" xfId="1" applyFont="1" applyFill="1" applyBorder="1" applyAlignment="1">
      <alignment horizontal="center" vertical="top" wrapText="1" indent="5"/>
    </xf>
    <xf numFmtId="49" fontId="32" fillId="0" borderId="0" xfId="2" applyNumberFormat="1" applyFont="1" applyFill="1" applyBorder="1" applyAlignment="1">
      <alignment horizontal="center" vertical="center" wrapText="1"/>
    </xf>
    <xf numFmtId="0" fontId="32" fillId="0" borderId="0" xfId="0" applyFont="1" applyAlignment="1">
      <alignment horizontal="center" vertical="center"/>
    </xf>
    <xf numFmtId="1" fontId="32" fillId="0" borderId="0" xfId="2" applyNumberFormat="1" applyFont="1" applyFill="1" applyBorder="1" applyAlignment="1">
      <alignment horizontal="center" vertical="center" wrapText="1"/>
    </xf>
    <xf numFmtId="0" fontId="32" fillId="0" borderId="0" xfId="7" applyFont="1" applyAlignment="1">
      <alignment horizontal="center" vertical="center" wrapText="1"/>
    </xf>
    <xf numFmtId="49" fontId="32" fillId="0" borderId="0" xfId="9" applyNumberFormat="1" applyFont="1" applyFill="1" applyBorder="1" applyAlignment="1">
      <alignment horizontal="center" vertical="center" wrapText="1"/>
    </xf>
    <xf numFmtId="169" fontId="32" fillId="0" borderId="0" xfId="9" applyFont="1" applyFill="1" applyBorder="1" applyAlignment="1">
      <alignment horizontal="center" vertical="center" wrapText="1"/>
    </xf>
    <xf numFmtId="14" fontId="32" fillId="0" borderId="0" xfId="9" applyNumberFormat="1" applyFont="1" applyFill="1" applyBorder="1" applyAlignment="1">
      <alignment horizontal="center" vertical="center" wrapText="1"/>
    </xf>
    <xf numFmtId="49" fontId="32" fillId="0" borderId="0" xfId="0" applyNumberFormat="1" applyFont="1" applyAlignment="1">
      <alignment wrapText="1"/>
    </xf>
    <xf numFmtId="17" fontId="32" fillId="0" borderId="0" xfId="0" applyNumberFormat="1" applyFont="1" applyAlignment="1">
      <alignment horizontal="center" vertical="center"/>
    </xf>
    <xf numFmtId="167" fontId="32" fillId="0" borderId="0" xfId="1" applyFont="1" applyFill="1" applyBorder="1" applyAlignment="1">
      <alignment horizontal="left" vertical="center" wrapText="1"/>
    </xf>
    <xf numFmtId="49" fontId="32" fillId="0" borderId="0" xfId="0" applyNumberFormat="1" applyFont="1"/>
    <xf numFmtId="14" fontId="32" fillId="0" borderId="0" xfId="0" quotePrefix="1" applyNumberFormat="1" applyFont="1" applyAlignment="1">
      <alignment horizontal="center" vertical="center"/>
    </xf>
    <xf numFmtId="2" fontId="32" fillId="0" borderId="0" xfId="0" applyNumberFormat="1" applyFont="1" applyAlignment="1">
      <alignment horizontal="center" vertical="center" wrapText="1"/>
    </xf>
    <xf numFmtId="10" fontId="32" fillId="0" borderId="0" xfId="3" applyNumberFormat="1" applyFont="1" applyFill="1" applyBorder="1" applyAlignment="1">
      <alignment horizontal="center" vertical="center" wrapText="1"/>
    </xf>
    <xf numFmtId="0" fontId="32" fillId="0" borderId="0" xfId="0" applyFont="1" applyAlignment="1">
      <alignment wrapText="1"/>
    </xf>
    <xf numFmtId="0" fontId="32" fillId="0" borderId="0" xfId="0" applyFont="1" applyAlignment="1">
      <alignment horizontal="center" wrapText="1"/>
    </xf>
    <xf numFmtId="49" fontId="32" fillId="0" borderId="0" xfId="0" applyNumberFormat="1" applyFont="1" applyAlignment="1">
      <alignment horizontal="center" wrapText="1"/>
    </xf>
    <xf numFmtId="0" fontId="32" fillId="0" borderId="0" xfId="0" applyFont="1" applyAlignment="1">
      <alignment horizontal="center"/>
    </xf>
    <xf numFmtId="14" fontId="32" fillId="0" borderId="0" xfId="0" applyNumberFormat="1" applyFont="1" applyAlignment="1">
      <alignment horizontal="center" vertical="center" wrapText="1"/>
    </xf>
    <xf numFmtId="10" fontId="32" fillId="0" borderId="0" xfId="0" applyNumberFormat="1" applyFont="1" applyAlignment="1">
      <alignment horizontal="center" vertical="center"/>
    </xf>
    <xf numFmtId="10" fontId="32" fillId="0" borderId="0" xfId="2" applyNumberFormat="1" applyFont="1" applyFill="1" applyBorder="1" applyAlignment="1">
      <alignment horizontal="center" vertical="center" wrapText="1"/>
    </xf>
    <xf numFmtId="10" fontId="32" fillId="0" borderId="0" xfId="0" applyNumberFormat="1" applyFont="1" applyAlignment="1">
      <alignment horizontal="center" vertical="center" wrapText="1"/>
    </xf>
    <xf numFmtId="49" fontId="32" fillId="0" borderId="0" xfId="0" applyNumberFormat="1" applyFont="1" applyAlignment="1">
      <alignment horizontal="justify" vertical="center"/>
    </xf>
    <xf numFmtId="169" fontId="32" fillId="0" borderId="0" xfId="5" applyFont="1" applyFill="1" applyBorder="1" applyAlignment="1">
      <alignment horizontal="center" vertical="center" wrapText="1"/>
    </xf>
    <xf numFmtId="167" fontId="32" fillId="0" borderId="0" xfId="6" applyFont="1" applyFill="1" applyBorder="1" applyAlignment="1">
      <alignment horizontal="center" vertical="center" wrapText="1"/>
    </xf>
    <xf numFmtId="49" fontId="32" fillId="0" borderId="0" xfId="0" applyNumberFormat="1" applyFont="1" applyAlignment="1">
      <alignment horizontal="left" vertical="center" wrapText="1"/>
    </xf>
    <xf numFmtId="17" fontId="32" fillId="0" borderId="0" xfId="0" applyNumberFormat="1" applyFont="1" applyAlignment="1">
      <alignment horizontal="center" vertical="center" wrapText="1"/>
    </xf>
    <xf numFmtId="14" fontId="32" fillId="0" borderId="0" xfId="4" applyNumberFormat="1" applyFont="1" applyAlignment="1">
      <alignment horizontal="center" vertical="center"/>
    </xf>
    <xf numFmtId="49" fontId="32" fillId="0" borderId="0" xfId="4" applyNumberFormat="1" applyFont="1" applyAlignment="1">
      <alignment horizontal="center" vertical="center" wrapText="1"/>
    </xf>
    <xf numFmtId="0" fontId="32" fillId="0" borderId="0" xfId="19" applyFont="1" applyAlignment="1">
      <alignment horizontal="center" vertical="center"/>
    </xf>
    <xf numFmtId="14" fontId="32" fillId="0" borderId="0" xfId="5" applyNumberFormat="1" applyFont="1" applyFill="1" applyBorder="1" applyAlignment="1">
      <alignment horizontal="center" vertical="center" wrapText="1"/>
    </xf>
    <xf numFmtId="1" fontId="32" fillId="0" borderId="0" xfId="0" applyNumberFormat="1" applyFont="1" applyAlignment="1">
      <alignment horizontal="center" vertical="center" wrapText="1"/>
    </xf>
    <xf numFmtId="49" fontId="32" fillId="0" borderId="0" xfId="6" applyNumberFormat="1" applyFont="1" applyFill="1" applyBorder="1" applyAlignment="1">
      <alignment horizontal="center" vertical="center" wrapText="1"/>
    </xf>
    <xf numFmtId="49" fontId="32" fillId="0" borderId="0" xfId="5" applyNumberFormat="1" applyFont="1" applyFill="1" applyBorder="1" applyAlignment="1">
      <alignment horizontal="center" vertical="center" wrapText="1"/>
    </xf>
    <xf numFmtId="49" fontId="32" fillId="0" borderId="0" xfId="2" applyNumberFormat="1" applyFont="1" applyFill="1" applyBorder="1" applyAlignment="1">
      <alignment horizontal="justify" vertical="center" wrapText="1"/>
    </xf>
    <xf numFmtId="49" fontId="32" fillId="0" borderId="0" xfId="0" applyNumberFormat="1" applyFont="1" applyAlignment="1">
      <alignment horizontal="justify" vertical="center" wrapText="1"/>
    </xf>
    <xf numFmtId="0" fontId="32" fillId="0" borderId="0" xfId="0" applyFont="1" applyAlignment="1">
      <alignment vertical="center" wrapText="1"/>
    </xf>
    <xf numFmtId="11" fontId="32" fillId="0" borderId="0" xfId="0" applyNumberFormat="1" applyFont="1" applyAlignment="1">
      <alignment horizontal="center" vertical="center" wrapText="1"/>
    </xf>
    <xf numFmtId="3" fontId="32" fillId="0" borderId="0" xfId="0" applyNumberFormat="1" applyFont="1" applyAlignment="1">
      <alignment horizontal="center" vertical="center"/>
    </xf>
    <xf numFmtId="168" fontId="32" fillId="0" borderId="0" xfId="0" applyNumberFormat="1" applyFont="1" applyAlignment="1">
      <alignment horizontal="center" vertical="center"/>
    </xf>
    <xf numFmtId="49" fontId="32" fillId="0" borderId="0" xfId="0" applyNumberFormat="1" applyFont="1" applyAlignment="1">
      <alignment horizontal="left" vertical="top" wrapText="1"/>
    </xf>
    <xf numFmtId="172" fontId="32" fillId="0" borderId="0" xfId="0" applyNumberFormat="1" applyFont="1" applyAlignment="1">
      <alignment horizontal="center" vertical="center"/>
    </xf>
    <xf numFmtId="172" fontId="32" fillId="0" borderId="0" xfId="0" applyNumberFormat="1" applyFont="1" applyAlignment="1">
      <alignment horizontal="center" vertical="center" wrapText="1"/>
    </xf>
    <xf numFmtId="49" fontId="25" fillId="0" borderId="10" xfId="0" applyNumberFormat="1" applyFont="1" applyBorder="1" applyAlignment="1">
      <alignment horizontal="center" vertical="center" wrapText="1"/>
    </xf>
    <xf numFmtId="0" fontId="27" fillId="0" borderId="0" xfId="0" applyFont="1" applyAlignment="1">
      <alignment horizontal="center" vertical="center"/>
    </xf>
    <xf numFmtId="49" fontId="27" fillId="0" borderId="0" xfId="2" applyNumberFormat="1" applyFont="1" applyFill="1" applyBorder="1" applyAlignment="1">
      <alignment vertical="center" wrapText="1"/>
    </xf>
    <xf numFmtId="49" fontId="27" fillId="0" borderId="0" xfId="0" applyNumberFormat="1" applyFont="1" applyAlignment="1">
      <alignment horizontal="center" vertical="center"/>
    </xf>
    <xf numFmtId="0" fontId="27" fillId="0" borderId="0" xfId="0" applyFont="1"/>
    <xf numFmtId="167" fontId="27" fillId="0" borderId="0" xfId="1" applyFont="1" applyFill="1" applyBorder="1" applyAlignment="1">
      <alignment vertical="center" wrapText="1"/>
    </xf>
    <xf numFmtId="14" fontId="27" fillId="0" borderId="0" xfId="19" applyNumberFormat="1" applyFont="1" applyAlignment="1">
      <alignment horizontal="center" vertical="center"/>
    </xf>
    <xf numFmtId="3" fontId="27" fillId="0" borderId="0" xfId="19" applyNumberFormat="1" applyFont="1" applyAlignment="1">
      <alignment horizontal="center" vertical="center"/>
    </xf>
    <xf numFmtId="14" fontId="27" fillId="0" borderId="0" xfId="20" applyNumberFormat="1" applyFont="1" applyFill="1" applyBorder="1" applyAlignment="1">
      <alignment horizontal="center" vertical="center"/>
    </xf>
    <xf numFmtId="169" fontId="27" fillId="0" borderId="0" xfId="20" applyFont="1" applyFill="1" applyBorder="1" applyAlignment="1">
      <alignment horizontal="center" vertical="center"/>
    </xf>
    <xf numFmtId="49" fontId="27" fillId="0" borderId="0" xfId="0" applyNumberFormat="1" applyFont="1" applyAlignment="1">
      <alignment horizontal="left" wrapText="1"/>
    </xf>
    <xf numFmtId="17" fontId="27" fillId="0" borderId="0" xfId="0" applyNumberFormat="1" applyFont="1" applyAlignment="1">
      <alignment horizontal="center" vertical="center"/>
    </xf>
    <xf numFmtId="49" fontId="27" fillId="0" borderId="0" xfId="2" applyNumberFormat="1" applyFont="1" applyFill="1" applyBorder="1" applyAlignment="1">
      <alignment horizontal="left" vertical="top" wrapText="1"/>
    </xf>
    <xf numFmtId="49" fontId="27" fillId="0" borderId="0" xfId="0" applyNumberFormat="1" applyFont="1" applyAlignment="1">
      <alignment horizontal="justify" vertical="center" wrapText="1"/>
    </xf>
    <xf numFmtId="164" fontId="27" fillId="0" borderId="0" xfId="2" applyNumberFormat="1" applyFont="1" applyFill="1" applyBorder="1" applyAlignment="1">
      <alignment horizontal="center" vertical="center" wrapText="1"/>
    </xf>
    <xf numFmtId="2" fontId="27" fillId="0" borderId="0" xfId="0" applyNumberFormat="1" applyFont="1" applyAlignment="1">
      <alignment horizontal="center" vertical="center" wrapText="1"/>
    </xf>
    <xf numFmtId="171" fontId="27" fillId="0" borderId="0" xfId="0" applyNumberFormat="1" applyFont="1" applyAlignment="1">
      <alignment horizontal="center" vertical="center" wrapText="1"/>
    </xf>
    <xf numFmtId="14" fontId="27" fillId="0" borderId="0" xfId="1" applyNumberFormat="1" applyFont="1" applyFill="1" applyBorder="1" applyAlignment="1">
      <alignment horizontal="center" vertical="center" wrapText="1"/>
    </xf>
    <xf numFmtId="165" fontId="27" fillId="0" borderId="0" xfId="0" applyNumberFormat="1" applyFont="1" applyAlignment="1">
      <alignment horizontal="center" vertical="center" wrapText="1"/>
    </xf>
    <xf numFmtId="0" fontId="27" fillId="0" borderId="0" xfId="2" applyNumberFormat="1" applyFont="1" applyFill="1" applyBorder="1" applyAlignment="1">
      <alignment horizontal="left" vertical="top" wrapText="1" indent="1"/>
    </xf>
    <xf numFmtId="172" fontId="27" fillId="0" borderId="0" xfId="0" applyNumberFormat="1" applyFont="1" applyAlignment="1">
      <alignment horizontal="center" vertical="center"/>
    </xf>
    <xf numFmtId="0" fontId="37" fillId="0" borderId="0" xfId="0" pivotButton="1" applyFont="1"/>
    <xf numFmtId="0" fontId="37" fillId="0" borderId="0" xfId="0" applyFont="1"/>
    <xf numFmtId="0" fontId="37" fillId="0" borderId="0" xfId="0" applyFont="1" applyAlignment="1">
      <alignment horizontal="left"/>
    </xf>
    <xf numFmtId="0" fontId="36" fillId="0" borderId="0" xfId="21" applyFont="1" applyAlignment="1">
      <alignment vertical="center" wrapText="1"/>
    </xf>
    <xf numFmtId="173" fontId="27" fillId="0" borderId="0" xfId="0" applyNumberFormat="1" applyFont="1" applyAlignment="1">
      <alignment horizontal="center" vertical="center" wrapText="1"/>
    </xf>
    <xf numFmtId="166" fontId="27" fillId="0" borderId="0" xfId="2" applyFont="1" applyFill="1" applyAlignment="1">
      <alignment horizontal="center" vertical="center" wrapText="1"/>
    </xf>
    <xf numFmtId="166" fontId="34" fillId="0" borderId="0" xfId="0" applyNumberFormat="1" applyFont="1"/>
    <xf numFmtId="166" fontId="25" fillId="14" borderId="10" xfId="2" applyFont="1" applyFill="1" applyBorder="1" applyAlignment="1">
      <alignment horizontal="center" vertical="center" wrapText="1"/>
    </xf>
    <xf numFmtId="0" fontId="32" fillId="10" borderId="0" xfId="0" applyFont="1" applyFill="1" applyAlignment="1">
      <alignment horizontal="center" vertical="center" wrapText="1"/>
    </xf>
    <xf numFmtId="0" fontId="29" fillId="0" borderId="0" xfId="0" applyFont="1" applyAlignment="1">
      <alignment vertical="center"/>
    </xf>
    <xf numFmtId="49" fontId="27" fillId="0" borderId="0" xfId="2" applyNumberFormat="1" applyFont="1" applyFill="1" applyAlignment="1">
      <alignment horizontal="center" vertical="center" wrapText="1"/>
    </xf>
    <xf numFmtId="11" fontId="27" fillId="0" borderId="0" xfId="19" applyNumberFormat="1" applyFont="1" applyAlignment="1">
      <alignment horizontal="center" vertical="center" wrapText="1"/>
    </xf>
    <xf numFmtId="0" fontId="39" fillId="15" borderId="2" xfId="0" applyFont="1" applyFill="1" applyBorder="1" applyAlignment="1">
      <alignment horizontal="center" vertical="center" wrapText="1"/>
    </xf>
    <xf numFmtId="49" fontId="39" fillId="15" borderId="2" xfId="0" applyNumberFormat="1" applyFont="1" applyFill="1" applyBorder="1" applyAlignment="1">
      <alignment horizontal="center" vertical="center" wrapText="1"/>
    </xf>
    <xf numFmtId="166" fontId="39" fillId="15" borderId="2" xfId="2" applyFont="1" applyFill="1" applyBorder="1" applyAlignment="1">
      <alignment horizontal="center" vertical="center" wrapText="1"/>
    </xf>
    <xf numFmtId="0" fontId="39" fillId="15" borderId="2" xfId="2" applyNumberFormat="1" applyFont="1" applyFill="1" applyBorder="1" applyAlignment="1">
      <alignment horizontal="center" vertical="center" wrapText="1"/>
    </xf>
    <xf numFmtId="167" fontId="39" fillId="15" borderId="2" xfId="1" applyFont="1" applyFill="1" applyBorder="1" applyAlignment="1">
      <alignment horizontal="center" vertical="center" wrapText="1"/>
    </xf>
    <xf numFmtId="170" fontId="39" fillId="15" borderId="2" xfId="3" applyNumberFormat="1" applyFont="1" applyFill="1" applyBorder="1" applyAlignment="1">
      <alignment horizontal="center" vertical="center" wrapText="1"/>
    </xf>
    <xf numFmtId="14" fontId="39" fillId="15" borderId="2" xfId="2" applyNumberFormat="1" applyFont="1" applyFill="1" applyBorder="1" applyAlignment="1">
      <alignment horizontal="center" vertical="center" wrapText="1"/>
    </xf>
    <xf numFmtId="0" fontId="38" fillId="0" borderId="4" xfId="0" applyFont="1" applyBorder="1" applyAlignment="1">
      <alignment horizontal="center" vertical="center" wrapText="1"/>
    </xf>
    <xf numFmtId="14" fontId="38" fillId="0" borderId="4" xfId="0" applyNumberFormat="1" applyFont="1" applyBorder="1" applyAlignment="1">
      <alignment horizontal="center" vertical="center" wrapText="1"/>
    </xf>
    <xf numFmtId="49" fontId="38" fillId="0" borderId="4" xfId="0" applyNumberFormat="1" applyFont="1" applyBorder="1" applyAlignment="1">
      <alignment horizontal="center" vertical="center" wrapText="1"/>
    </xf>
    <xf numFmtId="166" fontId="38" fillId="0" borderId="4" xfId="2" applyFont="1" applyBorder="1" applyAlignment="1">
      <alignment horizontal="center" vertical="center" wrapText="1"/>
    </xf>
    <xf numFmtId="49" fontId="38" fillId="0" borderId="4" xfId="2" applyNumberFormat="1" applyFont="1" applyBorder="1" applyAlignment="1">
      <alignment horizontal="center" vertical="center" wrapText="1"/>
    </xf>
    <xf numFmtId="167" fontId="38" fillId="0" borderId="4" xfId="1" applyFont="1" applyBorder="1" applyAlignment="1">
      <alignment horizontal="center" vertical="center" wrapText="1"/>
    </xf>
    <xf numFmtId="170" fontId="38" fillId="0" borderId="4" xfId="3" applyNumberFormat="1" applyFont="1" applyBorder="1" applyAlignment="1">
      <alignment horizontal="center" vertical="center" wrapText="1"/>
    </xf>
    <xf numFmtId="14" fontId="38" fillId="0" borderId="4" xfId="2" applyNumberFormat="1" applyFont="1" applyBorder="1" applyAlignment="1">
      <alignment horizontal="center" vertical="center" wrapText="1"/>
    </xf>
    <xf numFmtId="0" fontId="38" fillId="0" borderId="4" xfId="2" applyNumberFormat="1" applyFont="1" applyBorder="1" applyAlignment="1">
      <alignment horizontal="center" vertical="center" wrapText="1"/>
    </xf>
    <xf numFmtId="0" fontId="38" fillId="0" borderId="4" xfId="4" applyFont="1" applyBorder="1" applyAlignment="1">
      <alignment horizontal="center" vertical="center" wrapText="1"/>
    </xf>
    <xf numFmtId="0" fontId="38" fillId="0" borderId="4" xfId="0" applyFont="1" applyBorder="1" applyAlignment="1">
      <alignment horizontal="left" vertical="center" wrapText="1"/>
    </xf>
    <xf numFmtId="0" fontId="38" fillId="0" borderId="4" xfId="0" applyFont="1" applyBorder="1" applyAlignment="1">
      <alignment wrapText="1"/>
    </xf>
    <xf numFmtId="49" fontId="38" fillId="0" borderId="4" xfId="0" applyNumberFormat="1" applyFont="1" applyBorder="1" applyAlignment="1">
      <alignment horizontal="left" vertical="center" wrapText="1"/>
    </xf>
    <xf numFmtId="0" fontId="27" fillId="0" borderId="4" xfId="19" applyFont="1" applyBorder="1" applyAlignment="1">
      <alignment horizontal="center" vertical="center" wrapText="1"/>
    </xf>
    <xf numFmtId="14" fontId="27" fillId="0" borderId="4" xfId="19" applyNumberFormat="1" applyFont="1" applyBorder="1" applyAlignment="1">
      <alignment horizontal="center" vertical="center" wrapText="1"/>
    </xf>
    <xf numFmtId="3" fontId="27" fillId="0" borderId="4" xfId="19" applyNumberFormat="1" applyFont="1" applyBorder="1" applyAlignment="1">
      <alignment horizontal="center" vertical="center" wrapText="1"/>
    </xf>
    <xf numFmtId="14" fontId="27" fillId="0" borderId="4" xfId="20" applyNumberFormat="1" applyFont="1" applyBorder="1" applyAlignment="1">
      <alignment horizontal="center" vertical="center" wrapText="1"/>
    </xf>
    <xf numFmtId="0" fontId="40" fillId="0" borderId="0" xfId="0" applyFont="1" applyAlignment="1">
      <alignment horizontal="center" vertical="center" wrapText="1"/>
    </xf>
    <xf numFmtId="0" fontId="38" fillId="0" borderId="42" xfId="0" applyFont="1" applyBorder="1" applyAlignment="1">
      <alignment horizontal="center" vertical="center" wrapText="1"/>
    </xf>
    <xf numFmtId="14" fontId="38" fillId="0" borderId="42" xfId="0" applyNumberFormat="1" applyFont="1" applyBorder="1" applyAlignment="1">
      <alignment horizontal="center" vertical="center" wrapText="1"/>
    </xf>
    <xf numFmtId="0" fontId="38" fillId="0" borderId="43" xfId="0" applyFont="1" applyBorder="1" applyAlignment="1">
      <alignment horizontal="center" vertical="center" wrapText="1"/>
    </xf>
    <xf numFmtId="0" fontId="39" fillId="15" borderId="42" xfId="0" applyFont="1" applyFill="1" applyBorder="1" applyAlignment="1">
      <alignment horizontal="center" vertical="center" wrapText="1"/>
    </xf>
    <xf numFmtId="0" fontId="39" fillId="15" borderId="43"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32" fillId="0" borderId="0" xfId="0" applyFont="1" applyFill="1"/>
    <xf numFmtId="0" fontId="32" fillId="0" borderId="0" xfId="0" applyFont="1" applyFill="1" applyAlignment="1">
      <alignment horizontal="center" vertical="center" wrapText="1"/>
    </xf>
    <xf numFmtId="173" fontId="32" fillId="0" borderId="0" xfId="0" applyNumberFormat="1" applyFont="1" applyFill="1" applyAlignment="1">
      <alignment horizontal="center" vertical="center"/>
    </xf>
    <xf numFmtId="166" fontId="32" fillId="0" borderId="0" xfId="2" applyFont="1" applyFill="1" applyAlignment="1">
      <alignment horizontal="center" vertical="center" wrapText="1"/>
    </xf>
    <xf numFmtId="0" fontId="27" fillId="0" borderId="0" xfId="0" applyFont="1" applyFill="1" applyAlignment="1">
      <alignment horizontal="center" vertical="center" wrapText="1"/>
    </xf>
    <xf numFmtId="0" fontId="0" fillId="16" borderId="0" xfId="0" applyFill="1"/>
    <xf numFmtId="0" fontId="0" fillId="2" borderId="1" xfId="0" applyFill="1" applyBorder="1"/>
    <xf numFmtId="0" fontId="0" fillId="2" borderId="44" xfId="0" applyFill="1" applyBorder="1"/>
    <xf numFmtId="0" fontId="0" fillId="2" borderId="45" xfId="0" applyFill="1" applyBorder="1"/>
    <xf numFmtId="0" fontId="0" fillId="2" borderId="46" xfId="0" applyFill="1" applyBorder="1"/>
    <xf numFmtId="0" fontId="0" fillId="2" borderId="47" xfId="0" applyFill="1" applyBorder="1"/>
    <xf numFmtId="0" fontId="0" fillId="2" borderId="48" xfId="0" applyFill="1" applyBorder="1"/>
    <xf numFmtId="0" fontId="0" fillId="14" borderId="1" xfId="0" applyFill="1" applyBorder="1"/>
    <xf numFmtId="0" fontId="0" fillId="14" borderId="48" xfId="0" applyFill="1" applyBorder="1"/>
    <xf numFmtId="0" fontId="0" fillId="14" borderId="45" xfId="0" applyFill="1" applyBorder="1"/>
    <xf numFmtId="0" fontId="0" fillId="2" borderId="49" xfId="0" applyFill="1" applyBorder="1"/>
    <xf numFmtId="0" fontId="0" fillId="2" borderId="10" xfId="0" applyFill="1" applyBorder="1"/>
    <xf numFmtId="0" fontId="36" fillId="13" borderId="0" xfId="21" applyFont="1" applyFill="1" applyAlignment="1">
      <alignment horizontal="center" vertical="center" wrapText="1"/>
    </xf>
    <xf numFmtId="0" fontId="10" fillId="5" borderId="9" xfId="0" applyFont="1" applyFill="1" applyBorder="1" applyAlignment="1">
      <alignment horizontal="center" vertical="center" wrapText="1"/>
    </xf>
    <xf numFmtId="0" fontId="10" fillId="5" borderId="26" xfId="0" applyFont="1" applyFill="1" applyBorder="1" applyAlignment="1">
      <alignment horizontal="center" vertical="center" wrapText="1"/>
    </xf>
    <xf numFmtId="0" fontId="10" fillId="5" borderId="13" xfId="0" applyFont="1" applyFill="1" applyBorder="1" applyAlignment="1">
      <alignment horizontal="center" vertical="center" wrapText="1"/>
    </xf>
    <xf numFmtId="0" fontId="10" fillId="5" borderId="1" xfId="0" applyFont="1" applyFill="1" applyBorder="1" applyAlignment="1">
      <alignment horizontal="center" vertical="center" wrapText="1"/>
    </xf>
  </cellXfs>
  <cellStyles count="22">
    <cellStyle name="Millares" xfId="1" builtinId="3"/>
    <cellStyle name="Millares 2" xfId="6" xr:uid="{00000000-0005-0000-0000-000001000000}"/>
    <cellStyle name="Millares 3" xfId="8" xr:uid="{ADC6F0D1-C080-4BC6-BB5F-EDB76CFEEC09}"/>
    <cellStyle name="Millares 4" xfId="12" xr:uid="{B3623B98-54FE-4241-A707-AB196FBDB01B}"/>
    <cellStyle name="Millares 5" xfId="16" xr:uid="{9E373343-C3B5-4F2C-960E-FF657290EDC5}"/>
    <cellStyle name="Moneda" xfId="2" builtinId="4"/>
    <cellStyle name="Moneda 2" xfId="5" xr:uid="{00000000-0005-0000-0000-000003000000}"/>
    <cellStyle name="Moneda 3" xfId="9" xr:uid="{B0E44B6C-3840-4DD8-B598-2D3781D676B0}"/>
    <cellStyle name="Moneda 4" xfId="13" xr:uid="{93688F04-49E4-4442-B00B-996BA901EF53}"/>
    <cellStyle name="Moneda 5" xfId="17" xr:uid="{61A3332B-ED54-48EA-84F8-9F7B5DA663F4}"/>
    <cellStyle name="Moneda 6" xfId="20" xr:uid="{E0A1D781-C57C-40D8-95F3-A3DED5F5D797}"/>
    <cellStyle name="Normal" xfId="0" builtinId="0"/>
    <cellStyle name="Normal 2" xfId="4" xr:uid="{00000000-0005-0000-0000-000005000000}"/>
    <cellStyle name="Normal 3" xfId="7" xr:uid="{F3177BFE-32F3-419D-80B6-F52ED50508D5}"/>
    <cellStyle name="Normal 4" xfId="11" xr:uid="{A77E50F3-BB82-4E87-AB2F-87077F52D606}"/>
    <cellStyle name="Normal 5" xfId="15" xr:uid="{9F27C899-C5BA-43B1-B0A5-CA301A59EE40}"/>
    <cellStyle name="Normal 6" xfId="19" xr:uid="{66D30E45-285D-47DB-BB2E-C314CD48D46F}"/>
    <cellStyle name="Normal 7" xfId="21" xr:uid="{7184B398-8E4E-4162-895C-D48B14309B94}"/>
    <cellStyle name="Porcentaje" xfId="3" builtinId="5"/>
    <cellStyle name="Porcentaje 2" xfId="10" xr:uid="{0154E108-EE25-4CED-809A-F495C7A015CE}"/>
    <cellStyle name="Porcentaje 3" xfId="14" xr:uid="{B32429A3-5C32-4F27-8A1A-BBE74D85C07E}"/>
    <cellStyle name="Porcentaje 4" xfId="18" xr:uid="{19670CC7-0B33-4606-AA32-2619653BA5DA}"/>
  </cellStyles>
  <dxfs count="308">
    <dxf>
      <numFmt numFmtId="0" formatCode="General"/>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173" formatCode="dd/mm/yyyy"/>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center" vertical="center" textRotation="0" wrapText="1" indent="0" justifyLastLine="0" shrinkToFit="0" readingOrder="0"/>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b val="0"/>
        <i val="0"/>
        <strike val="0"/>
        <condense val="0"/>
        <extend val="0"/>
        <outline val="0"/>
        <shadow val="0"/>
        <u val="none"/>
        <vertAlign val="baseline"/>
        <sz val="12"/>
        <color auto="1"/>
        <name val="Century Gothic"/>
        <family val="2"/>
        <scheme val="none"/>
      </font>
      <fill>
        <patternFill patternType="none">
          <bgColor auto="1"/>
        </patternFill>
      </fill>
      <alignment horizontal="center" vertical="center" textRotation="0" wrapText="0" indent="0" justifyLastLine="0" shrinkToFit="0" readingOrder="0"/>
    </dxf>
    <dxf>
      <font>
        <strike val="0"/>
        <outline val="0"/>
        <shadow val="0"/>
        <u val="none"/>
        <vertAlign val="baseline"/>
        <sz val="12"/>
        <color auto="1"/>
      </font>
      <fill>
        <patternFill patternType="none">
          <bgColor auto="1"/>
        </patternFill>
      </fill>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strike val="0"/>
        <outline val="0"/>
        <shadow val="0"/>
        <u val="none"/>
        <vertAlign val="baseline"/>
        <sz val="12"/>
        <color auto="1"/>
      </font>
      <fill>
        <patternFill patternType="none">
          <bgColor auto="1"/>
        </patternFill>
      </fill>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font>
      <fill>
        <patternFill patternType="none">
          <bgColor auto="1"/>
        </patternFill>
      </fill>
    </dxf>
    <dxf>
      <border outline="0">
        <top style="thin">
          <color indexed="64"/>
        </top>
      </border>
    </dxf>
    <dxf>
      <font>
        <strike val="0"/>
        <outline val="0"/>
        <shadow val="0"/>
        <u val="none"/>
        <vertAlign val="baseline"/>
        <sz val="12"/>
        <color auto="1"/>
        <family val="2"/>
      </font>
      <fill>
        <patternFill patternType="none">
          <bgColor auto="1"/>
        </patternFill>
      </fill>
    </dxf>
    <dxf>
      <border outline="0">
        <bottom style="thin">
          <color indexed="64"/>
        </bottom>
      </border>
    </dxf>
    <dxf>
      <font>
        <b/>
        <i val="0"/>
        <strike val="0"/>
        <condense val="0"/>
        <extend val="0"/>
        <outline val="0"/>
        <shadow val="0"/>
        <u val="none"/>
        <vertAlign val="baseline"/>
        <sz val="12"/>
        <color auto="1"/>
        <name val="Century Gothic"/>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2"/>
        <color auto="1"/>
        <name val="Century Gothic"/>
        <family val="2"/>
        <scheme val="none"/>
      </font>
      <numFmt numFmtId="30" formatCode="@"/>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numFmt numFmtId="173" formatCode="dd/mm/yyyy"/>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Century Gothic"/>
        <family val="2"/>
        <scheme val="none"/>
      </font>
      <fill>
        <patternFill patternType="none">
          <bgColor auto="1"/>
        </patternFill>
      </fill>
      <alignment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numFmt numFmtId="173"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border outline="0">
        <top style="thin">
          <color indexed="64"/>
        </top>
      </border>
    </dxf>
    <dxf>
      <font>
        <strike val="0"/>
        <outline val="0"/>
        <shadow val="0"/>
        <u val="none"/>
        <vertAlign val="baseline"/>
        <sz val="12"/>
        <color auto="1"/>
        <name val="Century Gothic"/>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Century Schoolbook"/>
        <family val="1"/>
        <scheme val="none"/>
      </font>
      <fill>
        <patternFill patternType="none">
          <fgColor indexed="64"/>
          <bgColor auto="1"/>
        </patternFill>
      </fill>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Schoolbook"/>
        <family val="1"/>
        <scheme val="none"/>
      </font>
      <fill>
        <patternFill patternType="none">
          <fgColor indexed="64"/>
          <bgColor auto="1"/>
        </patternFill>
      </fill>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Schoolbook"/>
        <family val="1"/>
        <scheme val="none"/>
      </font>
      <fill>
        <patternFill patternType="none">
          <fgColor indexed="64"/>
          <bgColor auto="1"/>
        </patternFill>
      </fill>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Schoolbook"/>
        <family val="1"/>
        <scheme val="none"/>
      </font>
      <numFmt numFmtId="173"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Schoolbook"/>
        <family val="1"/>
        <scheme val="none"/>
      </font>
      <fill>
        <patternFill patternType="none">
          <fgColor indexed="64"/>
          <bgColor auto="1"/>
        </patternFill>
      </fill>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Schoolbook"/>
        <family val="1"/>
        <scheme val="none"/>
      </font>
      <fill>
        <patternFill patternType="none">
          <fgColor indexed="64"/>
          <bgColor auto="1"/>
        </patternFill>
      </fill>
    </dxf>
    <dxf>
      <border outline="0">
        <top style="thin">
          <color indexed="64"/>
        </top>
      </border>
    </dxf>
    <dxf>
      <font>
        <b val="0"/>
        <i val="0"/>
        <strike val="0"/>
        <condense val="0"/>
        <extend val="0"/>
        <outline val="0"/>
        <shadow val="0"/>
        <u val="none"/>
        <vertAlign val="baseline"/>
        <sz val="12"/>
        <color auto="1"/>
        <name val="Century Schoolbook"/>
        <family val="1"/>
        <scheme val="none"/>
      </font>
      <fill>
        <patternFill patternType="none">
          <fgColor indexed="64"/>
          <bgColor auto="1"/>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Century Gothic"/>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numFmt numFmtId="172" formatCode="_([$$-409]* #,##0.00_);_([$$-409]* \(#,##0.00\);_([$$-409]* &quot;-&quot;??_);_(@_)"/>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numFmt numFmtId="173"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dxf>
    <dxf>
      <font>
        <b/>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numFmt numFmtId="173"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2"/>
        <color auto="1"/>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z val="10"/>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name val="Century Gothic"/>
      </font>
    </dxf>
    <dxf>
      <font>
        <sz val="10"/>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name val="Century Gothic"/>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sz val="10"/>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name val="Century Gothic"/>
      </font>
    </dxf>
    <dxf>
      <font>
        <sz val="10"/>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name val="Century Gothic"/>
      </font>
    </dxf>
    <dxf>
      <font>
        <sz val="10"/>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name val="Century Gothic"/>
      </font>
    </dxf>
    <dxf>
      <font>
        <sz val="10"/>
      </font>
    </dxf>
    <dxf>
      <font>
        <sz val="10"/>
      </font>
    </dxf>
    <dxf>
      <font>
        <sz val="10"/>
      </font>
    </dxf>
    <dxf>
      <font>
        <sz val="10"/>
      </font>
    </dxf>
    <dxf>
      <font>
        <sz val="10"/>
      </font>
    </dxf>
    <dxf>
      <font>
        <sz val="10"/>
      </font>
    </dxf>
    <dxf>
      <font>
        <name val="Century Gothic"/>
      </font>
    </dxf>
    <dxf>
      <font>
        <name val="Century Gothic"/>
      </font>
    </dxf>
    <dxf>
      <font>
        <name val="Century Gothic"/>
      </font>
    </dxf>
    <dxf>
      <font>
        <name val="Century Gothic"/>
      </font>
    </dxf>
    <dxf>
      <font>
        <name val="Century Gothic"/>
      </font>
    </dxf>
    <dxf>
      <font>
        <name val="Century Gothic"/>
      </font>
    </dxf>
    <dxf>
      <numFmt numFmtId="19" formatCode="d/mm/yyyy"/>
    </dxf>
    <dxf>
      <numFmt numFmtId="0" formatCode="Genera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DATOS  PROCESOS JUDICIALES -OJ.xlsx]Tablas!TablaDinámica4</c:name>
    <c:fmtId val="9"/>
  </c:pivotSource>
  <c:chart>
    <c:title>
      <c:tx>
        <c:rich>
          <a:bodyPr rot="0" spcFirstLastPara="1" vertOverflow="ellipsis" vert="horz" wrap="square" anchor="ctr" anchorCtr="1"/>
          <a:lstStyle/>
          <a:p>
            <a:pPr>
              <a:defRPr sz="1080" b="1"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b="1"/>
              <a:t>JURISDICCIÓN</a:t>
            </a:r>
          </a:p>
        </c:rich>
      </c:tx>
      <c:overlay val="0"/>
      <c:spPr>
        <a:noFill/>
        <a:ln>
          <a:noFill/>
        </a:ln>
        <a:effectLst/>
      </c:spPr>
      <c:txPr>
        <a:bodyPr rot="0" spcFirstLastPara="1" vertOverflow="ellipsis" vert="horz" wrap="square" anchor="ctr" anchorCtr="1"/>
        <a:lstStyle/>
        <a:p>
          <a:pPr>
            <a:defRPr sz="1080" b="1"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s-CO"/>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Tablas!$F$2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Tablas!$E$3:$E$9</c:f>
              <c:strCache>
                <c:ptCount val="6"/>
                <c:pt idx="0">
                  <c:v>CIVIL</c:v>
                </c:pt>
                <c:pt idx="1">
                  <c:v>CONSTITUCIONAL</c:v>
                </c:pt>
                <c:pt idx="2">
                  <c:v>CONTENCIOSO ADMINISTRATIVA</c:v>
                </c:pt>
                <c:pt idx="3">
                  <c:v>LABORAL</c:v>
                </c:pt>
                <c:pt idx="4">
                  <c:v>MASC</c:v>
                </c:pt>
                <c:pt idx="5">
                  <c:v>PENAL </c:v>
                </c:pt>
              </c:strCache>
            </c:strRef>
          </c:cat>
          <c:val>
            <c:numRef>
              <c:f>Tablas!$F$3:$F$9</c:f>
              <c:numCache>
                <c:formatCode>General</c:formatCode>
                <c:ptCount val="6"/>
                <c:pt idx="0">
                  <c:v>127</c:v>
                </c:pt>
                <c:pt idx="1">
                  <c:v>160</c:v>
                </c:pt>
                <c:pt idx="2">
                  <c:v>81</c:v>
                </c:pt>
                <c:pt idx="3">
                  <c:v>5</c:v>
                </c:pt>
                <c:pt idx="4">
                  <c:v>1</c:v>
                </c:pt>
                <c:pt idx="5">
                  <c:v>54</c:v>
                </c:pt>
              </c:numCache>
            </c:numRef>
          </c:val>
          <c:extLst>
            <c:ext xmlns:c16="http://schemas.microsoft.com/office/drawing/2014/chart" uri="{C3380CC4-5D6E-409C-BE32-E72D297353CC}">
              <c16:uniqueId val="{00000000-6E1C-4FC9-9BB2-5E00EBE8235C}"/>
            </c:ext>
          </c:extLst>
        </c:ser>
        <c:dLbls>
          <c:dLblPos val="outEnd"/>
          <c:showLegendKey val="0"/>
          <c:showVal val="1"/>
          <c:showCatName val="0"/>
          <c:showSerName val="0"/>
          <c:showPercent val="0"/>
          <c:showBubbleSize val="0"/>
        </c:dLbls>
        <c:gapWidth val="100"/>
        <c:overlap val="-24"/>
        <c:axId val="1310318752"/>
        <c:axId val="1310321152"/>
      </c:barChart>
      <c:catAx>
        <c:axId val="13103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s-CO"/>
          </a:p>
        </c:txPr>
        <c:crossAx val="1310321152"/>
        <c:crosses val="autoZero"/>
        <c:auto val="1"/>
        <c:lblAlgn val="ctr"/>
        <c:lblOffset val="100"/>
        <c:noMultiLvlLbl val="0"/>
      </c:catAx>
      <c:valAx>
        <c:axId val="131032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s-CO"/>
          </a:p>
        </c:txPr>
        <c:crossAx val="131031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Century Gothic" panose="020B0502020202020204" pitchFamily="34" charset="0"/>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DATOS  PROCESOS JUDICIALES -OJ.xlsx]Tablas!TablaDinámica2</c:name>
    <c:fmtId val="7"/>
  </c:pivotSource>
  <c:chart>
    <c:title>
      <c:tx>
        <c:rich>
          <a:bodyPr rot="0" spcFirstLastPara="1" vertOverflow="ellipsis" vert="horz" wrap="square" anchor="ctr" anchorCtr="1"/>
          <a:lstStyle/>
          <a:p>
            <a:pPr>
              <a:defRPr sz="1080" b="1" i="0" u="none" strike="noStrike" kern="1200" cap="none" spc="20" baseline="0">
                <a:solidFill>
                  <a:schemeClr val="tx1">
                    <a:lumMod val="50000"/>
                    <a:lumOff val="50000"/>
                  </a:schemeClr>
                </a:solidFill>
                <a:latin typeface="Century Gothic" panose="020B0502020202020204" pitchFamily="34" charset="0"/>
                <a:ea typeface="+mn-ea"/>
                <a:cs typeface="+mn-cs"/>
              </a:defRPr>
            </a:pPr>
            <a:r>
              <a:rPr lang="en-US" b="1"/>
              <a:t>TIPO DE PRESENTACIÓN</a:t>
            </a:r>
          </a:p>
        </c:rich>
      </c:tx>
      <c:overlay val="0"/>
      <c:spPr>
        <a:noFill/>
        <a:ln>
          <a:noFill/>
        </a:ln>
        <a:effectLst/>
      </c:spPr>
      <c:txPr>
        <a:bodyPr rot="0" spcFirstLastPara="1" vertOverflow="ellipsis" vert="horz" wrap="square" anchor="ctr" anchorCtr="1"/>
        <a:lstStyle/>
        <a:p>
          <a:pPr>
            <a:defRPr sz="1080" b="1" i="0" u="none" strike="noStrike" kern="1200" cap="none" spc="20" baseline="0">
              <a:solidFill>
                <a:schemeClr val="tx1">
                  <a:lumMod val="50000"/>
                  <a:lumOff val="50000"/>
                </a:schemeClr>
              </a:solidFill>
              <a:latin typeface="Century Gothic" panose="020B0502020202020204" pitchFamily="34" charset="0"/>
              <a:ea typeface="+mn-ea"/>
              <a:cs typeface="+mn-cs"/>
            </a:defRPr>
          </a:pPr>
          <a:endParaRPr lang="es-CO"/>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Tablas!$R$2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extLst>
              <c:ext xmlns:c16="http://schemas.microsoft.com/office/drawing/2014/chart" uri="{C3380CC4-5D6E-409C-BE32-E72D297353CC}">
                <c16:uniqueId val="{00000001-E792-41D6-A0CA-BBD157CE756F}"/>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extLst>
              <c:ext xmlns:c16="http://schemas.microsoft.com/office/drawing/2014/chart" uri="{C3380CC4-5D6E-409C-BE32-E72D297353CC}">
                <c16:uniqueId val="{00000003-E792-41D6-A0CA-BBD157CE756F}"/>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a:noFill/>
              </a:ln>
              <a:effectLst/>
              <a:sp3d/>
            </c:spPr>
            <c:extLst>
              <c:ext xmlns:c16="http://schemas.microsoft.com/office/drawing/2014/chart" uri="{C3380CC4-5D6E-409C-BE32-E72D297353CC}">
                <c16:uniqueId val="{00000005-E792-41D6-A0CA-BBD157CE756F}"/>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a:effectLst/>
              <a:sp3d/>
            </c:spPr>
            <c:extLst>
              <c:ext xmlns:c16="http://schemas.microsoft.com/office/drawing/2014/chart" uri="{C3380CC4-5D6E-409C-BE32-E72D297353CC}">
                <c16:uniqueId val="{00000007-E792-41D6-A0CA-BBD157CE756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Tablas!$Q$3:$Q$7</c:f>
              <c:strCache>
                <c:ptCount val="4"/>
                <c:pt idx="0">
                  <c:v>DIRECTA</c:v>
                </c:pt>
                <c:pt idx="1">
                  <c:v>DIRECTA </c:v>
                </c:pt>
                <c:pt idx="2">
                  <c:v>INDIRECTA</c:v>
                </c:pt>
                <c:pt idx="3">
                  <c:v>INDIRECTA </c:v>
                </c:pt>
              </c:strCache>
            </c:strRef>
          </c:cat>
          <c:val>
            <c:numRef>
              <c:f>Tablas!$R$3:$R$7</c:f>
              <c:numCache>
                <c:formatCode>General</c:formatCode>
                <c:ptCount val="4"/>
                <c:pt idx="0">
                  <c:v>1</c:v>
                </c:pt>
                <c:pt idx="1">
                  <c:v>311</c:v>
                </c:pt>
                <c:pt idx="2">
                  <c:v>108</c:v>
                </c:pt>
                <c:pt idx="3">
                  <c:v>8</c:v>
                </c:pt>
              </c:numCache>
            </c:numRef>
          </c:val>
          <c:extLst>
            <c:ext xmlns:c16="http://schemas.microsoft.com/office/drawing/2014/chart" uri="{C3380CC4-5D6E-409C-BE32-E72D297353CC}">
              <c16:uniqueId val="{00000008-E792-41D6-A0CA-BBD157CE756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Century Gothic" panose="020B0502020202020204" pitchFamily="34" charset="0"/>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Century Gothic" panose="020B0502020202020204" pitchFamily="34" charset="0"/>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DATOS  PROCESOS JUDICIALES -OJ.xlsx]Tablas!TablaDinámica6</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FECHA DE PRESENTACION DE DEMANDA</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Tablas!$L$2</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Tablas!$K$3:$K$31</c:f>
              <c:strCache>
                <c:ptCount val="28"/>
                <c:pt idx="0">
                  <c:v>1990</c:v>
                </c:pt>
                <c:pt idx="1">
                  <c:v>1992</c:v>
                </c:pt>
                <c:pt idx="2">
                  <c:v>1998</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2024</c:v>
                </c:pt>
                <c:pt idx="27">
                  <c:v>2025</c:v>
                </c:pt>
              </c:strCache>
            </c:strRef>
          </c:cat>
          <c:val>
            <c:numRef>
              <c:f>Tablas!$L$3:$L$31</c:f>
              <c:numCache>
                <c:formatCode>General</c:formatCode>
                <c:ptCount val="28"/>
                <c:pt idx="0">
                  <c:v>2</c:v>
                </c:pt>
                <c:pt idx="1">
                  <c:v>1</c:v>
                </c:pt>
                <c:pt idx="2">
                  <c:v>1</c:v>
                </c:pt>
                <c:pt idx="3">
                  <c:v>4</c:v>
                </c:pt>
                <c:pt idx="4">
                  <c:v>1</c:v>
                </c:pt>
                <c:pt idx="5">
                  <c:v>4</c:v>
                </c:pt>
                <c:pt idx="6">
                  <c:v>1</c:v>
                </c:pt>
                <c:pt idx="7">
                  <c:v>8</c:v>
                </c:pt>
                <c:pt idx="8">
                  <c:v>9</c:v>
                </c:pt>
                <c:pt idx="9">
                  <c:v>9</c:v>
                </c:pt>
                <c:pt idx="10">
                  <c:v>5</c:v>
                </c:pt>
                <c:pt idx="11">
                  <c:v>13</c:v>
                </c:pt>
                <c:pt idx="12">
                  <c:v>12</c:v>
                </c:pt>
                <c:pt idx="13">
                  <c:v>10</c:v>
                </c:pt>
                <c:pt idx="14">
                  <c:v>4</c:v>
                </c:pt>
                <c:pt idx="15">
                  <c:v>15</c:v>
                </c:pt>
                <c:pt idx="16">
                  <c:v>16</c:v>
                </c:pt>
                <c:pt idx="17">
                  <c:v>26</c:v>
                </c:pt>
                <c:pt idx="18">
                  <c:v>24</c:v>
                </c:pt>
                <c:pt idx="19">
                  <c:v>25</c:v>
                </c:pt>
                <c:pt idx="20">
                  <c:v>25</c:v>
                </c:pt>
                <c:pt idx="21">
                  <c:v>43</c:v>
                </c:pt>
                <c:pt idx="22">
                  <c:v>23</c:v>
                </c:pt>
                <c:pt idx="23">
                  <c:v>39</c:v>
                </c:pt>
                <c:pt idx="24">
                  <c:v>40</c:v>
                </c:pt>
                <c:pt idx="25">
                  <c:v>38</c:v>
                </c:pt>
                <c:pt idx="26">
                  <c:v>29</c:v>
                </c:pt>
                <c:pt idx="27">
                  <c:v>1</c:v>
                </c:pt>
              </c:numCache>
            </c:numRef>
          </c:val>
          <c:extLst>
            <c:ext xmlns:c16="http://schemas.microsoft.com/office/drawing/2014/chart" uri="{C3380CC4-5D6E-409C-BE32-E72D297353CC}">
              <c16:uniqueId val="{00000000-ABD5-4567-A46F-7EDCABED2FC3}"/>
            </c:ext>
          </c:extLst>
        </c:ser>
        <c:dLbls>
          <c:dLblPos val="outEnd"/>
          <c:showLegendKey val="0"/>
          <c:showVal val="1"/>
          <c:showCatName val="0"/>
          <c:showSerName val="0"/>
          <c:showPercent val="0"/>
          <c:showBubbleSize val="0"/>
        </c:dLbls>
        <c:gapWidth val="100"/>
        <c:overlap val="-24"/>
        <c:axId val="1731063647"/>
        <c:axId val="1731064607"/>
      </c:barChart>
      <c:catAx>
        <c:axId val="17310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731064607"/>
        <c:crosses val="autoZero"/>
        <c:auto val="1"/>
        <c:lblAlgn val="ctr"/>
        <c:lblOffset val="100"/>
        <c:noMultiLvlLbl val="0"/>
      </c:catAx>
      <c:valAx>
        <c:axId val="173106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7310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DATOS  PROCESOS JUDICIALES -OJ.xlsx]Tablas!TablaDinámica8</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EN CURSO CON FALLO</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Tablas!$X$2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BD4-422E-ABC3-DE2A739F6518}"/>
              </c:ext>
            </c:extLst>
          </c:dPt>
          <c:dPt>
            <c:idx val="1"/>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3BD4-422E-ABC3-DE2A739F6518}"/>
              </c:ext>
            </c:extLst>
          </c:dPt>
          <c:dPt>
            <c:idx val="2"/>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5-3BD4-422E-ABC3-DE2A739F6518}"/>
              </c:ext>
            </c:extLst>
          </c:dPt>
          <c:dPt>
            <c:idx val="3"/>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7-3BD4-422E-ABC3-DE2A739F6518}"/>
              </c:ext>
            </c:extLst>
          </c:dPt>
          <c:dPt>
            <c:idx val="4"/>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9-3BD4-422E-ABC3-DE2A739F6518}"/>
              </c:ext>
            </c:extLst>
          </c:dPt>
          <c:dPt>
            <c:idx val="5"/>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B-3BD4-422E-ABC3-DE2A739F6518}"/>
              </c:ext>
            </c:extLst>
          </c:dPt>
          <c:dPt>
            <c:idx val="6"/>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0D-3BD4-422E-ABC3-DE2A739F6518}"/>
              </c:ext>
            </c:extLst>
          </c:dPt>
          <c:dPt>
            <c:idx val="7"/>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extLst>
              <c:ext xmlns:c16="http://schemas.microsoft.com/office/drawing/2014/chart" uri="{C3380CC4-5D6E-409C-BE32-E72D297353CC}">
                <c16:uniqueId val="{0000000F-3BD4-422E-ABC3-DE2A739F6518}"/>
              </c:ext>
            </c:extLst>
          </c:dPt>
          <c:dPt>
            <c:idx val="8"/>
            <c:bubble3D val="0"/>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extLst>
              <c:ext xmlns:c16="http://schemas.microsoft.com/office/drawing/2014/chart" uri="{C3380CC4-5D6E-409C-BE32-E72D297353CC}">
                <c16:uniqueId val="{00000011-3BD4-422E-ABC3-DE2A739F6518}"/>
              </c:ext>
            </c:extLst>
          </c:dPt>
          <c:dPt>
            <c:idx val="9"/>
            <c:bubble3D val="0"/>
            <c:spPr>
              <a:gradFill rotWithShape="1">
                <a:gsLst>
                  <a:gs pos="0">
                    <a:schemeClr val="accent1">
                      <a:lumMod val="80000"/>
                      <a:lumMod val="110000"/>
                      <a:satMod val="105000"/>
                      <a:tint val="67000"/>
                    </a:schemeClr>
                  </a:gs>
                  <a:gs pos="50000">
                    <a:schemeClr val="accent1">
                      <a:lumMod val="80000"/>
                      <a:lumMod val="105000"/>
                      <a:satMod val="103000"/>
                      <a:tint val="73000"/>
                    </a:schemeClr>
                  </a:gs>
                  <a:gs pos="100000">
                    <a:schemeClr val="accent1">
                      <a:lumMod val="80000"/>
                      <a:lumMod val="105000"/>
                      <a:satMod val="109000"/>
                      <a:tint val="81000"/>
                    </a:schemeClr>
                  </a:gs>
                </a:gsLst>
                <a:lin ang="5400000" scaled="0"/>
              </a:gradFill>
              <a:ln w="9525" cap="flat" cmpd="sng" algn="ctr">
                <a:solidFill>
                  <a:schemeClr val="accent1">
                    <a:lumMod val="80000"/>
                    <a:shade val="95000"/>
                  </a:schemeClr>
                </a:solidFill>
                <a:round/>
              </a:ln>
              <a:effectLst/>
            </c:spPr>
            <c:extLst>
              <c:ext xmlns:c16="http://schemas.microsoft.com/office/drawing/2014/chart" uri="{C3380CC4-5D6E-409C-BE32-E72D297353CC}">
                <c16:uniqueId val="{00000013-3BD4-422E-ABC3-DE2A739F6518}"/>
              </c:ext>
            </c:extLst>
          </c:dPt>
          <c:dPt>
            <c:idx val="10"/>
            <c:bubble3D val="0"/>
            <c:spPr>
              <a:gradFill rotWithShape="1">
                <a:gsLst>
                  <a:gs pos="0">
                    <a:schemeClr val="accent3">
                      <a:lumMod val="80000"/>
                      <a:lumMod val="110000"/>
                      <a:satMod val="105000"/>
                      <a:tint val="67000"/>
                    </a:schemeClr>
                  </a:gs>
                  <a:gs pos="50000">
                    <a:schemeClr val="accent3">
                      <a:lumMod val="80000"/>
                      <a:lumMod val="105000"/>
                      <a:satMod val="103000"/>
                      <a:tint val="73000"/>
                    </a:schemeClr>
                  </a:gs>
                  <a:gs pos="100000">
                    <a:schemeClr val="accent3">
                      <a:lumMod val="80000"/>
                      <a:lumMod val="105000"/>
                      <a:satMod val="109000"/>
                      <a:tint val="81000"/>
                    </a:schemeClr>
                  </a:gs>
                </a:gsLst>
                <a:lin ang="5400000" scaled="0"/>
              </a:gradFill>
              <a:ln w="9525" cap="flat" cmpd="sng" algn="ctr">
                <a:solidFill>
                  <a:schemeClr val="accent3">
                    <a:lumMod val="80000"/>
                    <a:shade val="95000"/>
                  </a:schemeClr>
                </a:solidFill>
                <a:round/>
              </a:ln>
              <a:effectLst/>
            </c:spPr>
            <c:extLst>
              <c:ext xmlns:c16="http://schemas.microsoft.com/office/drawing/2014/chart" uri="{C3380CC4-5D6E-409C-BE32-E72D297353CC}">
                <c16:uniqueId val="{00000015-3BD4-422E-ABC3-DE2A739F6518}"/>
              </c:ext>
            </c:extLst>
          </c:dPt>
          <c:dPt>
            <c:idx val="11"/>
            <c:bubble3D val="0"/>
            <c:spPr>
              <a:gradFill rotWithShape="1">
                <a:gsLst>
                  <a:gs pos="0">
                    <a:schemeClr val="accent5">
                      <a:lumMod val="80000"/>
                      <a:lumMod val="110000"/>
                      <a:satMod val="105000"/>
                      <a:tint val="67000"/>
                    </a:schemeClr>
                  </a:gs>
                  <a:gs pos="50000">
                    <a:schemeClr val="accent5">
                      <a:lumMod val="80000"/>
                      <a:lumMod val="105000"/>
                      <a:satMod val="103000"/>
                      <a:tint val="73000"/>
                    </a:schemeClr>
                  </a:gs>
                  <a:gs pos="100000">
                    <a:schemeClr val="accent5">
                      <a:lumMod val="80000"/>
                      <a:lumMod val="105000"/>
                      <a:satMod val="109000"/>
                      <a:tint val="81000"/>
                    </a:schemeClr>
                  </a:gs>
                </a:gsLst>
                <a:lin ang="5400000" scaled="0"/>
              </a:gradFill>
              <a:ln w="9525" cap="flat" cmpd="sng" algn="ctr">
                <a:solidFill>
                  <a:schemeClr val="accent5">
                    <a:lumMod val="80000"/>
                    <a:shade val="95000"/>
                  </a:schemeClr>
                </a:solidFill>
                <a:round/>
              </a:ln>
              <a:effectLst/>
            </c:spPr>
            <c:extLst>
              <c:ext xmlns:c16="http://schemas.microsoft.com/office/drawing/2014/chart" uri="{C3380CC4-5D6E-409C-BE32-E72D297353CC}">
                <c16:uniqueId val="{00000017-3BD4-422E-ABC3-DE2A739F6518}"/>
              </c:ext>
            </c:extLst>
          </c:dPt>
          <c:dPt>
            <c:idx val="12"/>
            <c:bubble3D val="0"/>
            <c:spPr>
              <a:gradFill rotWithShape="1">
                <a:gsLst>
                  <a:gs pos="0">
                    <a:schemeClr val="accent1">
                      <a:lumMod val="60000"/>
                      <a:lumOff val="40000"/>
                      <a:lumMod val="110000"/>
                      <a:satMod val="105000"/>
                      <a:tint val="67000"/>
                    </a:schemeClr>
                  </a:gs>
                  <a:gs pos="50000">
                    <a:schemeClr val="accent1">
                      <a:lumMod val="60000"/>
                      <a:lumOff val="40000"/>
                      <a:lumMod val="105000"/>
                      <a:satMod val="103000"/>
                      <a:tint val="73000"/>
                    </a:schemeClr>
                  </a:gs>
                  <a:gs pos="100000">
                    <a:schemeClr val="accent1">
                      <a:lumMod val="60000"/>
                      <a:lumOff val="40000"/>
                      <a:lumMod val="105000"/>
                      <a:satMod val="109000"/>
                      <a:tint val="81000"/>
                    </a:schemeClr>
                  </a:gs>
                </a:gsLst>
                <a:lin ang="5400000" scaled="0"/>
              </a:gradFill>
              <a:ln w="9525" cap="flat" cmpd="sng" algn="ctr">
                <a:solidFill>
                  <a:schemeClr val="accent1">
                    <a:lumMod val="60000"/>
                    <a:lumOff val="40000"/>
                    <a:shade val="95000"/>
                  </a:schemeClr>
                </a:solidFill>
                <a:round/>
              </a:ln>
              <a:effectLst/>
            </c:spPr>
            <c:extLst>
              <c:ext xmlns:c16="http://schemas.microsoft.com/office/drawing/2014/chart" uri="{C3380CC4-5D6E-409C-BE32-E72D297353CC}">
                <c16:uniqueId val="{00000019-3BD4-422E-ABC3-DE2A739F6518}"/>
              </c:ext>
            </c:extLst>
          </c:dPt>
          <c:dPt>
            <c:idx val="13"/>
            <c:bubble3D val="0"/>
            <c:spPr>
              <a:gradFill rotWithShape="1">
                <a:gsLst>
                  <a:gs pos="0">
                    <a:schemeClr val="accent3">
                      <a:lumMod val="60000"/>
                      <a:lumOff val="40000"/>
                      <a:lumMod val="110000"/>
                      <a:satMod val="105000"/>
                      <a:tint val="67000"/>
                    </a:schemeClr>
                  </a:gs>
                  <a:gs pos="50000">
                    <a:schemeClr val="accent3">
                      <a:lumMod val="60000"/>
                      <a:lumOff val="40000"/>
                      <a:lumMod val="105000"/>
                      <a:satMod val="103000"/>
                      <a:tint val="73000"/>
                    </a:schemeClr>
                  </a:gs>
                  <a:gs pos="100000">
                    <a:schemeClr val="accent3">
                      <a:lumMod val="60000"/>
                      <a:lumOff val="40000"/>
                      <a:lumMod val="105000"/>
                      <a:satMod val="109000"/>
                      <a:tint val="81000"/>
                    </a:schemeClr>
                  </a:gs>
                </a:gsLst>
                <a:lin ang="5400000" scaled="0"/>
              </a:gradFill>
              <a:ln w="9525" cap="flat" cmpd="sng" algn="ctr">
                <a:solidFill>
                  <a:schemeClr val="accent3">
                    <a:lumMod val="60000"/>
                    <a:lumOff val="40000"/>
                    <a:shade val="95000"/>
                  </a:schemeClr>
                </a:solidFill>
                <a:round/>
              </a:ln>
              <a:effectLst/>
            </c:spPr>
            <c:extLst>
              <c:ext xmlns:c16="http://schemas.microsoft.com/office/drawing/2014/chart" uri="{C3380CC4-5D6E-409C-BE32-E72D297353CC}">
                <c16:uniqueId val="{0000001B-3BD4-422E-ABC3-DE2A739F6518}"/>
              </c:ext>
            </c:extLst>
          </c:dPt>
          <c:dPt>
            <c:idx val="14"/>
            <c:bubble3D val="0"/>
            <c:spPr>
              <a:gradFill rotWithShape="1">
                <a:gsLst>
                  <a:gs pos="0">
                    <a:schemeClr val="accent5">
                      <a:lumMod val="60000"/>
                      <a:lumOff val="40000"/>
                      <a:lumMod val="110000"/>
                      <a:satMod val="105000"/>
                      <a:tint val="67000"/>
                    </a:schemeClr>
                  </a:gs>
                  <a:gs pos="50000">
                    <a:schemeClr val="accent5">
                      <a:lumMod val="60000"/>
                      <a:lumOff val="40000"/>
                      <a:lumMod val="105000"/>
                      <a:satMod val="103000"/>
                      <a:tint val="73000"/>
                    </a:schemeClr>
                  </a:gs>
                  <a:gs pos="100000">
                    <a:schemeClr val="accent5">
                      <a:lumMod val="60000"/>
                      <a:lumOff val="40000"/>
                      <a:lumMod val="105000"/>
                      <a:satMod val="109000"/>
                      <a:tint val="81000"/>
                    </a:schemeClr>
                  </a:gs>
                </a:gsLst>
                <a:lin ang="5400000" scaled="0"/>
              </a:gradFill>
              <a:ln w="9525" cap="flat" cmpd="sng" algn="ctr">
                <a:solidFill>
                  <a:schemeClr val="accent5">
                    <a:lumMod val="60000"/>
                    <a:lumOff val="40000"/>
                    <a:shade val="95000"/>
                  </a:schemeClr>
                </a:solidFill>
                <a:round/>
              </a:ln>
              <a:effectLst/>
            </c:spPr>
            <c:extLst>
              <c:ext xmlns:c16="http://schemas.microsoft.com/office/drawing/2014/chart" uri="{C3380CC4-5D6E-409C-BE32-E72D297353CC}">
                <c16:uniqueId val="{0000001D-3BD4-422E-ABC3-DE2A739F65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Tablas!$W$3:$W$18</c:f>
              <c:strCache>
                <c:ptCount val="15"/>
                <c:pt idx="0">
                  <c:v>2</c:v>
                </c:pt>
                <c:pt idx="1">
                  <c:v>  EN CURSO  </c:v>
                </c:pt>
                <c:pt idx="2">
                  <c:v> CON FALLO </c:v>
                </c:pt>
                <c:pt idx="3">
                  <c:v> EN CURSO </c:v>
                </c:pt>
                <c:pt idx="4">
                  <c:v> EN CURSO  </c:v>
                </c:pt>
                <c:pt idx="5">
                  <c:v> N/A </c:v>
                </c:pt>
                <c:pt idx="6">
                  <c:v>CON FALLO</c:v>
                </c:pt>
                <c:pt idx="7">
                  <c:v>CON FALLO </c:v>
                </c:pt>
                <c:pt idx="8">
                  <c:v>CON FALLO  </c:v>
                </c:pt>
                <c:pt idx="9">
                  <c:v>CURSO</c:v>
                </c:pt>
                <c:pt idx="10">
                  <c:v>EN CURSO</c:v>
                </c:pt>
                <c:pt idx="11">
                  <c:v>EN CURSO </c:v>
                </c:pt>
                <c:pt idx="12">
                  <c:v>EN CURSO  </c:v>
                </c:pt>
                <c:pt idx="13">
                  <c:v>EN FALLO</c:v>
                </c:pt>
                <c:pt idx="14">
                  <c:v>(en blanco)</c:v>
                </c:pt>
              </c:strCache>
            </c:strRef>
          </c:cat>
          <c:val>
            <c:numRef>
              <c:f>Tablas!$X$3:$X$18</c:f>
              <c:numCache>
                <c:formatCode>General</c:formatCode>
                <c:ptCount val="15"/>
                <c:pt idx="0">
                  <c:v>1</c:v>
                </c:pt>
                <c:pt idx="1">
                  <c:v>1</c:v>
                </c:pt>
                <c:pt idx="2">
                  <c:v>5</c:v>
                </c:pt>
                <c:pt idx="3">
                  <c:v>18</c:v>
                </c:pt>
                <c:pt idx="4">
                  <c:v>1</c:v>
                </c:pt>
                <c:pt idx="5">
                  <c:v>1</c:v>
                </c:pt>
                <c:pt idx="6">
                  <c:v>88</c:v>
                </c:pt>
                <c:pt idx="7">
                  <c:v>2</c:v>
                </c:pt>
                <c:pt idx="8">
                  <c:v>1</c:v>
                </c:pt>
                <c:pt idx="9">
                  <c:v>1</c:v>
                </c:pt>
                <c:pt idx="10">
                  <c:v>271</c:v>
                </c:pt>
                <c:pt idx="11">
                  <c:v>33</c:v>
                </c:pt>
                <c:pt idx="12">
                  <c:v>2</c:v>
                </c:pt>
                <c:pt idx="13">
                  <c:v>1</c:v>
                </c:pt>
              </c:numCache>
            </c:numRef>
          </c:val>
          <c:extLst>
            <c:ext xmlns:c16="http://schemas.microsoft.com/office/drawing/2014/chart" uri="{C3380CC4-5D6E-409C-BE32-E72D297353CC}">
              <c16:uniqueId val="{0000001E-3BD4-422E-ABC3-DE2A739F651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[BASE DE DATOS  PROCESOS JUDICIALES -OJ.xlsx]Tablas!TablaDinámica5</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TIPO</a:t>
            </a:r>
            <a:r>
              <a:rPr lang="es-CO" baseline="0"/>
              <a:t> DE PROCESO</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Tablas!$I$2</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Tablas!$H$3:$H$34</c:f>
              <c:strCache>
                <c:ptCount val="31"/>
                <c:pt idx="0">
                  <c:v> LABORAL </c:v>
                </c:pt>
                <c:pt idx="1">
                  <c:v>ACCION DE CUMPLIMIENTO</c:v>
                </c:pt>
                <c:pt idx="2">
                  <c:v>ACCION DE GRUPO</c:v>
                </c:pt>
                <c:pt idx="3">
                  <c:v>ACCION POPULAR</c:v>
                </c:pt>
                <c:pt idx="4">
                  <c:v>ACCION POPULAR </c:v>
                </c:pt>
                <c:pt idx="5">
                  <c:v>CONTROVERSIA CONTRACTUAL</c:v>
                </c:pt>
                <c:pt idx="6">
                  <c:v>DECLARATIVO</c:v>
                </c:pt>
                <c:pt idx="7">
                  <c:v>DESLINDE Y AMOJONAMIENTO</c:v>
                </c:pt>
                <c:pt idx="8">
                  <c:v>DESLINDE Y AMOJONAMIENTO </c:v>
                </c:pt>
                <c:pt idx="9">
                  <c:v>DIVISORIO</c:v>
                </c:pt>
                <c:pt idx="10">
                  <c:v>EJECUTIVO</c:v>
                </c:pt>
                <c:pt idx="11">
                  <c:v>EJECUTIVO </c:v>
                </c:pt>
                <c:pt idx="12">
                  <c:v>EJECUTIVO  </c:v>
                </c:pt>
                <c:pt idx="13">
                  <c:v>EXPROPIACIÓN</c:v>
                </c:pt>
                <c:pt idx="14">
                  <c:v>MEDIACIÓN</c:v>
                </c:pt>
                <c:pt idx="15">
                  <c:v>NULIDAD DE ESCRITURA PÚBLICA</c:v>
                </c:pt>
                <c:pt idx="16">
                  <c:v>NULIDAD SIMPLE</c:v>
                </c:pt>
                <c:pt idx="17">
                  <c:v>NULIDAD SIMPLE </c:v>
                </c:pt>
                <c:pt idx="18">
                  <c:v>NULIDAD Y RESTABLECIMIENTO DEL DERECHO</c:v>
                </c:pt>
                <c:pt idx="19">
                  <c:v>ORDINARIO DECLARATIVO</c:v>
                </c:pt>
                <c:pt idx="20">
                  <c:v>ORDINARIO LABORAL</c:v>
                </c:pt>
                <c:pt idx="21">
                  <c:v>PENAL</c:v>
                </c:pt>
                <c:pt idx="22">
                  <c:v>PENAL </c:v>
                </c:pt>
                <c:pt idx="23">
                  <c:v>PERTENENCIA</c:v>
                </c:pt>
                <c:pt idx="24">
                  <c:v>PERTENENCIA </c:v>
                </c:pt>
                <c:pt idx="25">
                  <c:v>RECURSO EXTRAORDINARIO DE REVISION</c:v>
                </c:pt>
                <c:pt idx="26">
                  <c:v>REIVINDICATORIO</c:v>
                </c:pt>
                <c:pt idx="27">
                  <c:v>REPARACIÓN DIRECTA</c:v>
                </c:pt>
                <c:pt idx="28">
                  <c:v>RESTITUCION DE INMUEBLE ARRENDADO</c:v>
                </c:pt>
                <c:pt idx="29">
                  <c:v>RESTITUCIÓN DE TENENCIA</c:v>
                </c:pt>
                <c:pt idx="30">
                  <c:v>SUCESORIO (LIQUIDATORIO)</c:v>
                </c:pt>
              </c:strCache>
            </c:strRef>
          </c:cat>
          <c:val>
            <c:numRef>
              <c:f>Tablas!$I$3:$I$34</c:f>
              <c:numCache>
                <c:formatCode>General</c:formatCode>
                <c:ptCount val="31"/>
                <c:pt idx="0">
                  <c:v>1</c:v>
                </c:pt>
                <c:pt idx="1">
                  <c:v>2</c:v>
                </c:pt>
                <c:pt idx="2">
                  <c:v>2</c:v>
                </c:pt>
                <c:pt idx="3">
                  <c:v>147</c:v>
                </c:pt>
                <c:pt idx="4">
                  <c:v>9</c:v>
                </c:pt>
                <c:pt idx="5">
                  <c:v>22</c:v>
                </c:pt>
                <c:pt idx="6">
                  <c:v>1</c:v>
                </c:pt>
                <c:pt idx="7">
                  <c:v>6</c:v>
                </c:pt>
                <c:pt idx="8">
                  <c:v>1</c:v>
                </c:pt>
                <c:pt idx="9">
                  <c:v>18</c:v>
                </c:pt>
                <c:pt idx="10">
                  <c:v>17</c:v>
                </c:pt>
                <c:pt idx="11">
                  <c:v>1</c:v>
                </c:pt>
                <c:pt idx="12">
                  <c:v>1</c:v>
                </c:pt>
                <c:pt idx="13">
                  <c:v>1</c:v>
                </c:pt>
                <c:pt idx="14">
                  <c:v>1</c:v>
                </c:pt>
                <c:pt idx="15">
                  <c:v>20</c:v>
                </c:pt>
                <c:pt idx="16">
                  <c:v>9</c:v>
                </c:pt>
                <c:pt idx="17">
                  <c:v>2</c:v>
                </c:pt>
                <c:pt idx="18">
                  <c:v>14</c:v>
                </c:pt>
                <c:pt idx="19">
                  <c:v>2</c:v>
                </c:pt>
                <c:pt idx="20">
                  <c:v>4</c:v>
                </c:pt>
                <c:pt idx="21">
                  <c:v>45</c:v>
                </c:pt>
                <c:pt idx="22">
                  <c:v>9</c:v>
                </c:pt>
                <c:pt idx="23">
                  <c:v>49</c:v>
                </c:pt>
                <c:pt idx="24">
                  <c:v>5</c:v>
                </c:pt>
                <c:pt idx="25">
                  <c:v>1</c:v>
                </c:pt>
                <c:pt idx="26">
                  <c:v>16</c:v>
                </c:pt>
                <c:pt idx="27">
                  <c:v>17</c:v>
                </c:pt>
                <c:pt idx="28">
                  <c:v>2</c:v>
                </c:pt>
                <c:pt idx="29">
                  <c:v>2</c:v>
                </c:pt>
                <c:pt idx="30">
                  <c:v>1</c:v>
                </c:pt>
              </c:numCache>
            </c:numRef>
          </c:val>
          <c:extLst>
            <c:ext xmlns:c16="http://schemas.microsoft.com/office/drawing/2014/chart" uri="{C3380CC4-5D6E-409C-BE32-E72D297353CC}">
              <c16:uniqueId val="{00000000-2116-426B-8D0B-849F9DE068ED}"/>
            </c:ext>
          </c:extLst>
        </c:ser>
        <c:dLbls>
          <c:dLblPos val="outEnd"/>
          <c:showLegendKey val="0"/>
          <c:showVal val="1"/>
          <c:showCatName val="0"/>
          <c:showSerName val="0"/>
          <c:showPercent val="0"/>
          <c:showBubbleSize val="0"/>
        </c:dLbls>
        <c:gapWidth val="100"/>
        <c:overlap val="-24"/>
        <c:axId val="569577232"/>
        <c:axId val="569583472"/>
      </c:barChart>
      <c:catAx>
        <c:axId val="5695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69583472"/>
        <c:crosses val="autoZero"/>
        <c:auto val="1"/>
        <c:lblAlgn val="ctr"/>
        <c:lblOffset val="100"/>
        <c:noMultiLvlLbl val="0"/>
      </c:catAx>
      <c:valAx>
        <c:axId val="56958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6957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pivotSource>
    <c:name>[BASE DE DATOS  PROCESOS JUDICIALES -OJ.xlsx]Tablas!TablaDinámica3</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Tablas!$U$2</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Tablas!$T$3:$T$45</c:f>
              <c:strCache>
                <c:ptCount val="42"/>
                <c:pt idx="0">
                  <c:v>  N/A  </c:v>
                </c:pt>
                <c:pt idx="1">
                  <c:v> CHAPINERO </c:v>
                </c:pt>
                <c:pt idx="2">
                  <c:v> KENNEDY </c:v>
                </c:pt>
                <c:pt idx="3">
                  <c:v> NA </c:v>
                </c:pt>
                <c:pt idx="4">
                  <c:v> PUENTE ARANDA </c:v>
                </c:pt>
                <c:pt idx="5">
                  <c:v> SOACHA</c:v>
                </c:pt>
                <c:pt idx="6">
                  <c:v> SUBA </c:v>
                </c:pt>
                <c:pt idx="7">
                  <c:v> SUESCA </c:v>
                </c:pt>
                <c:pt idx="8">
                  <c:v> TEUSAQUILLO </c:v>
                </c:pt>
                <c:pt idx="9">
                  <c:v> USAQUEN </c:v>
                </c:pt>
                <c:pt idx="10">
                  <c:v>ANTONIO NARIÑO</c:v>
                </c:pt>
                <c:pt idx="11">
                  <c:v>BARRIOS UNIDOS</c:v>
                </c:pt>
                <c:pt idx="12">
                  <c:v>BARRIOS UNIDOS </c:v>
                </c:pt>
                <c:pt idx="13">
                  <c:v>BOSA</c:v>
                </c:pt>
                <c:pt idx="14">
                  <c:v>CAJICA</c:v>
                </c:pt>
                <c:pt idx="15">
                  <c:v>CANDELARIA</c:v>
                </c:pt>
                <c:pt idx="16">
                  <c:v>CHAPINERO</c:v>
                </c:pt>
                <c:pt idx="17">
                  <c:v>CHAPINERO </c:v>
                </c:pt>
                <c:pt idx="18">
                  <c:v>CIUDAD BOLIVAR</c:v>
                </c:pt>
                <c:pt idx="19">
                  <c:v>ENGATIVA</c:v>
                </c:pt>
                <c:pt idx="20">
                  <c:v>FONTIBON</c:v>
                </c:pt>
                <c:pt idx="21">
                  <c:v>FUSAGASUGA</c:v>
                </c:pt>
                <c:pt idx="22">
                  <c:v>KENNEDY</c:v>
                </c:pt>
                <c:pt idx="23">
                  <c:v>KENNEDY </c:v>
                </c:pt>
                <c:pt idx="24">
                  <c:v>MARTIRES</c:v>
                </c:pt>
                <c:pt idx="25">
                  <c:v>MELGAR</c:v>
                </c:pt>
                <c:pt idx="26">
                  <c:v>N/A</c:v>
                </c:pt>
                <c:pt idx="27">
                  <c:v>NA</c:v>
                </c:pt>
                <c:pt idx="28">
                  <c:v>PENDIENTE POR ESTABLECER</c:v>
                </c:pt>
                <c:pt idx="29">
                  <c:v>PUENTE ARANDA</c:v>
                </c:pt>
                <c:pt idx="30">
                  <c:v>PUENTE ARANDA </c:v>
                </c:pt>
                <c:pt idx="31">
                  <c:v>RAFAEL URIBE</c:v>
                </c:pt>
                <c:pt idx="32">
                  <c:v>SAN CRISTOBAL</c:v>
                </c:pt>
                <c:pt idx="33">
                  <c:v>SANTA FE</c:v>
                </c:pt>
                <c:pt idx="34">
                  <c:v>SANTAFE</c:v>
                </c:pt>
                <c:pt idx="35">
                  <c:v>SUBA</c:v>
                </c:pt>
                <c:pt idx="36">
                  <c:v>TENJO</c:v>
                </c:pt>
                <c:pt idx="37">
                  <c:v>TEUSAQUILLO</c:v>
                </c:pt>
                <c:pt idx="38">
                  <c:v>TUNJUELITO</c:v>
                </c:pt>
                <c:pt idx="39">
                  <c:v>USAQUEN</c:v>
                </c:pt>
                <c:pt idx="40">
                  <c:v>USME</c:v>
                </c:pt>
                <c:pt idx="41">
                  <c:v>(en blanco)</c:v>
                </c:pt>
              </c:strCache>
            </c:strRef>
          </c:cat>
          <c:val>
            <c:numRef>
              <c:f>Tablas!$U$3:$U$45</c:f>
              <c:numCache>
                <c:formatCode>General</c:formatCode>
                <c:ptCount val="42"/>
                <c:pt idx="0">
                  <c:v>1</c:v>
                </c:pt>
                <c:pt idx="1">
                  <c:v>1</c:v>
                </c:pt>
                <c:pt idx="2">
                  <c:v>1</c:v>
                </c:pt>
                <c:pt idx="3">
                  <c:v>1</c:v>
                </c:pt>
                <c:pt idx="4">
                  <c:v>1</c:v>
                </c:pt>
                <c:pt idx="5">
                  <c:v>1</c:v>
                </c:pt>
                <c:pt idx="6">
                  <c:v>9</c:v>
                </c:pt>
                <c:pt idx="7">
                  <c:v>3</c:v>
                </c:pt>
                <c:pt idx="8">
                  <c:v>1</c:v>
                </c:pt>
                <c:pt idx="9">
                  <c:v>13</c:v>
                </c:pt>
                <c:pt idx="10">
                  <c:v>2</c:v>
                </c:pt>
                <c:pt idx="11">
                  <c:v>13</c:v>
                </c:pt>
                <c:pt idx="12">
                  <c:v>1</c:v>
                </c:pt>
                <c:pt idx="13">
                  <c:v>11</c:v>
                </c:pt>
                <c:pt idx="14">
                  <c:v>1</c:v>
                </c:pt>
                <c:pt idx="15">
                  <c:v>5</c:v>
                </c:pt>
                <c:pt idx="16">
                  <c:v>16</c:v>
                </c:pt>
                <c:pt idx="17">
                  <c:v>1</c:v>
                </c:pt>
                <c:pt idx="18">
                  <c:v>15</c:v>
                </c:pt>
                <c:pt idx="19">
                  <c:v>36</c:v>
                </c:pt>
                <c:pt idx="20">
                  <c:v>24</c:v>
                </c:pt>
                <c:pt idx="21">
                  <c:v>1</c:v>
                </c:pt>
                <c:pt idx="22">
                  <c:v>48</c:v>
                </c:pt>
                <c:pt idx="23">
                  <c:v>1</c:v>
                </c:pt>
                <c:pt idx="24">
                  <c:v>4</c:v>
                </c:pt>
                <c:pt idx="25">
                  <c:v>1</c:v>
                </c:pt>
                <c:pt idx="26">
                  <c:v>56</c:v>
                </c:pt>
                <c:pt idx="27">
                  <c:v>6</c:v>
                </c:pt>
                <c:pt idx="28">
                  <c:v>2</c:v>
                </c:pt>
                <c:pt idx="29">
                  <c:v>7</c:v>
                </c:pt>
                <c:pt idx="30">
                  <c:v>1</c:v>
                </c:pt>
                <c:pt idx="31">
                  <c:v>11</c:v>
                </c:pt>
                <c:pt idx="32">
                  <c:v>11</c:v>
                </c:pt>
                <c:pt idx="33">
                  <c:v>2</c:v>
                </c:pt>
                <c:pt idx="34">
                  <c:v>20</c:v>
                </c:pt>
                <c:pt idx="35">
                  <c:v>60</c:v>
                </c:pt>
                <c:pt idx="36">
                  <c:v>1</c:v>
                </c:pt>
                <c:pt idx="37">
                  <c:v>11</c:v>
                </c:pt>
                <c:pt idx="38">
                  <c:v>1</c:v>
                </c:pt>
                <c:pt idx="39">
                  <c:v>21</c:v>
                </c:pt>
                <c:pt idx="40">
                  <c:v>5</c:v>
                </c:pt>
              </c:numCache>
            </c:numRef>
          </c:val>
          <c:extLst>
            <c:ext xmlns:c16="http://schemas.microsoft.com/office/drawing/2014/chart" uri="{C3380CC4-5D6E-409C-BE32-E72D297353CC}">
              <c16:uniqueId val="{00000000-8365-4BD2-AF6B-1F5023D6E4F0}"/>
            </c:ext>
          </c:extLst>
        </c:ser>
        <c:dLbls>
          <c:dLblPos val="outEnd"/>
          <c:showLegendKey val="0"/>
          <c:showVal val="1"/>
          <c:showCatName val="0"/>
          <c:showSerName val="0"/>
          <c:showPercent val="0"/>
          <c:showBubbleSize val="0"/>
        </c:dLbls>
        <c:gapWidth val="100"/>
        <c:overlap val="-24"/>
        <c:axId val="578230208"/>
        <c:axId val="578230688"/>
      </c:barChart>
      <c:catAx>
        <c:axId val="57823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78230688"/>
        <c:crosses val="autoZero"/>
        <c:auto val="1"/>
        <c:lblAlgn val="ctr"/>
        <c:lblOffset val="100"/>
        <c:noMultiLvlLbl val="0"/>
      </c:catAx>
      <c:valAx>
        <c:axId val="57823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7823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pivotSource>
    <c:name>[BASE DE DATOS  PROCESOS JUDICIALES -OJ.xlsx]Tablas!TablaDinámica7</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ABOGADO A CARGO</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Tablas!$O$2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Tablas!$N$3:$N$11</c:f>
              <c:strCache>
                <c:ptCount val="8"/>
                <c:pt idx="0">
                  <c:v>GENARO SALAZAR GONZALEZ</c:v>
                </c:pt>
                <c:pt idx="1">
                  <c:v>JAMMER SAUL HERNANDEZ</c:v>
                </c:pt>
                <c:pt idx="2">
                  <c:v>JOAN SEBASTIAN MARQUEZ ROJAS</c:v>
                </c:pt>
                <c:pt idx="3">
                  <c:v>JOSE AGUSTÍN AVENDAÑO</c:v>
                </c:pt>
                <c:pt idx="4">
                  <c:v>MAGDA BOLENA ROJAS BALLESTEROS</c:v>
                </c:pt>
                <c:pt idx="5">
                  <c:v>MARIA FERNANDA CRUZ</c:v>
                </c:pt>
                <c:pt idx="6">
                  <c:v>MARIA FERNANDA MADIEDO SANCHEZ</c:v>
                </c:pt>
                <c:pt idx="7">
                  <c:v>SHIRLEY AVELLANEDA PEÑA</c:v>
                </c:pt>
              </c:strCache>
            </c:strRef>
          </c:cat>
          <c:val>
            <c:numRef>
              <c:f>Tablas!$O$3:$O$11</c:f>
              <c:numCache>
                <c:formatCode>General</c:formatCode>
                <c:ptCount val="8"/>
                <c:pt idx="0">
                  <c:v>57</c:v>
                </c:pt>
                <c:pt idx="1">
                  <c:v>47</c:v>
                </c:pt>
                <c:pt idx="2">
                  <c:v>57</c:v>
                </c:pt>
                <c:pt idx="3">
                  <c:v>54</c:v>
                </c:pt>
                <c:pt idx="4">
                  <c:v>23</c:v>
                </c:pt>
                <c:pt idx="5">
                  <c:v>52</c:v>
                </c:pt>
                <c:pt idx="6">
                  <c:v>68</c:v>
                </c:pt>
                <c:pt idx="7">
                  <c:v>70</c:v>
                </c:pt>
              </c:numCache>
            </c:numRef>
          </c:val>
          <c:extLst>
            <c:ext xmlns:c16="http://schemas.microsoft.com/office/drawing/2014/chart" uri="{C3380CC4-5D6E-409C-BE32-E72D297353CC}">
              <c16:uniqueId val="{00000000-0539-4168-A5C7-BA50B8DD99F3}"/>
            </c:ext>
          </c:extLst>
        </c:ser>
        <c:dLbls>
          <c:dLblPos val="outEnd"/>
          <c:showLegendKey val="0"/>
          <c:showVal val="1"/>
          <c:showCatName val="0"/>
          <c:showSerName val="0"/>
          <c:showPercent val="0"/>
          <c:showBubbleSize val="0"/>
        </c:dLbls>
        <c:gapWidth val="100"/>
        <c:axId val="581067952"/>
        <c:axId val="581051632"/>
      </c:barChart>
      <c:catAx>
        <c:axId val="58106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81051632"/>
        <c:crosses val="autoZero"/>
        <c:auto val="1"/>
        <c:lblAlgn val="ctr"/>
        <c:lblOffset val="100"/>
        <c:noMultiLvlLbl val="0"/>
      </c:catAx>
      <c:valAx>
        <c:axId val="58105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810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DATOS  PROCESOS JUDICIALES -OJ.xlsx]Tablas!TablaDinámica9</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PROCEDIMIENTOS - CONTROL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noFill/>
            <a:round/>
          </a:ln>
          <a:effectLst/>
          <a:sp3d/>
        </c:spPr>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marker>
          <c:symbol val="none"/>
        </c:marke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Tablas!$AA$2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extLst>
              <c:ext xmlns:c16="http://schemas.microsoft.com/office/drawing/2014/chart" uri="{C3380CC4-5D6E-409C-BE32-E72D297353CC}">
                <c16:uniqueId val="{00000001-2715-4FAC-A8AB-21F10EE69C5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extLst>
              <c:ext xmlns:c16="http://schemas.microsoft.com/office/drawing/2014/chart" uri="{C3380CC4-5D6E-409C-BE32-E72D297353CC}">
                <c16:uniqueId val="{00000003-2715-4FAC-A8AB-21F10EE69C56}"/>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a:noFill/>
              </a:ln>
              <a:effectLst/>
              <a:sp3d/>
            </c:spPr>
            <c:extLst>
              <c:ext xmlns:c16="http://schemas.microsoft.com/office/drawing/2014/chart" uri="{C3380CC4-5D6E-409C-BE32-E72D297353CC}">
                <c16:uniqueId val="{00000005-2715-4FAC-A8AB-21F10EE69C56}"/>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a:effectLst/>
              <a:sp3d/>
            </c:spPr>
            <c:extLst>
              <c:ext xmlns:c16="http://schemas.microsoft.com/office/drawing/2014/chart" uri="{C3380CC4-5D6E-409C-BE32-E72D297353CC}">
                <c16:uniqueId val="{00000007-2715-4FAC-A8AB-21F10EE69C56}"/>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a:noFill/>
              </a:ln>
              <a:effectLst/>
              <a:sp3d/>
            </c:spPr>
            <c:extLst>
              <c:ext xmlns:c16="http://schemas.microsoft.com/office/drawing/2014/chart" uri="{C3380CC4-5D6E-409C-BE32-E72D297353CC}">
                <c16:uniqueId val="{00000009-2715-4FAC-A8AB-21F10EE69C56}"/>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extLst>
              <c:ext xmlns:c16="http://schemas.microsoft.com/office/drawing/2014/chart" uri="{C3380CC4-5D6E-409C-BE32-E72D297353CC}">
                <c16:uniqueId val="{0000000B-2715-4FAC-A8AB-21F10EE69C56}"/>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0D-2715-4FAC-A8AB-21F10EE69C56}"/>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0F-2715-4FAC-A8AB-21F10EE69C56}"/>
              </c:ext>
            </c:extLst>
          </c:dPt>
          <c:cat>
            <c:strRef>
              <c:f>Tablas!$Z$3:$Z$11</c:f>
              <c:strCache>
                <c:ptCount val="8"/>
                <c:pt idx="0">
                  <c:v>GENARO SALAZAR GONZALEZ</c:v>
                </c:pt>
                <c:pt idx="1">
                  <c:v>JAMMER SAUL HERNANDEZ</c:v>
                </c:pt>
                <c:pt idx="2">
                  <c:v>JOAN SEBASTIAN MARQUEZ ROJAS</c:v>
                </c:pt>
                <c:pt idx="3">
                  <c:v>JOSE AGUSTÍN AVENDAÑO</c:v>
                </c:pt>
                <c:pt idx="4">
                  <c:v>MAGDA BOLENA ROJAS BALLESTEROS</c:v>
                </c:pt>
                <c:pt idx="5">
                  <c:v>MARIA FERNANDA CRUZ</c:v>
                </c:pt>
                <c:pt idx="6">
                  <c:v>MARIA FERNANDA MADIEDO SANCHEZ</c:v>
                </c:pt>
                <c:pt idx="7">
                  <c:v>SHIRLEY AVELLANEDA PEÑA</c:v>
                </c:pt>
              </c:strCache>
            </c:strRef>
          </c:cat>
          <c:val>
            <c:numRef>
              <c:f>Tablas!$AA$3:$AA$11</c:f>
              <c:numCache>
                <c:formatCode>General</c:formatCode>
                <c:ptCount val="8"/>
                <c:pt idx="0">
                  <c:v>2</c:v>
                </c:pt>
                <c:pt idx="1">
                  <c:v>2</c:v>
                </c:pt>
                <c:pt idx="2">
                  <c:v>5</c:v>
                </c:pt>
                <c:pt idx="3">
                  <c:v>6</c:v>
                </c:pt>
                <c:pt idx="4">
                  <c:v>4</c:v>
                </c:pt>
                <c:pt idx="5">
                  <c:v>3</c:v>
                </c:pt>
                <c:pt idx="6">
                  <c:v>3</c:v>
                </c:pt>
                <c:pt idx="7">
                  <c:v>1</c:v>
                </c:pt>
              </c:numCache>
            </c:numRef>
          </c:val>
          <c:extLst>
            <c:ext xmlns:c16="http://schemas.microsoft.com/office/drawing/2014/chart" uri="{C3380CC4-5D6E-409C-BE32-E72D297353CC}">
              <c16:uniqueId val="{00000010-2715-4FAC-A8AB-21F10EE69C5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0</xdr:row>
      <xdr:rowOff>0</xdr:rowOff>
    </xdr:from>
    <xdr:to>
      <xdr:col>2</xdr:col>
      <xdr:colOff>221316</xdr:colOff>
      <xdr:row>0</xdr:row>
      <xdr:rowOff>476250</xdr:rowOff>
    </xdr:to>
    <xdr:pic>
      <xdr:nvPicPr>
        <xdr:cNvPr id="8" name="Gráfico 7" descr="Court con relleno sólido">
          <a:extLst>
            <a:ext uri="{FF2B5EF4-FFF2-40B4-BE49-F238E27FC236}">
              <a16:creationId xmlns:a16="http://schemas.microsoft.com/office/drawing/2014/main" id="{75932C19-E792-14B3-7783-861ADD60DF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8125" y="0"/>
          <a:ext cx="476250" cy="476250"/>
        </a:xfrm>
        <a:prstGeom prst="rect">
          <a:avLst/>
        </a:prstGeom>
      </xdr:spPr>
    </xdr:pic>
    <xdr:clientData/>
  </xdr:twoCellAnchor>
  <xdr:twoCellAnchor editAs="absolute">
    <xdr:from>
      <xdr:col>2</xdr:col>
      <xdr:colOff>30414</xdr:colOff>
      <xdr:row>8</xdr:row>
      <xdr:rowOff>41712</xdr:rowOff>
    </xdr:from>
    <xdr:to>
      <xdr:col>5</xdr:col>
      <xdr:colOff>38885</xdr:colOff>
      <xdr:row>9</xdr:row>
      <xdr:rowOff>116800</xdr:rowOff>
    </xdr:to>
    <xdr:sp macro="" textlink="">
      <xdr:nvSpPr>
        <xdr:cNvPr id="56" name="Rectangle 48">
          <a:extLst>
            <a:ext uri="{FF2B5EF4-FFF2-40B4-BE49-F238E27FC236}">
              <a16:creationId xmlns:a16="http://schemas.microsoft.com/office/drawing/2014/main" id="{D3736647-2860-B9D9-0A1E-B9A672C66CB6}"/>
            </a:ext>
          </a:extLst>
        </xdr:cNvPr>
        <xdr:cNvSpPr/>
      </xdr:nvSpPr>
      <xdr:spPr>
        <a:xfrm>
          <a:off x="523473" y="2036359"/>
          <a:ext cx="2160000" cy="288000"/>
        </a:xfrm>
        <a:prstGeom prst="rect">
          <a:avLst/>
        </a:prstGeom>
        <a:solidFill>
          <a:srgbClr val="32A8B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ctr" anchorCtr="0" forceAA="0" compatLnSpc="1">
          <a:prstTxWarp prst="textNoShape">
            <a:avLst/>
          </a:prstTxWarp>
          <a:noAutofit/>
        </a:bodyPr>
        <a:lstStyle/>
        <a:p>
          <a:pPr marL="0" indent="0" algn="ctr"/>
          <a:r>
            <a:rPr lang="en-GB" sz="1400">
              <a:solidFill>
                <a:schemeClr val="lt1"/>
              </a:solidFill>
              <a:latin typeface="Century Gothic" panose="020B0502020202020204" pitchFamily="34" charset="0"/>
              <a:ea typeface="+mn-ea"/>
              <a:cs typeface="+mn-cs"/>
            </a:rPr>
            <a:t>Laboral</a:t>
          </a:r>
        </a:p>
      </xdr:txBody>
    </xdr:sp>
    <xdr:clientData/>
  </xdr:twoCellAnchor>
  <xdr:twoCellAnchor editAs="absolute">
    <xdr:from>
      <xdr:col>2</xdr:col>
      <xdr:colOff>41620</xdr:colOff>
      <xdr:row>14</xdr:row>
      <xdr:rowOff>70621</xdr:rowOff>
    </xdr:from>
    <xdr:to>
      <xdr:col>5</xdr:col>
      <xdr:colOff>50091</xdr:colOff>
      <xdr:row>15</xdr:row>
      <xdr:rowOff>145710</xdr:rowOff>
    </xdr:to>
    <xdr:sp macro="" textlink="">
      <xdr:nvSpPr>
        <xdr:cNvPr id="59" name="Rectangle 49">
          <a:extLst>
            <a:ext uri="{FF2B5EF4-FFF2-40B4-BE49-F238E27FC236}">
              <a16:creationId xmlns:a16="http://schemas.microsoft.com/office/drawing/2014/main" id="{A865EF0E-A0C4-83CA-F453-79A4A7801DF9}"/>
            </a:ext>
          </a:extLst>
        </xdr:cNvPr>
        <xdr:cNvSpPr/>
      </xdr:nvSpPr>
      <xdr:spPr>
        <a:xfrm>
          <a:off x="534679" y="3342739"/>
          <a:ext cx="2160000" cy="288000"/>
        </a:xfrm>
        <a:prstGeom prst="rect">
          <a:avLst/>
        </a:prstGeom>
        <a:solidFill>
          <a:srgbClr val="F597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GB" sz="1400">
              <a:latin typeface="Century Gothic" panose="020B0502020202020204" pitchFamily="34" charset="0"/>
            </a:rPr>
            <a:t>MASC</a:t>
          </a:r>
        </a:p>
      </xdr:txBody>
    </xdr:sp>
    <xdr:clientData/>
  </xdr:twoCellAnchor>
  <xdr:twoCellAnchor editAs="absolute">
    <xdr:from>
      <xdr:col>2</xdr:col>
      <xdr:colOff>19208</xdr:colOff>
      <xdr:row>20</xdr:row>
      <xdr:rowOff>65911</xdr:rowOff>
    </xdr:from>
    <xdr:to>
      <xdr:col>5</xdr:col>
      <xdr:colOff>27679</xdr:colOff>
      <xdr:row>21</xdr:row>
      <xdr:rowOff>140999</xdr:rowOff>
    </xdr:to>
    <xdr:sp macro="" textlink="">
      <xdr:nvSpPr>
        <xdr:cNvPr id="62" name="Rectangle 50">
          <a:extLst>
            <a:ext uri="{FF2B5EF4-FFF2-40B4-BE49-F238E27FC236}">
              <a16:creationId xmlns:a16="http://schemas.microsoft.com/office/drawing/2014/main" id="{5E7F98BB-0A36-A228-A443-16DF25A0B32E}"/>
            </a:ext>
          </a:extLst>
        </xdr:cNvPr>
        <xdr:cNvSpPr/>
      </xdr:nvSpPr>
      <xdr:spPr>
        <a:xfrm>
          <a:off x="512267" y="4615499"/>
          <a:ext cx="2160000" cy="288000"/>
        </a:xfrm>
        <a:prstGeom prst="rect">
          <a:avLst/>
        </a:prstGeom>
        <a:solidFill>
          <a:srgbClr val="DF72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400">
              <a:solidFill>
                <a:schemeClr val="lt1"/>
              </a:solidFill>
              <a:latin typeface="Century Gothic" panose="020B0502020202020204" pitchFamily="34" charset="0"/>
              <a:ea typeface="+mn-ea"/>
              <a:cs typeface="+mn-cs"/>
            </a:rPr>
            <a:t>Constitucional</a:t>
          </a:r>
          <a:endParaRPr lang="en-GB" sz="1400">
            <a:solidFill>
              <a:schemeClr val="lt1"/>
            </a:solidFill>
            <a:latin typeface="Century Gothic" panose="020B0502020202020204" pitchFamily="34" charset="0"/>
            <a:ea typeface="+mn-ea"/>
            <a:cs typeface="+mn-cs"/>
          </a:endParaRPr>
        </a:p>
      </xdr:txBody>
    </xdr:sp>
    <xdr:clientData/>
  </xdr:twoCellAnchor>
  <xdr:twoCellAnchor editAs="absolute">
    <xdr:from>
      <xdr:col>2</xdr:col>
      <xdr:colOff>8002</xdr:colOff>
      <xdr:row>26</xdr:row>
      <xdr:rowOff>72407</xdr:rowOff>
    </xdr:from>
    <xdr:to>
      <xdr:col>5</xdr:col>
      <xdr:colOff>16473</xdr:colOff>
      <xdr:row>27</xdr:row>
      <xdr:rowOff>147495</xdr:rowOff>
    </xdr:to>
    <xdr:sp macro="" textlink="">
      <xdr:nvSpPr>
        <xdr:cNvPr id="65" name="Rectangle 50">
          <a:extLst>
            <a:ext uri="{FF2B5EF4-FFF2-40B4-BE49-F238E27FC236}">
              <a16:creationId xmlns:a16="http://schemas.microsoft.com/office/drawing/2014/main" id="{22ED4EEE-718D-BBF8-1C0C-12358FBCCF63}"/>
            </a:ext>
          </a:extLst>
        </xdr:cNvPr>
        <xdr:cNvSpPr/>
      </xdr:nvSpPr>
      <xdr:spPr>
        <a:xfrm>
          <a:off x="501061" y="5899466"/>
          <a:ext cx="2160000" cy="288000"/>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400">
              <a:solidFill>
                <a:schemeClr val="lt1"/>
              </a:solidFill>
              <a:latin typeface="Century Gothic" panose="020B0502020202020204" pitchFamily="34" charset="0"/>
              <a:ea typeface="+mn-ea"/>
              <a:cs typeface="+mn-cs"/>
            </a:rPr>
            <a:t>Civil</a:t>
          </a:r>
        </a:p>
      </xdr:txBody>
    </xdr:sp>
    <xdr:clientData/>
  </xdr:twoCellAnchor>
  <xdr:twoCellAnchor editAs="absolute">
    <xdr:from>
      <xdr:col>1</xdr:col>
      <xdr:colOff>108856</xdr:colOff>
      <xdr:row>32</xdr:row>
      <xdr:rowOff>56491</xdr:rowOff>
    </xdr:from>
    <xdr:to>
      <xdr:col>5</xdr:col>
      <xdr:colOff>5268</xdr:colOff>
      <xdr:row>33</xdr:row>
      <xdr:rowOff>131579</xdr:rowOff>
    </xdr:to>
    <xdr:sp macro="" textlink="">
      <xdr:nvSpPr>
        <xdr:cNvPr id="68" name="Rectangle 50">
          <a:extLst>
            <a:ext uri="{FF2B5EF4-FFF2-40B4-BE49-F238E27FC236}">
              <a16:creationId xmlns:a16="http://schemas.microsoft.com/office/drawing/2014/main" id="{8CD96C2D-49C3-A66A-ECB7-25EF9640EFAB}"/>
            </a:ext>
          </a:extLst>
        </xdr:cNvPr>
        <xdr:cNvSpPr/>
      </xdr:nvSpPr>
      <xdr:spPr>
        <a:xfrm>
          <a:off x="489856" y="7161020"/>
          <a:ext cx="2160000" cy="288000"/>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400">
              <a:solidFill>
                <a:schemeClr val="lt1"/>
              </a:solidFill>
              <a:latin typeface="Century Gothic" panose="020B0502020202020204" pitchFamily="34" charset="0"/>
              <a:ea typeface="+mn-ea"/>
              <a:cs typeface="+mn-cs"/>
            </a:rPr>
            <a:t>Penal</a:t>
          </a:r>
          <a:endParaRPr lang="en-GB" sz="1400">
            <a:solidFill>
              <a:schemeClr val="lt1"/>
            </a:solidFill>
            <a:latin typeface="Century Gothic" panose="020B0502020202020204" pitchFamily="34" charset="0"/>
            <a:ea typeface="+mn-ea"/>
            <a:cs typeface="+mn-cs"/>
          </a:endParaRPr>
        </a:p>
      </xdr:txBody>
    </xdr:sp>
    <xdr:clientData/>
  </xdr:twoCellAnchor>
  <xdr:twoCellAnchor editAs="absolute">
    <xdr:from>
      <xdr:col>1</xdr:col>
      <xdr:colOff>97650</xdr:colOff>
      <xdr:row>38</xdr:row>
      <xdr:rowOff>85397</xdr:rowOff>
    </xdr:from>
    <xdr:to>
      <xdr:col>4</xdr:col>
      <xdr:colOff>711238</xdr:colOff>
      <xdr:row>39</xdr:row>
      <xdr:rowOff>160485</xdr:rowOff>
    </xdr:to>
    <xdr:sp macro="" textlink="">
      <xdr:nvSpPr>
        <xdr:cNvPr id="71" name="Rectangle 50">
          <a:extLst>
            <a:ext uri="{FF2B5EF4-FFF2-40B4-BE49-F238E27FC236}">
              <a16:creationId xmlns:a16="http://schemas.microsoft.com/office/drawing/2014/main" id="{99C0DFF7-4C09-A49E-609C-A76EB81966F8}"/>
            </a:ext>
          </a:extLst>
        </xdr:cNvPr>
        <xdr:cNvSpPr/>
      </xdr:nvSpPr>
      <xdr:spPr>
        <a:xfrm>
          <a:off x="478650" y="8467397"/>
          <a:ext cx="2160000" cy="28800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CO" sz="1400">
              <a:solidFill>
                <a:schemeClr val="lt1"/>
              </a:solidFill>
              <a:latin typeface="Century Gothic" panose="020B0502020202020204" pitchFamily="34" charset="0"/>
              <a:ea typeface="+mn-ea"/>
              <a:cs typeface="+mn-cs"/>
            </a:rPr>
            <a:t>Administrativo</a:t>
          </a:r>
          <a:endParaRPr lang="en-GB" sz="1400">
            <a:solidFill>
              <a:schemeClr val="lt1"/>
            </a:solidFill>
            <a:latin typeface="Century Gothic" panose="020B0502020202020204" pitchFamily="34" charset="0"/>
            <a:ea typeface="+mn-ea"/>
            <a:cs typeface="+mn-cs"/>
          </a:endParaRPr>
        </a:p>
      </xdr:txBody>
    </xdr:sp>
    <xdr:clientData/>
  </xdr:twoCellAnchor>
  <xdr:twoCellAnchor editAs="absolute">
    <xdr:from>
      <xdr:col>2</xdr:col>
      <xdr:colOff>8001</xdr:colOff>
      <xdr:row>2</xdr:row>
      <xdr:rowOff>91245</xdr:rowOff>
    </xdr:from>
    <xdr:to>
      <xdr:col>5</xdr:col>
      <xdr:colOff>16472</xdr:colOff>
      <xdr:row>3</xdr:row>
      <xdr:rowOff>166333</xdr:rowOff>
    </xdr:to>
    <xdr:sp macro="" textlink="">
      <xdr:nvSpPr>
        <xdr:cNvPr id="74" name="Rectangle 47">
          <a:extLst>
            <a:ext uri="{FF2B5EF4-FFF2-40B4-BE49-F238E27FC236}">
              <a16:creationId xmlns:a16="http://schemas.microsoft.com/office/drawing/2014/main" id="{486283F9-9288-3401-2F3C-5FA7B6ACE807}"/>
            </a:ext>
          </a:extLst>
        </xdr:cNvPr>
        <xdr:cNvSpPr/>
      </xdr:nvSpPr>
      <xdr:spPr>
        <a:xfrm>
          <a:off x="501060" y="808421"/>
          <a:ext cx="2160000" cy="288000"/>
        </a:xfrm>
        <a:prstGeom prst="rect">
          <a:avLst/>
        </a:prstGeom>
        <a:solidFill>
          <a:srgbClr val="9E597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s-CO" sz="1400">
              <a:latin typeface="Century Gothic" panose="020B0502020202020204" pitchFamily="34" charset="0"/>
            </a:rPr>
            <a:t>PROCESOS</a:t>
          </a:r>
        </a:p>
      </xdr:txBody>
    </xdr:sp>
    <xdr:clientData/>
  </xdr:twoCellAnchor>
  <xdr:twoCellAnchor editAs="absolute">
    <xdr:from>
      <xdr:col>6</xdr:col>
      <xdr:colOff>291353</xdr:colOff>
      <xdr:row>2</xdr:row>
      <xdr:rowOff>0</xdr:rowOff>
    </xdr:from>
    <xdr:to>
      <xdr:col>12</xdr:col>
      <xdr:colOff>780353</xdr:colOff>
      <xdr:row>16</xdr:row>
      <xdr:rowOff>22500</xdr:rowOff>
    </xdr:to>
    <xdr:graphicFrame macro="">
      <xdr:nvGraphicFramePr>
        <xdr:cNvPr id="76" name="Gráfico 75">
          <a:extLst>
            <a:ext uri="{FF2B5EF4-FFF2-40B4-BE49-F238E27FC236}">
              <a16:creationId xmlns:a16="http://schemas.microsoft.com/office/drawing/2014/main" id="{3484FE04-A417-4DE9-A235-0ADB57A8EAFA}"/>
            </a:ext>
            <a:ext uri="{147F2762-F138-4A5C-976F-8EAC2B608ADB}">
              <a16:predDERef xmlns:a16="http://schemas.microsoft.com/office/drawing/2014/main" pred="{486283F9-9288-3401-2F3C-5FA7B6ACE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291353</xdr:colOff>
      <xdr:row>17</xdr:row>
      <xdr:rowOff>0</xdr:rowOff>
    </xdr:from>
    <xdr:to>
      <xdr:col>12</xdr:col>
      <xdr:colOff>780353</xdr:colOff>
      <xdr:row>31</xdr:row>
      <xdr:rowOff>22500</xdr:rowOff>
    </xdr:to>
    <xdr:graphicFrame macro="">
      <xdr:nvGraphicFramePr>
        <xdr:cNvPr id="77" name="Gráfico 76">
          <a:extLst>
            <a:ext uri="{FF2B5EF4-FFF2-40B4-BE49-F238E27FC236}">
              <a16:creationId xmlns:a16="http://schemas.microsoft.com/office/drawing/2014/main" id="{08211BE3-076E-4132-B31C-00F1595B0995}"/>
            </a:ext>
            <a:ext uri="{147F2762-F138-4A5C-976F-8EAC2B608ADB}">
              <a16:predDERef xmlns:a16="http://schemas.microsoft.com/office/drawing/2014/main" pred="{3484FE04-A417-4DE9-A235-0ADB57A8E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291353</xdr:colOff>
      <xdr:row>2</xdr:row>
      <xdr:rowOff>0</xdr:rowOff>
    </xdr:from>
    <xdr:to>
      <xdr:col>22</xdr:col>
      <xdr:colOff>112059</xdr:colOff>
      <xdr:row>16</xdr:row>
      <xdr:rowOff>22500</xdr:rowOff>
    </xdr:to>
    <xdr:graphicFrame macro="">
      <xdr:nvGraphicFramePr>
        <xdr:cNvPr id="79" name="Gráfico 78">
          <a:extLst>
            <a:ext uri="{FF2B5EF4-FFF2-40B4-BE49-F238E27FC236}">
              <a16:creationId xmlns:a16="http://schemas.microsoft.com/office/drawing/2014/main" id="{0BDB861D-339C-41F3-AB63-EC92B150B903}"/>
            </a:ext>
            <a:ext uri="{147F2762-F138-4A5C-976F-8EAC2B608ADB}">
              <a16:predDERef xmlns:a16="http://schemas.microsoft.com/office/drawing/2014/main" pred="{08211BE3-076E-4132-B31C-00F1595B0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22</xdr:col>
      <xdr:colOff>437029</xdr:colOff>
      <xdr:row>2</xdr:row>
      <xdr:rowOff>0</xdr:rowOff>
    </xdr:from>
    <xdr:to>
      <xdr:col>26</xdr:col>
      <xdr:colOff>780352</xdr:colOff>
      <xdr:row>16</xdr:row>
      <xdr:rowOff>22500</xdr:rowOff>
    </xdr:to>
    <mc:AlternateContent xmlns:mc="http://schemas.openxmlformats.org/markup-compatibility/2006" xmlns:tsle="http://schemas.microsoft.com/office/drawing/2012/timeslicer">
      <mc:Choice Requires="tsle">
        <xdr:graphicFrame macro="">
          <xdr:nvGraphicFramePr>
            <xdr:cNvPr id="80" name="Data.FECHA DE PRESENTACION DE DEMANDA">
              <a:extLst>
                <a:ext uri="{FF2B5EF4-FFF2-40B4-BE49-F238E27FC236}">
                  <a16:creationId xmlns:a16="http://schemas.microsoft.com/office/drawing/2014/main" id="{CC246763-CD5E-4D0A-BA3B-096E9D8BBBBE}"/>
                </a:ext>
              </a:extLst>
            </xdr:cNvPr>
            <xdr:cNvGraphicFramePr/>
          </xdr:nvGraphicFramePr>
          <xdr:xfrm>
            <a:off x="0" y="0"/>
            <a:ext cx="0" cy="0"/>
          </xdr:xfrm>
          <a:graphic>
            <a:graphicData uri="http://schemas.microsoft.com/office/drawing/2012/timeslicer">
              <tsle:timeslicer name="Data.FECHA DE PRESENTACION DE DEMANDA"/>
            </a:graphicData>
          </a:graphic>
        </xdr:graphicFrame>
      </mc:Choice>
      <mc:Fallback xmlns="">
        <xdr:sp macro="" textlink="">
          <xdr:nvSpPr>
            <xdr:cNvPr id="0" name=""/>
            <xdr:cNvSpPr>
              <a:spLocks noTextEdit="1"/>
            </xdr:cNvSpPr>
          </xdr:nvSpPr>
          <xdr:spPr>
            <a:xfrm>
              <a:off x="14455588" y="717176"/>
              <a:ext cx="3391323" cy="3003265"/>
            </a:xfrm>
            <a:prstGeom prst="rect">
              <a:avLst/>
            </a:prstGeom>
            <a:solidFill>
              <a:prstClr val="white"/>
            </a:solidFill>
            <a:ln w="1">
              <a:solidFill>
                <a:prstClr val="green"/>
              </a:solidFill>
            </a:ln>
          </xdr:spPr>
          <xdr:txBody>
            <a:bodyPr vertOverflow="clip" horzOverflow="clip"/>
            <a:lstStyle/>
            <a:p>
              <a:r>
                <a:rPr lang="es-CO" sz="1100"/>
                <a:t>Línea de tiempo: Funciona en Excel 2013 o superior. No mover ni cambiar el tamaño.</a:t>
              </a:r>
            </a:p>
          </xdr:txBody>
        </xdr:sp>
      </mc:Fallback>
    </mc:AlternateContent>
    <xdr:clientData/>
  </xdr:twoCellAnchor>
  <xdr:twoCellAnchor editAs="absolute">
    <xdr:from>
      <xdr:col>13</xdr:col>
      <xdr:colOff>291353</xdr:colOff>
      <xdr:row>17</xdr:row>
      <xdr:rowOff>0</xdr:rowOff>
    </xdr:from>
    <xdr:to>
      <xdr:col>19</xdr:col>
      <xdr:colOff>718721</xdr:colOff>
      <xdr:row>31</xdr:row>
      <xdr:rowOff>22500</xdr:rowOff>
    </xdr:to>
    <xdr:graphicFrame macro="">
      <xdr:nvGraphicFramePr>
        <xdr:cNvPr id="82" name="Gráfico 81">
          <a:extLst>
            <a:ext uri="{FF2B5EF4-FFF2-40B4-BE49-F238E27FC236}">
              <a16:creationId xmlns:a16="http://schemas.microsoft.com/office/drawing/2014/main" id="{0016996E-2C3C-488F-BF8D-2D8C3F0AA10C}"/>
            </a:ext>
            <a:ext uri="{147F2762-F138-4A5C-976F-8EAC2B608ADB}">
              <a16:predDERef xmlns:a16="http://schemas.microsoft.com/office/drawing/2014/main" pred="{CC246763-CD5E-4D0A-BA3B-096E9D8BB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6</xdr:col>
      <xdr:colOff>291353</xdr:colOff>
      <xdr:row>32</xdr:row>
      <xdr:rowOff>0</xdr:rowOff>
    </xdr:from>
    <xdr:to>
      <xdr:col>16</xdr:col>
      <xdr:colOff>672353</xdr:colOff>
      <xdr:row>50</xdr:row>
      <xdr:rowOff>13607</xdr:rowOff>
    </xdr:to>
    <xdr:graphicFrame macro="">
      <xdr:nvGraphicFramePr>
        <xdr:cNvPr id="83" name="Gráfico 82">
          <a:extLst>
            <a:ext uri="{FF2B5EF4-FFF2-40B4-BE49-F238E27FC236}">
              <a16:creationId xmlns:a16="http://schemas.microsoft.com/office/drawing/2014/main" id="{82C29817-71ED-419F-91D3-57EB148E5360}"/>
            </a:ext>
            <a:ext uri="{147F2762-F138-4A5C-976F-8EAC2B608ADB}">
              <a16:predDERef xmlns:a16="http://schemas.microsoft.com/office/drawing/2014/main" pred="{0016996E-2C3C-488F-BF8D-2D8C3F0AA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17</xdr:col>
      <xdr:colOff>728382</xdr:colOff>
      <xdr:row>32</xdr:row>
      <xdr:rowOff>0</xdr:rowOff>
    </xdr:from>
    <xdr:to>
      <xdr:col>26</xdr:col>
      <xdr:colOff>847644</xdr:colOff>
      <xdr:row>50</xdr:row>
      <xdr:rowOff>0</xdr:rowOff>
    </xdr:to>
    <xdr:graphicFrame macro="">
      <xdr:nvGraphicFramePr>
        <xdr:cNvPr id="84" name="Gráfico 83">
          <a:extLst>
            <a:ext uri="{FF2B5EF4-FFF2-40B4-BE49-F238E27FC236}">
              <a16:creationId xmlns:a16="http://schemas.microsoft.com/office/drawing/2014/main" id="{D40ECB68-AC12-48EA-B9DC-296C8C0FFC83}"/>
            </a:ext>
            <a:ext uri="{147F2762-F138-4A5C-976F-8EAC2B608ADB}">
              <a16:predDERef xmlns:a16="http://schemas.microsoft.com/office/drawing/2014/main" pred="{82C29817-71ED-419F-91D3-57EB148E5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20</xdr:col>
      <xdr:colOff>291353</xdr:colOff>
      <xdr:row>17</xdr:row>
      <xdr:rowOff>0</xdr:rowOff>
    </xdr:from>
    <xdr:to>
      <xdr:col>26</xdr:col>
      <xdr:colOff>780353</xdr:colOff>
      <xdr:row>31</xdr:row>
      <xdr:rowOff>22500</xdr:rowOff>
    </xdr:to>
    <xdr:graphicFrame macro="">
      <xdr:nvGraphicFramePr>
        <xdr:cNvPr id="85" name="Gráfico 84">
          <a:extLst>
            <a:ext uri="{FF2B5EF4-FFF2-40B4-BE49-F238E27FC236}">
              <a16:creationId xmlns:a16="http://schemas.microsoft.com/office/drawing/2014/main" id="{317B59A4-8136-4481-9181-32ACCF777E34}"/>
            </a:ext>
            <a:ext uri="{147F2762-F138-4A5C-976F-8EAC2B608ADB}">
              <a16:predDERef xmlns:a16="http://schemas.microsoft.com/office/drawing/2014/main" pred="{D40ECB68-AC12-48EA-B9DC-296C8C0FF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6</xdr:col>
      <xdr:colOff>291353</xdr:colOff>
      <xdr:row>51</xdr:row>
      <xdr:rowOff>0</xdr:rowOff>
    </xdr:from>
    <xdr:to>
      <xdr:col>12</xdr:col>
      <xdr:colOff>780353</xdr:colOff>
      <xdr:row>64</xdr:row>
      <xdr:rowOff>112147</xdr:rowOff>
    </xdr:to>
    <xdr:graphicFrame macro="">
      <xdr:nvGraphicFramePr>
        <xdr:cNvPr id="87" name="Gráfico 86">
          <a:extLst>
            <a:ext uri="{FF2B5EF4-FFF2-40B4-BE49-F238E27FC236}">
              <a16:creationId xmlns:a16="http://schemas.microsoft.com/office/drawing/2014/main" id="{C6CDF1DB-2F12-48C8-A339-58AD6CBC5A5C}"/>
            </a:ext>
            <a:ext uri="{147F2762-F138-4A5C-976F-8EAC2B608ADB}">
              <a16:predDERef xmlns:a16="http://schemas.microsoft.com/office/drawing/2014/main" pred="{317B59A4-8136-4481-9181-32ACCF777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28</xdr:col>
      <xdr:colOff>100852</xdr:colOff>
      <xdr:row>2</xdr:row>
      <xdr:rowOff>78441</xdr:rowOff>
    </xdr:from>
    <xdr:to>
      <xdr:col>32</xdr:col>
      <xdr:colOff>65</xdr:colOff>
      <xdr:row>3</xdr:row>
      <xdr:rowOff>153529</xdr:rowOff>
    </xdr:to>
    <xdr:sp macro="" textlink="">
      <xdr:nvSpPr>
        <xdr:cNvPr id="2" name="Rectangle 47">
          <a:extLst>
            <a:ext uri="{FF2B5EF4-FFF2-40B4-BE49-F238E27FC236}">
              <a16:creationId xmlns:a16="http://schemas.microsoft.com/office/drawing/2014/main" id="{677E78A5-FC82-4136-A504-B1363CF87F80}"/>
            </a:ext>
          </a:extLst>
        </xdr:cNvPr>
        <xdr:cNvSpPr/>
      </xdr:nvSpPr>
      <xdr:spPr>
        <a:xfrm>
          <a:off x="18444881" y="795617"/>
          <a:ext cx="2160000" cy="2880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36000" rIns="36000" bIns="36000" rtlCol="0" anchor="ctr" anchorCtr="0"/>
        <a:lstStyle/>
        <a:p>
          <a:pPr algn="ctr"/>
          <a:r>
            <a:rPr lang="es-CO" sz="1400">
              <a:latin typeface="Century Gothic" panose="020B0502020202020204" pitchFamily="34" charset="0"/>
            </a:rPr>
            <a:t>METROS CUADRADOS</a:t>
          </a: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AD1DC78C-C3A1-41F0-B354-E008028A6339}"/>
  <namedSheetView name="Vista 2" id="{4901A893-0C8A-43A1-B8A2-F3176114171F}"/>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lberto Socarras Narvaez" refreshedDate="45708.452528472226" createdVersion="8" refreshedVersion="6" minRefreshableVersion="3" recordCount="428" xr:uid="{DA4BF943-B340-44DE-B4F9-7542550CCF3F}">
  <cacheSource type="worksheet">
    <worksheetSource name="Consolidado"/>
  </cacheSource>
  <cacheFields count="14">
    <cacheField name="Name" numFmtId="0">
      <sharedItems/>
    </cacheField>
    <cacheField name="Data.ID" numFmtId="0">
      <sharedItems containsMixedTypes="1" containsNumber="1" containsInteger="1" minValue="23" maxValue="981906"/>
    </cacheField>
    <cacheField name="Data.JURISDICCIÓN" numFmtId="0">
      <sharedItems containsBlank="1" count="9">
        <s v="LABORAL"/>
        <s v="MASC"/>
        <s v="CONSTITUCIONAL"/>
        <s v="CONTENCIOSO ADMINISTRATIVA"/>
        <s v="CIVIL"/>
        <s v="PENAL "/>
        <m u="1"/>
        <s v="PENAL" u="1"/>
        <s v="CONSTITUCIONAL " u="1"/>
      </sharedItems>
    </cacheField>
    <cacheField name="Data.TIPO DE PROCESO" numFmtId="0">
      <sharedItems containsBlank="1" count="32">
        <s v="ORDINARIO LABORAL"/>
        <s v=" LABORAL "/>
        <s v="MEDIACIÓN"/>
        <s v="ACCION DE GRUPO"/>
        <s v="ACCION POPULAR"/>
        <s v="ACCION DE CUMPLIMIENTO"/>
        <s v="ACCION POPULAR "/>
        <s v="NULIDAD SIMPLE "/>
        <s v="NULIDAD SIMPLE"/>
        <s v="NULIDAD DE ESCRITURA PÚBLICA"/>
        <s v="RESTITUCION DE INMUEBLE ARRENDADO"/>
        <s v="PERTENENCIA"/>
        <s v="EJECUTIVO"/>
        <s v="EJECUTIVO  "/>
        <s v="DESLINDE Y AMOJONAMIENTO"/>
        <s v="REIVINDICATORIO"/>
        <s v="DESLINDE Y AMOJONAMIENTO "/>
        <s v="RESTITUCIÓN DE TENENCIA"/>
        <s v="DIVISORIO"/>
        <s v="EXPROPIACIÓN"/>
        <s v="SUCESORIO (LIQUIDATORIO)"/>
        <s v="PERTENENCIA "/>
        <s v="RECURSO EXTRAORDINARIO DE REVISION"/>
        <s v="ORDINARIO DECLARATIVO"/>
        <s v="DECLARATIVO"/>
        <s v="PENAL"/>
        <s v="PENAL "/>
        <s v="REPARACIÓN DIRECTA"/>
        <s v="NULIDAD Y RESTABLECIMIENTO DEL DERECHO"/>
        <s v="CONTROVERSIA CONTRACTUAL"/>
        <s v="EJECUTIVO "/>
        <m u="1"/>
      </sharedItems>
    </cacheField>
    <cacheField name="Data.FECHA DE PRESENTACION DE DEMANDA" numFmtId="14">
      <sharedItems containsSemiMixedTypes="0" containsNonDate="0" containsDate="1" containsString="0" minDate="1990-02-08T00:00:00" maxDate="2025-01-17T00:00:00" count="381">
        <d v="2021-03-12T00:00:00"/>
        <d v="2022-09-09T00:00:00"/>
        <d v="2010-08-18T00:00:00"/>
        <d v="2016-08-05T00:00:00"/>
        <d v="2020-03-03T00:00:00"/>
        <d v="2024-09-24T00:00:00"/>
        <d v="2001-11-27T00:00:00"/>
        <d v="2001-10-29T00:00:00"/>
        <d v="2001-12-20T00:00:00"/>
        <d v="2003-02-20T00:00:00"/>
        <d v="2003-11-05T00:00:00"/>
        <d v="2003-02-01T00:00:00"/>
        <d v="2004-04-13T00:00:00"/>
        <d v="2005-04-22T00:00:00"/>
        <d v="2006-10-30T00:00:00"/>
        <d v="2006-01-01T00:00:00"/>
        <d v="2008-01-21T00:00:00"/>
        <d v="2008-12-10T00:00:00"/>
        <d v="2009-01-01T00:00:00"/>
        <d v="2009-03-30T00:00:00"/>
        <d v="2010-08-05T00:00:00"/>
        <d v="2010-10-07T00:00:00"/>
        <d v="2010-11-17T00:00:00"/>
        <d v="2010-07-21T00:00:00"/>
        <d v="2010-11-09T00:00:00"/>
        <d v="2011-09-05T00:00:00"/>
        <d v="2011-01-17T00:00:00"/>
        <d v="2011-08-22T00:00:00"/>
        <d v="2012-07-26T00:00:00"/>
        <d v="2011-01-13T00:00:00"/>
        <d v="2013-10-25T00:00:00"/>
        <d v="2013-03-04T00:00:00"/>
        <d v="2014-04-24T00:00:00"/>
        <d v="2015-09-03T00:00:00"/>
        <d v="2015-04-22T00:00:00"/>
        <d v="2015-04-24T00:00:00"/>
        <d v="2016-03-15T00:00:00"/>
        <d v="2011-02-16T00:00:00"/>
        <d v="2016-02-12T00:00:00"/>
        <d v="2016-07-19T00:00:00"/>
        <d v="2003-01-01T00:00:00"/>
        <d v="2017-02-02T00:00:00"/>
        <d v="2017-02-17T00:00:00"/>
        <d v="2017-07-28T00:00:00"/>
        <d v="2017-05-25T00:00:00"/>
        <d v="2017-03-05T00:00:00"/>
        <d v="2017-06-23T00:00:00"/>
        <d v="2021-04-21T00:00:00"/>
        <d v="2021-08-27T00:00:00"/>
        <d v="2021-08-25T00:00:00"/>
        <d v="2021-05-13T00:00:00"/>
        <d v="2014-09-21T00:00:00"/>
        <d v="2021-09-13T00:00:00"/>
        <d v="2021-09-30T00:00:00"/>
        <d v="2021-11-11T00:00:00"/>
        <d v="2021-06-03T00:00:00"/>
        <d v="2019-03-04T00:00:00"/>
        <d v="2014-06-09T00:00:00"/>
        <d v="2018-09-14T00:00:00"/>
        <d v="2019-02-14T00:00:00"/>
        <d v="2019-03-19T00:00:00"/>
        <d v="2018-06-25T00:00:00"/>
        <d v="2019-05-10T00:00:00"/>
        <d v="2019-07-12T00:00:00"/>
        <d v="2019-07-22T00:00:00"/>
        <d v="2019-10-01T00:00:00"/>
        <d v="2019-10-08T00:00:00"/>
        <d v="2020-01-27T00:00:00"/>
        <d v="2022-05-24T00:00:00"/>
        <d v="2013-12-18T00:00:00"/>
        <d v="2021-02-09T00:00:00"/>
        <d v="2019-05-24T00:00:00"/>
        <d v="2019-05-27T00:00:00"/>
        <d v="2022-04-26T00:00:00"/>
        <d v="2018-03-07T00:00:00"/>
        <d v="2018-11-27T00:00:00"/>
        <d v="2017-07-24T00:00:00"/>
        <d v="2019-07-08T00:00:00"/>
        <d v="2022-07-18T00:00:00"/>
        <d v="2022-08-30T00:00:00"/>
        <d v="2022-06-24T00:00:00"/>
        <d v="2023-01-25T00:00:00"/>
        <d v="2023-06-15T00:00:00"/>
        <d v="2023-04-13T00:00:00"/>
        <d v="2023-10-13T00:00:00"/>
        <d v="2023-05-10T00:00:00"/>
        <d v="2023-11-20T00:00:00"/>
        <d v="2023-11-27T00:00:00"/>
        <d v="2023-05-07T00:00:00"/>
        <d v="2024-01-19T00:00:00"/>
        <d v="2023-05-30T00:00:00"/>
        <d v="2023-11-23T00:00:00"/>
        <d v="2024-02-16T00:00:00"/>
        <d v="2013-07-24T00:00:00"/>
        <d v="2024-01-03T00:00:00"/>
        <d v="2024-03-20T00:00:00"/>
        <d v="2024-05-06T00:00:00"/>
        <d v="2024-06-19T00:00:00"/>
        <d v="2024-04-18T00:00:00"/>
        <d v="2011-06-21T00:00:00"/>
        <d v="2006-01-14T00:00:00"/>
        <d v="2024-08-28T00:00:00"/>
        <d v="2024-09-19T00:00:00"/>
        <d v="2024-09-20T00:00:00"/>
        <d v="2024-09-26T00:00:00"/>
        <d v="2024-12-13T00:00:00"/>
        <d v="2024-10-12T00:00:00"/>
        <d v="2025-01-16T00:00:00"/>
        <d v="2019-11-12T00:00:00"/>
        <d v="2017-01-16T00:00:00"/>
        <d v="2017-10-31T00:00:00"/>
        <d v="2015-09-15T00:00:00"/>
        <d v="2019-11-07T00:00:00"/>
        <d v="2017-12-14T00:00:00"/>
        <d v="2019-07-18T00:00:00"/>
        <d v="2012-08-30T00:00:00"/>
        <d v="2010-09-10T00:00:00"/>
        <d v="2009-08-04T00:00:00"/>
        <d v="2021-04-10T00:00:00"/>
        <d v="2009-10-02T00:00:00"/>
        <d v="2013-09-10T00:00:00"/>
        <d v="2015-05-24T00:00:00"/>
        <d v="2014-05-16T00:00:00"/>
        <d v="2013-07-22T00:00:00"/>
        <d v="2009-08-06T00:00:00"/>
        <d v="2016-10-06T00:00:00"/>
        <d v="2009-12-18T00:00:00"/>
        <d v="2010-01-15T00:00:00"/>
        <d v="2020-07-22T00:00:00"/>
        <d v="2016-06-18T00:00:00"/>
        <d v="2011-06-13T00:00:00"/>
        <d v="2017-09-18T00:00:00"/>
        <d v="2011-12-21T00:00:00"/>
        <d v="2023-09-05T00:00:00"/>
        <d v="2022-11-01T00:00:00"/>
        <d v="2015-10-29T00:00:00"/>
        <d v="2015-10-09T00:00:00"/>
        <d v="2021-10-15T00:00:00"/>
        <d v="2023-11-13T00:00:00"/>
        <d v="2021-02-10T00:00:00"/>
        <d v="2015-06-16T00:00:00"/>
        <d v="2015-06-15T00:00:00"/>
        <d v="2007-12-02T00:00:00"/>
        <d v="2008-01-09T00:00:00"/>
        <d v="2023-05-16T00:00:00"/>
        <d v="2009-10-26T00:00:00"/>
        <d v="2016-03-06T00:00:00"/>
        <d v="2023-07-21T00:00:00"/>
        <d v="2023-08-30T00:00:00"/>
        <d v="2022-09-14T00:00:00"/>
        <d v="2020-11-12T00:00:00"/>
        <d v="2020-07-02T00:00:00"/>
        <d v="2005-12-02T00:00:00"/>
        <d v="1990-09-04T00:00:00"/>
        <d v="2015-11-23T00:00:00"/>
        <d v="1998-01-01T00:00:00"/>
        <d v="2001-01-31T00:00:00"/>
        <d v="2018-12-18T00:00:00"/>
        <d v="2007-02-22T00:00:00"/>
        <d v="2022-10-08T00:00:00"/>
        <d v="2023-03-03T00:00:00"/>
        <d v="2006-04-03T00:00:00"/>
        <d v="2019-12-05T00:00:00"/>
        <d v="2021-10-08T00:00:00"/>
        <d v="2022-12-04T00:00:00"/>
        <d v="2008-01-29T00:00:00"/>
        <d v="2007-08-10T00:00:00"/>
        <d v="2022-12-12T00:00:00"/>
        <d v="2021-10-28T00:00:00"/>
        <d v="2018-08-21T00:00:00"/>
        <d v="2007-12-17T00:00:00"/>
        <d v="2002-11-15T00:00:00"/>
        <d v="2007-07-16T00:00:00"/>
        <d v="2017-04-25T00:00:00"/>
        <d v="2018-08-03T00:00:00"/>
        <d v="2023-11-01T00:00:00"/>
        <d v="2016-04-12T00:00:00"/>
        <d v="2011-04-14T00:00:00"/>
        <d v="2009-11-03T00:00:00"/>
        <d v="2024-02-26T00:00:00"/>
        <d v="2022-01-11T00:00:00"/>
        <d v="2010-08-23T00:00:00"/>
        <d v="2019-11-26T00:00:00"/>
        <d v="2016-07-22T00:00:00"/>
        <d v="2018-09-04T00:00:00"/>
        <d v="2024-03-04T00:00:00"/>
        <d v="2016-08-31T00:00:00"/>
        <d v="2016-05-29T00:00:00"/>
        <d v="2020-12-02T00:00:00"/>
        <d v="2016-11-16T00:00:00"/>
        <d v="2015-08-04T00:00:00"/>
        <d v="2018-08-31T00:00:00"/>
        <d v="2021-09-08T00:00:00"/>
        <d v="2007-07-24T00:00:00"/>
        <d v="2021-09-28T00:00:00"/>
        <d v="2014-02-08T00:00:00"/>
        <d v="2020-06-07T00:00:00"/>
        <d v="2011-04-26T00:00:00"/>
        <d v="2022-02-05T00:00:00"/>
        <d v="2012-12-18T00:00:00"/>
        <d v="2014-05-20T00:00:00"/>
        <d v="2017-06-28T00:00:00"/>
        <d v="2019-02-13T00:00:00"/>
        <d v="2019-07-26T00:00:00"/>
        <d v="1990-02-08T00:00:00"/>
        <d v="2021-01-25T00:00:00"/>
        <d v="2015-05-04T00:00:00"/>
        <d v="2015-01-01T00:00:00"/>
        <d v="2023-05-05T00:00:00"/>
        <d v="2023-05-15T00:00:00"/>
        <d v="2010-10-05T00:00:00"/>
        <d v="2015-09-25T00:00:00"/>
        <d v="2015-05-25T00:00:00"/>
        <d v="2016-07-13T00:00:00"/>
        <d v="2021-05-07T00:00:00"/>
        <d v="2020-09-14T00:00:00"/>
        <d v="2021-06-18T00:00:00"/>
        <d v="2022-01-07T00:00:00"/>
        <d v="2014-09-24T00:00:00"/>
        <d v="2022-09-29T00:00:00"/>
        <d v="2015-12-16T00:00:00"/>
        <d v="2015-03-26T00:00:00"/>
        <d v="2019-05-31T00:00:00"/>
        <d v="2022-06-10T00:00:00"/>
        <d v="2019-03-05T00:00:00"/>
        <d v="2023-02-03T00:00:00"/>
        <d v="2016-11-15T00:00:00"/>
        <d v="2021-10-05T00:00:00"/>
        <d v="2016-08-11T00:00:00"/>
        <d v="2023-01-19T00:00:00"/>
        <d v="2016-09-26T00:00:00"/>
        <d v="2016-08-30T00:00:00"/>
        <d v="2016-11-04T00:00:00"/>
        <d v="2022-07-26T00:00:00"/>
        <d v="2018-01-03T00:00:00"/>
        <d v="2019-09-16T00:00:00"/>
        <d v="2018-05-18T00:00:00"/>
        <d v="2021-04-20T00:00:00"/>
        <d v="2021-10-20T00:00:00"/>
        <d v="1992-12-02T00:00:00"/>
        <d v="2018-08-10T00:00:00"/>
        <d v="2022-02-08T00:00:00"/>
        <d v="2018-10-10T00:00:00"/>
        <d v="2019-11-14T00:00:00"/>
        <d v="2019-02-28T00:00:00"/>
        <d v="2019-03-14T00:00:00"/>
        <d v="2019-08-21T00:00:00"/>
        <d v="2021-08-31T00:00:00"/>
        <d v="2019-08-08T00:00:00"/>
        <d v="2019-09-04T00:00:00"/>
        <d v="2021-07-15T00:00:00"/>
        <d v="2019-08-26T00:00:00"/>
        <d v="2019-05-29T00:00:00"/>
        <d v="2022-01-13T00:00:00"/>
        <d v="2024-01-18T00:00:00"/>
        <d v="2022-08-31T00:00:00"/>
        <d v="2023-04-21T00:00:00"/>
        <d v="2024-12-04T00:00:00"/>
        <d v="2024-04-25T00:00:00"/>
        <d v="2024-04-23T00:00:00"/>
        <d v="2023-01-15T00:00:00"/>
        <d v="2005-05-15T00:00:00"/>
        <d v="2024-04-06T00:00:00"/>
        <d v="2022-07-27T00:00:00"/>
        <d v="2022-11-22T00:00:00"/>
        <d v="2008-09-17T00:00:00"/>
        <d v="2022-09-03T00:00:00"/>
        <d v="2021-05-31T00:00:00"/>
        <d v="2007-11-20T00:00:00"/>
        <d v="2015-07-03T00:00:00"/>
        <d v="2014-09-10T00:00:00"/>
        <d v="2016-10-01T00:00:00"/>
        <d v="2016-09-12T00:00:00"/>
        <d v="2016-01-20T00:00:00"/>
        <d v="2014-09-03T00:00:00"/>
        <d v="2019-07-24T00:00:00"/>
        <d v="2014-01-09T00:00:00"/>
        <d v="2016-09-15T00:00:00"/>
        <d v="2023-03-09T00:00:00"/>
        <d v="2010-02-26T00:00:00"/>
        <d v="2014-03-07T00:00:00"/>
        <d v="2015-07-28T00:00:00"/>
        <d v="2014-01-14T00:00:00"/>
        <d v="2018-12-19T00:00:00"/>
        <d v="2017-08-27T00:00:00"/>
        <d v="2013-01-02T00:00:00"/>
        <d v="2013-12-19T00:00:00"/>
        <d v="2019-04-21T00:00:00"/>
        <d v="2018-07-16T00:00:00"/>
        <d v="2020-03-13T00:00:00"/>
        <d v="2014-01-21T00:00:00"/>
        <d v="2017-12-07T00:00:00"/>
        <d v="2020-11-16T00:00:00"/>
        <d v="2022-06-17T00:00:00"/>
        <d v="2018-01-01T00:00:00"/>
        <d v="2018-08-17T00:00:00"/>
        <d v="2020-11-03T00:00:00"/>
        <d v="2020-04-21T00:00:00"/>
        <d v="2021-12-12T00:00:00"/>
        <d v="2021-04-11T00:00:00"/>
        <d v="2022-02-25T00:00:00"/>
        <d v="2022-10-24T00:00:00"/>
        <d v="2022-04-21T00:00:00"/>
        <d v="2017-12-11T00:00:00"/>
        <d v="2024-08-03T00:00:00"/>
        <d v="2020-09-23T00:00:00"/>
        <d v="2015-03-13T00:00:00"/>
        <d v="2022-10-13T00:00:00"/>
        <d v="2024-04-12T00:00:00"/>
        <d v="2024-11-12T00:00:00"/>
        <d v="2023-04-07T00:00:00"/>
        <d v="2024-02-07T00:00:00"/>
        <d v="2013-11-20T00:00:00"/>
        <d v="2013-06-13T00:00:00"/>
        <d v="2005-08-16T00:00:00"/>
        <d v="2005-05-30T00:00:00"/>
        <d v="2006-09-25T00:00:00"/>
        <d v="2006-11-07T00:00:00"/>
        <d v="2017-08-23T00:00:00"/>
        <d v="2013-05-05T00:00:00"/>
        <d v="2018-02-02T00:00:00"/>
        <d v="2012-09-20T00:00:00"/>
        <d v="2007-05-02T00:00:00"/>
        <d v="2015-08-24T00:00:00"/>
        <d v="2015-10-07T00:00:00"/>
        <d v="2019-08-10T00:00:00"/>
        <d v="2023-09-18T00:00:00"/>
        <d v="2013-09-23T00:00:00"/>
        <d v="2020-11-17T00:00:00"/>
        <d v="2022-12-16T00:00:00"/>
        <d v="2023-01-10T00:00:00"/>
        <d v="2020-10-21T00:00:00"/>
        <d v="2020-07-24T00:00:00"/>
        <d v="2015-08-19T00:00:00"/>
        <d v="2019-02-01T00:00:00"/>
        <d v="2020-01-31T00:00:00"/>
        <d v="2018-07-31T00:00:00"/>
        <d v="2005-09-30T00:00:00"/>
        <d v="2006-05-12T00:00:00"/>
        <d v="2018-08-16T00:00:00"/>
        <d v="2013-10-21T00:00:00"/>
        <d v="2010-07-01T00:00:00"/>
        <d v="2020-02-03T00:00:00"/>
        <d v="2018-09-26T00:00:00"/>
        <d v="2022-03-05T00:00:00"/>
        <d v="2022-06-14T00:00:00"/>
        <d v="2016-11-11T00:00:00"/>
        <d v="2019-12-19T00:00:00"/>
        <d v="2016-12-16T00:00:00"/>
        <d v="2017-09-22T00:00:00"/>
        <d v="2017-11-20T00:00:00"/>
        <d v="2018-08-29T00:00:00"/>
        <d v="2006-09-07T00:00:00"/>
        <d v="2018-09-17T00:00:00"/>
        <d v="2020-01-29T00:00:00"/>
        <d v="2019-10-15T00:00:00"/>
        <d v="2020-01-13T00:00:00"/>
        <d v="2020-02-28T00:00:00"/>
        <d v="2019-10-22T00:00:00"/>
        <d v="2006-11-17T00:00:00"/>
        <d v="2021-01-27T00:00:00"/>
        <d v="2021-12-02T00:00:00"/>
        <d v="2021-02-23T00:00:00"/>
        <d v="2021-04-16T00:00:00"/>
        <d v="2021-08-13T00:00:00"/>
        <d v="2021-10-12T00:00:00"/>
        <d v="2022-04-27T00:00:00"/>
        <d v="2017-10-20T00:00:00"/>
        <d v="2007-05-08T00:00:00"/>
        <d v="2013-07-23T00:00:00"/>
        <d v="2014-12-01T00:00:00"/>
        <d v="2015-02-19T00:00:00"/>
        <d v="2017-05-02T00:00:00"/>
        <d v="2018-12-05T00:00:00"/>
        <d v="2014-07-16T00:00:00"/>
        <d v="2022-05-08T00:00:00"/>
        <d v="2023-07-04T00:00:00"/>
        <d v="2023-12-18T00:00:00"/>
        <d v="2023-04-10T00:00:00"/>
        <d v="2023-09-26T00:00:00"/>
        <d v="2024-10-23T00:00:00"/>
      </sharedItems>
      <fieldGroup par="13"/>
    </cacheField>
    <cacheField name="Data.ABOGADO A CARGO " numFmtId="0">
      <sharedItems containsBlank="1" count="9">
        <s v="GENARO SALAZAR GONZALEZ"/>
        <s v="JOAN SEBASTIAN MARQUEZ ROJAS"/>
        <s v="MARIA FERNANDA MADIEDO SANCHEZ"/>
        <s v="SHIRLEY AVELLANEDA PEÑA"/>
        <s v="MAGDA BOLENA ROJAS BALLESTEROS"/>
        <s v="MARIA FERNANDA CRUZ"/>
        <s v="JAMMER SAUL HERNANDEZ"/>
        <s v="JOSE AGUSTÍN AVENDAÑO"/>
        <m u="1"/>
      </sharedItems>
    </cacheField>
    <cacheField name="Data.TIPO DE REPRESENTACION _x000a_DIRECTA - INDIRECTA " numFmtId="0">
      <sharedItems containsBlank="1" count="5">
        <s v="DIRECTA "/>
        <s v="INDIRECTA"/>
        <s v="INDIRECTA "/>
        <s v="DIRECTA"/>
        <m u="1"/>
      </sharedItems>
    </cacheField>
    <cacheField name="Data.TIPO DE ZONA (CESIÓN, FISCALES, DOTACIONAL, PREDIO PÚBLICO DE NO CESIÓN, IN" numFmtId="0">
      <sharedItems containsBlank="1"/>
    </cacheField>
    <cacheField name="Data.LOCALIDAD" numFmtId="0">
      <sharedItems containsBlank="1" count="42">
        <s v="SAN CRISTOBAL"/>
        <s v="CHAPINERO"/>
        <s v="N/A"/>
        <s v="KENNEDY"/>
        <s v="SUBA"/>
        <s v="CIUDAD BOLIVAR"/>
        <s v="SANTAFE"/>
        <s v="BARRIOS UNIDOS "/>
        <s v="RAFAEL URIBE"/>
        <s v="BOSA"/>
        <s v="TEUSAQUILLO"/>
        <s v="FONTIBON"/>
        <s v="MARTIRES"/>
        <s v=" SUBA "/>
        <s v=" USAQUEN "/>
        <s v="ENGATIVA"/>
        <s v=" KENNEDY "/>
        <s v="CANDELARIA"/>
        <s v="BARRIOS UNIDOS"/>
        <s v=" TEUSAQUILLO "/>
        <s v="NA"/>
        <s v=" CHAPINERO "/>
        <s v="PUENTE ARANDA"/>
        <s v="ANTONIO NARIÑO"/>
        <s v=" PUENTE ARANDA "/>
        <s v="KENNEDY "/>
        <s v="CHAPINERO "/>
        <s v="TUNJUELITO"/>
        <s v="PUENTE ARANDA "/>
        <s v="USAQUEN"/>
        <s v=" SOACHA"/>
        <s v="MELGAR"/>
        <s v="CAJICA"/>
        <s v="TENJO"/>
        <s v=" SUESCA "/>
        <s v="PENDIENTE POR ESTABLECER"/>
        <s v="USME"/>
        <s v="FUSAGASUGA"/>
        <m/>
        <s v="SANTA FE"/>
        <s v=" NA "/>
        <s v="  N/A  "/>
      </sharedItems>
    </cacheField>
    <cacheField name="Data.METROS CUADRADOS" numFmtId="0">
      <sharedItems containsBlank="1" containsMixedTypes="1" containsNumber="1" minValue="32.06" maxValue="1235242"/>
    </cacheField>
    <cacheField name="Data.EN CURSO - CON FALLO" numFmtId="0">
      <sharedItems containsBlank="1" containsMixedTypes="1" containsNumber="1" containsInteger="1" minValue="2" maxValue="2" count="15">
        <s v="EN CURSO"/>
        <s v="CON FALLO"/>
        <s v="EN CURSO "/>
        <s v=" CON FALLO "/>
        <s v=" EN CURSO "/>
        <m/>
        <s v="CON FALLO "/>
        <s v="CURSO"/>
        <n v="2"/>
        <s v="CON FALLO  "/>
        <s v="  EN CURSO  "/>
        <s v="EN CURSO  "/>
        <s v="EN FALLO"/>
        <s v=" EN CURSO  "/>
        <s v=" N/A "/>
      </sharedItems>
    </cacheField>
    <cacheField name="Meses (Data.FECHA DE PRESENTACION DE DEMANDA)" numFmtId="0" databaseField="0">
      <fieldGroup base="4">
        <rangePr groupBy="months" startDate="1990-02-08T00:00:00" endDate="2025-01-17T00:00:00"/>
        <groupItems count="14">
          <s v="&lt;8/02/1990"/>
          <s v="ene"/>
          <s v="feb"/>
          <s v="mar"/>
          <s v="abr"/>
          <s v="may"/>
          <s v="jun"/>
          <s v="jul"/>
          <s v="ago"/>
          <s v="sep"/>
          <s v="oct"/>
          <s v="nov"/>
          <s v="dic"/>
          <s v="&gt;17/01/2025"/>
        </groupItems>
      </fieldGroup>
    </cacheField>
    <cacheField name="Trimestres (Data.FECHA DE PRESENTACION DE DEMANDA)" numFmtId="0" databaseField="0">
      <fieldGroup base="4">
        <rangePr groupBy="quarters" startDate="1990-02-08T00:00:00" endDate="2025-01-17T00:00:00"/>
        <groupItems count="6">
          <s v="&lt;8/02/1990"/>
          <s v="Trim.1"/>
          <s v="Trim.2"/>
          <s v="Trim.3"/>
          <s v="Trim.4"/>
          <s v="&gt;17/01/2025"/>
        </groupItems>
      </fieldGroup>
    </cacheField>
    <cacheField name="Años (Data.FECHA DE PRESENTACION DE DEMANDA)" numFmtId="0" databaseField="0">
      <fieldGroup base="4">
        <rangePr groupBy="years" startDate="1990-02-08T00:00:00" endDate="2025-01-17T00:00:00"/>
        <groupItems count="38">
          <s v="&lt;8/02/1990"/>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17/01/2025"/>
        </groupItems>
      </fieldGroup>
    </cacheField>
  </cacheFields>
  <extLst>
    <ext xmlns:x14="http://schemas.microsoft.com/office/spreadsheetml/2009/9/main" uri="{725AE2AE-9491-48be-B2B4-4EB974FC3084}">
      <x14:pivotCacheDefinition pivotCacheId="1633851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Alberto Socarras Narvaez" refreshedDate="45708.452534606484" createdVersion="8" refreshedVersion="6" minRefreshableVersion="3" recordCount="8" xr:uid="{A1158005-21BC-44DD-9304-FBA61644537A}">
  <cacheSource type="worksheet">
    <worksheetSource name="Control"/>
  </cacheSource>
  <cacheFields count="12">
    <cacheField name="ID" numFmtId="0">
      <sharedItems containsSemiMixedTypes="0" containsString="0" containsNumber="1" containsInteger="1" minValue="164016" maxValue="715785"/>
    </cacheField>
    <cacheField name="ABOGADO" numFmtId="0">
      <sharedItems count="8">
        <s v="JOAN SEBASTIAN MARQUEZ ROJAS"/>
        <s v="MARIA FERNANDA CRUZ"/>
        <s v="JOSE AGUSTÍN AVENDAÑO"/>
        <s v="JAMMER SAUL HERNANDEZ"/>
        <s v="SHIRLEY AVELLANEDA PEÑA"/>
        <s v="GENARO SALAZAR GONZALEZ"/>
        <s v="MAGDA BOLENA ROJAS BALLESTEROS"/>
        <s v="MARIA FERNANDA MADIEDO SANCHEZ"/>
      </sharedItems>
    </cacheField>
    <cacheField name="FECHA" numFmtId="14">
      <sharedItems containsSemiMixedTypes="0" containsNonDate="0" containsDate="1" containsString="0" minDate="2025-02-13T00:00:00" maxDate="2025-02-14T00:00:00"/>
    </cacheField>
    <cacheField name="AUDIENCIAS" numFmtId="0">
      <sharedItems containsString="0" containsBlank="1" containsNumber="1" containsInteger="1" minValue="1" maxValue="1"/>
    </cacheField>
    <cacheField name="TUTELA" numFmtId="0">
      <sharedItems containsString="0" containsBlank="1" containsNumber="1" containsInteger="1" minValue="1" maxValue="1"/>
    </cacheField>
    <cacheField name="REUNIONES DE SEGUIMIENTO" numFmtId="0">
      <sharedItems containsString="0" containsBlank="1" containsNumber="1" containsInteger="1" minValue="1" maxValue="1"/>
    </cacheField>
    <cacheField name="IMPULSOS PROCESALES" numFmtId="0">
      <sharedItems containsString="0" containsBlank="1" containsNumber="1" containsInteger="1" minValue="1" maxValue="1"/>
    </cacheField>
    <cacheField name="CONCILIACIONES" numFmtId="0">
      <sharedItems containsString="0" containsBlank="1" containsNumber="1" containsInteger="1" minValue="1" maxValue="1"/>
    </cacheField>
    <cacheField name="DEMANDAS CONTESTADAS" numFmtId="0">
      <sharedItems containsString="0" containsBlank="1" containsNumber="1" containsInteger="1" minValue="1" maxValue="1"/>
    </cacheField>
    <cacheField name="SENTENCIAS" numFmtId="0">
      <sharedItems containsString="0" containsBlank="1" containsNumber="1" containsInteger="1" minValue="1" maxValue="1"/>
    </cacheField>
    <cacheField name="REQUERIMIENTOS Y/ O SOLICIITUDES DE OTRAS DEPENCIAS" numFmtId="0">
      <sharedItems containsString="0" containsBlank="1" containsNumber="1" containsInteger="1" minValue="1" maxValue="1"/>
    </cacheField>
    <cacheField name="TOTAL PROCEDIMIENTOS"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8">
  <r>
    <s v="Tabla1"/>
    <n v="713735"/>
    <x v="0"/>
    <x v="0"/>
    <x v="0"/>
    <x v="0"/>
    <x v="0"/>
    <s v="N/A"/>
    <x v="0"/>
    <s v="N/A"/>
    <x v="0"/>
  </r>
  <r>
    <s v="Tabla1"/>
    <n v="722198"/>
    <x v="0"/>
    <x v="1"/>
    <x v="1"/>
    <x v="0"/>
    <x v="0"/>
    <s v="LABORAL"/>
    <x v="1"/>
    <s v="N/A"/>
    <x v="1"/>
  </r>
  <r>
    <s v="Tabla1"/>
    <n v="336186"/>
    <x v="0"/>
    <x v="0"/>
    <x v="2"/>
    <x v="0"/>
    <x v="0"/>
    <s v="N/A"/>
    <x v="2"/>
    <s v="NA"/>
    <x v="2"/>
  </r>
  <r>
    <s v="Tabla1"/>
    <n v="540276"/>
    <x v="0"/>
    <x v="0"/>
    <x v="3"/>
    <x v="0"/>
    <x v="0"/>
    <s v="N/A"/>
    <x v="2"/>
    <s v="NA"/>
    <x v="1"/>
  </r>
  <r>
    <s v="Tabla1"/>
    <s v="677535"/>
    <x v="0"/>
    <x v="0"/>
    <x v="4"/>
    <x v="0"/>
    <x v="0"/>
    <s v="N/A"/>
    <x v="2"/>
    <s v="N/A"/>
    <x v="1"/>
  </r>
  <r>
    <s v="Tabla2"/>
    <n v="16170"/>
    <x v="1"/>
    <x v="2"/>
    <x v="5"/>
    <x v="1"/>
    <x v="0"/>
    <s v="N/A"/>
    <x v="2"/>
    <s v="N/A"/>
    <x v="0"/>
  </r>
  <r>
    <s v="Tabla3"/>
    <n v="31038"/>
    <x v="2"/>
    <x v="3"/>
    <x v="6"/>
    <x v="2"/>
    <x v="1"/>
    <s v="BIENES DE USO PUBLICO"/>
    <x v="0"/>
    <n v="10445"/>
    <x v="0"/>
  </r>
  <r>
    <s v="Tabla3"/>
    <n v="167094"/>
    <x v="2"/>
    <x v="4"/>
    <x v="7"/>
    <x v="2"/>
    <x v="1"/>
    <s v="VIAS PEATONALES - VIAS VEHICULARES - ZONA VERDE - ZONA COMUNAL"/>
    <x v="3"/>
    <n v="2739"/>
    <x v="1"/>
  </r>
  <r>
    <s v="Tabla3"/>
    <n v="10886"/>
    <x v="2"/>
    <x v="4"/>
    <x v="8"/>
    <x v="3"/>
    <x v="1"/>
    <s v="RONDA - ZAMPA"/>
    <x v="4"/>
    <s v="NA"/>
    <x v="1"/>
  </r>
  <r>
    <s v="Tabla3"/>
    <n v="12622"/>
    <x v="2"/>
    <x v="4"/>
    <x v="9"/>
    <x v="2"/>
    <x v="1"/>
    <s v="REMOCION EN MASA"/>
    <x v="5"/>
    <n v="10465"/>
    <x v="1"/>
  </r>
  <r>
    <s v="Tabla3"/>
    <n v="54949"/>
    <x v="2"/>
    <x v="4"/>
    <x v="10"/>
    <x v="3"/>
    <x v="1"/>
    <s v="CESION"/>
    <x v="4"/>
    <n v="544.55999999999995"/>
    <x v="1"/>
  </r>
  <r>
    <s v="Tabla3"/>
    <n v="10886"/>
    <x v="2"/>
    <x v="4"/>
    <x v="11"/>
    <x v="3"/>
    <x v="1"/>
    <s v="BIEN DE USO PUBLICO DE NO CESION"/>
    <x v="6"/>
    <s v="NA"/>
    <x v="1"/>
  </r>
  <r>
    <s v="Tabla3"/>
    <n v="52051"/>
    <x v="2"/>
    <x v="4"/>
    <x v="12"/>
    <x v="2"/>
    <x v="1"/>
    <s v="ZONA DE CESION"/>
    <x v="3"/>
    <n v="1516.82"/>
    <x v="1"/>
  </r>
  <r>
    <s v="Tabla3"/>
    <n v="51123"/>
    <x v="2"/>
    <x v="4"/>
    <x v="13"/>
    <x v="2"/>
    <x v="1"/>
    <s v="CERRO ORIENTAL"/>
    <x v="1"/>
    <s v="NA"/>
    <x v="1"/>
  </r>
  <r>
    <s v="Tabla3"/>
    <n v="188832"/>
    <x v="2"/>
    <x v="4"/>
    <x v="14"/>
    <x v="3"/>
    <x v="1"/>
    <s v="VERDE"/>
    <x v="7"/>
    <n v="2380.39"/>
    <x v="1"/>
  </r>
  <r>
    <s v="Tabla3"/>
    <n v="167054"/>
    <x v="2"/>
    <x v="4"/>
    <x v="15"/>
    <x v="2"/>
    <x v="1"/>
    <s v="ZONA DE CESION"/>
    <x v="3"/>
    <n v="6033"/>
    <x v="1"/>
  </r>
  <r>
    <s v="Tabla3"/>
    <n v="249292"/>
    <x v="2"/>
    <x v="4"/>
    <x v="16"/>
    <x v="2"/>
    <x v="1"/>
    <s v="ZONA DE CESION"/>
    <x v="8"/>
    <n v="48728.75"/>
    <x v="1"/>
  </r>
  <r>
    <s v="Tabla3"/>
    <n v="266228"/>
    <x v="2"/>
    <x v="4"/>
    <x v="17"/>
    <x v="4"/>
    <x v="1"/>
    <s v="CESION - LOTE INSTITUCIONAL"/>
    <x v="3"/>
    <n v="4903"/>
    <x v="1"/>
  </r>
  <r>
    <s v="Tabla3"/>
    <n v="267029"/>
    <x v="2"/>
    <x v="4"/>
    <x v="18"/>
    <x v="2"/>
    <x v="1"/>
    <s v="ZONA DE CESION"/>
    <x v="3"/>
    <n v="22321.75"/>
    <x v="1"/>
  </r>
  <r>
    <s v="Tabla3"/>
    <n v="271268"/>
    <x v="2"/>
    <x v="4"/>
    <x v="19"/>
    <x v="3"/>
    <x v="1"/>
    <s v="CESION"/>
    <x v="4"/>
    <n v="647000"/>
    <x v="0"/>
  </r>
  <r>
    <s v="Tabla3"/>
    <n v="285457"/>
    <x v="2"/>
    <x v="4"/>
    <x v="18"/>
    <x v="2"/>
    <x v="1"/>
    <s v="VIAS - ANDENES"/>
    <x v="3"/>
    <n v="77857.53"/>
    <x v="1"/>
  </r>
  <r>
    <s v="Tabla3"/>
    <n v="324636"/>
    <x v="2"/>
    <x v="4"/>
    <x v="20"/>
    <x v="3"/>
    <x v="1"/>
    <s v="BIENES DE USO PUBLICO"/>
    <x v="9"/>
    <n v="131"/>
    <x v="1"/>
  </r>
  <r>
    <s v="Tabla3"/>
    <n v="332456"/>
    <x v="2"/>
    <x v="4"/>
    <x v="21"/>
    <x v="2"/>
    <x v="1"/>
    <s v="VIA VEHICULAR "/>
    <x v="10"/>
    <n v="2605.63"/>
    <x v="1"/>
  </r>
  <r>
    <s v="Tabla3"/>
    <n v="334871"/>
    <x v="2"/>
    <x v="4"/>
    <x v="22"/>
    <x v="3"/>
    <x v="1"/>
    <s v="DOTACIONAL"/>
    <x v="11"/>
    <s v="NA"/>
    <x v="1"/>
  </r>
  <r>
    <s v="Tabla3"/>
    <n v="316655"/>
    <x v="2"/>
    <x v="4"/>
    <x v="23"/>
    <x v="3"/>
    <x v="1"/>
    <s v="CESION"/>
    <x v="12"/>
    <n v="400"/>
    <x v="1"/>
  </r>
  <r>
    <s v="Tabla3"/>
    <n v="33157"/>
    <x v="2"/>
    <x v="4"/>
    <x v="24"/>
    <x v="2"/>
    <x v="1"/>
    <s v="ZONA DE CESION"/>
    <x v="3"/>
    <s v="NA"/>
    <x v="1"/>
  </r>
  <r>
    <s v="Tabla3"/>
    <n v="352556"/>
    <x v="2"/>
    <x v="4"/>
    <x v="25"/>
    <x v="2"/>
    <x v="1"/>
    <s v="ZONA DE CESION"/>
    <x v="13"/>
    <s v=" 3.182,00 "/>
    <x v="1"/>
  </r>
  <r>
    <s v="Tabla3"/>
    <n v="351749"/>
    <x v="2"/>
    <x v="4"/>
    <x v="26"/>
    <x v="2"/>
    <x v="1"/>
    <s v="BIEN DE USO PUBLICO DE NO CESION"/>
    <x v="3"/>
    <n v="1311"/>
    <x v="1"/>
  </r>
  <r>
    <s v="Tabla3"/>
    <n v="359511"/>
    <x v="2"/>
    <x v="4"/>
    <x v="27"/>
    <x v="2"/>
    <x v="1"/>
    <s v=" BIEN DE USO PUBLICO DE NO CESION "/>
    <x v="14"/>
    <s v=" NA "/>
    <x v="1"/>
  </r>
  <r>
    <s v="Tabla3"/>
    <n v="382225"/>
    <x v="2"/>
    <x v="5"/>
    <x v="28"/>
    <x v="2"/>
    <x v="1"/>
    <s v="CESION"/>
    <x v="8"/>
    <s v="NA"/>
    <x v="1"/>
  </r>
  <r>
    <s v="Tabla3"/>
    <n v="346341"/>
    <x v="2"/>
    <x v="4"/>
    <x v="29"/>
    <x v="2"/>
    <x v="1"/>
    <s v="CESION"/>
    <x v="4"/>
    <n v="1420"/>
    <x v="1"/>
  </r>
  <r>
    <s v="Tabla3"/>
    <n v="430013"/>
    <x v="2"/>
    <x v="4"/>
    <x v="30"/>
    <x v="2"/>
    <x v="1"/>
    <s v="CESION"/>
    <x v="1"/>
    <n v="880"/>
    <x v="1"/>
  </r>
  <r>
    <s v="Tabla3"/>
    <n v="417192"/>
    <x v="2"/>
    <x v="4"/>
    <x v="31"/>
    <x v="2"/>
    <x v="1"/>
    <s v="CESION"/>
    <x v="1"/>
    <n v="8061"/>
    <x v="1"/>
  </r>
  <r>
    <s v="Tabla3"/>
    <n v="454500"/>
    <x v="2"/>
    <x v="4"/>
    <x v="32"/>
    <x v="2"/>
    <x v="1"/>
    <s v="BIEN DE USO PUBLICO DE NO CESION"/>
    <x v="4"/>
    <n v="2647.58"/>
    <x v="1"/>
  </r>
  <r>
    <s v="Tabla3"/>
    <n v="493772"/>
    <x v="2"/>
    <x v="4"/>
    <x v="33"/>
    <x v="2"/>
    <x v="1"/>
    <s v=" CESION "/>
    <x v="13"/>
    <s v=" NA "/>
    <x v="0"/>
  </r>
  <r>
    <s v="Tabla3"/>
    <n v="492279"/>
    <x v="2"/>
    <x v="4"/>
    <x v="34"/>
    <x v="3"/>
    <x v="1"/>
    <s v="CESION"/>
    <x v="15"/>
    <n v="600"/>
    <x v="1"/>
  </r>
  <r>
    <s v="Tabla3"/>
    <n v="498496"/>
    <x v="2"/>
    <x v="4"/>
    <x v="35"/>
    <x v="2"/>
    <x v="1"/>
    <s v="ZONA DE CESION"/>
    <x v="16"/>
    <s v=" 5.084,00 "/>
    <x v="1"/>
  </r>
  <r>
    <s v="Tabla3"/>
    <n v="526651"/>
    <x v="2"/>
    <x v="4"/>
    <x v="36"/>
    <x v="3"/>
    <x v="1"/>
    <s v="BIEN DE USO PUBLICO DE NO CESION"/>
    <x v="15"/>
    <n v="1842"/>
    <x v="0"/>
  </r>
  <r>
    <s v="Tabla3"/>
    <n v="347551"/>
    <x v="2"/>
    <x v="4"/>
    <x v="37"/>
    <x v="2"/>
    <x v="1"/>
    <s v="ZONA DE CESION"/>
    <x v="14"/>
    <n v="1730"/>
    <x v="0"/>
  </r>
  <r>
    <s v="Tabla3"/>
    <n v="524062"/>
    <x v="2"/>
    <x v="4"/>
    <x v="38"/>
    <x v="3"/>
    <x v="1"/>
    <s v="CESION"/>
    <x v="8"/>
    <s v="NA"/>
    <x v="0"/>
  </r>
  <r>
    <s v="Tabla3"/>
    <n v="535702"/>
    <x v="2"/>
    <x v="4"/>
    <x v="39"/>
    <x v="3"/>
    <x v="2"/>
    <s v="PRIVADOS"/>
    <x v="4"/>
    <s v="NA"/>
    <x v="0"/>
  </r>
  <r>
    <s v="Tabla3"/>
    <n v="20208"/>
    <x v="2"/>
    <x v="4"/>
    <x v="40"/>
    <x v="3"/>
    <x v="2"/>
    <s v="ESPACIO PUBLICO"/>
    <x v="17"/>
    <s v="NA"/>
    <x v="0"/>
  </r>
  <r>
    <s v="Tabla3"/>
    <n v="545764"/>
    <x v="2"/>
    <x v="4"/>
    <x v="41"/>
    <x v="3"/>
    <x v="2"/>
    <s v="NA"/>
    <x v="18"/>
    <s v="NA"/>
    <x v="0"/>
  </r>
  <r>
    <s v="Tabla3"/>
    <n v="545547"/>
    <x v="2"/>
    <x v="4"/>
    <x v="42"/>
    <x v="4"/>
    <x v="1"/>
    <s v="NA"/>
    <x v="19"/>
    <s v="NA"/>
    <x v="3"/>
  </r>
  <r>
    <s v="Tabla3"/>
    <n v="557203"/>
    <x v="2"/>
    <x v="6"/>
    <x v="43"/>
    <x v="2"/>
    <x v="1"/>
    <s v="ZONA DE CESION"/>
    <x v="15"/>
    <s v="5267.87 según Acta de Recibo Número 35 del 25 de septiembre de_x000a_1997"/>
    <x v="0"/>
  </r>
  <r>
    <s v="Tabla3"/>
    <n v="552215"/>
    <x v="2"/>
    <x v="3"/>
    <x v="44"/>
    <x v="2"/>
    <x v="1"/>
    <s v="NA"/>
    <x v="20"/>
    <s v="NA"/>
    <x v="1"/>
  </r>
  <r>
    <s v="Tabla3"/>
    <n v="552770"/>
    <x v="2"/>
    <x v="4"/>
    <x v="45"/>
    <x v="3"/>
    <x v="1"/>
    <s v="NA"/>
    <x v="10"/>
    <s v="NA"/>
    <x v="3"/>
  </r>
  <r>
    <s v="Tabla3"/>
    <n v="555753"/>
    <x v="2"/>
    <x v="4"/>
    <x v="46"/>
    <x v="3"/>
    <x v="1"/>
    <s v="ZONA DE CESION"/>
    <x v="13"/>
    <s v="POR COMPLETAR"/>
    <x v="1"/>
  </r>
  <r>
    <s v="Tabla3"/>
    <n v="671001"/>
    <x v="2"/>
    <x v="6"/>
    <x v="47"/>
    <x v="2"/>
    <x v="1"/>
    <s v="BIENES DE USO PUBLICO"/>
    <x v="18"/>
    <s v="NA"/>
    <x v="1"/>
  </r>
  <r>
    <s v="Tabla3"/>
    <n v="680724"/>
    <x v="2"/>
    <x v="4"/>
    <x v="48"/>
    <x v="4"/>
    <x v="1"/>
    <s v="ZONAS DE CESION"/>
    <x v="20"/>
    <s v="N/A"/>
    <x v="4"/>
  </r>
  <r>
    <s v="Tabla3"/>
    <n v="680477"/>
    <x v="2"/>
    <x v="4"/>
    <x v="49"/>
    <x v="3"/>
    <x v="1"/>
    <s v="ZONA DE CESION"/>
    <x v="14"/>
    <s v="N/A"/>
    <x v="1"/>
  </r>
  <r>
    <s v="Tabla3"/>
    <n v="672853"/>
    <x v="2"/>
    <x v="4"/>
    <x v="50"/>
    <x v="3"/>
    <x v="1"/>
    <s v="N/A"/>
    <x v="3"/>
    <s v="N/A"/>
    <x v="4"/>
  </r>
  <r>
    <s v="Tabla3"/>
    <n v="682046"/>
    <x v="2"/>
    <x v="4"/>
    <x v="51"/>
    <x v="3"/>
    <x v="1"/>
    <s v="N/A"/>
    <x v="4"/>
    <s v="N/A"/>
    <x v="1"/>
  </r>
  <r>
    <s v="Tabla3"/>
    <n v="625101"/>
    <x v="2"/>
    <x v="4"/>
    <x v="52"/>
    <x v="3"/>
    <x v="1"/>
    <s v="NA"/>
    <x v="10"/>
    <s v="NA"/>
    <x v="0"/>
  </r>
  <r>
    <s v="Tabla3"/>
    <n v="683323"/>
    <x v="2"/>
    <x v="4"/>
    <x v="53"/>
    <x v="2"/>
    <x v="1"/>
    <s v="BIENES DE USO PUBLICO"/>
    <x v="21"/>
    <s v="N/A"/>
    <x v="0"/>
  </r>
  <r>
    <s v="Tabla3"/>
    <n v="684351"/>
    <x v="2"/>
    <x v="4"/>
    <x v="54"/>
    <x v="2"/>
    <x v="1"/>
    <s v="ZONA DE CESION"/>
    <x v="22"/>
    <s v="N/A"/>
    <x v="4"/>
  </r>
  <r>
    <s v="Tabla3"/>
    <n v="676177"/>
    <x v="2"/>
    <x v="4"/>
    <x v="55"/>
    <x v="2"/>
    <x v="1"/>
    <s v="ZONA DE CESION"/>
    <x v="15"/>
    <s v="N/A"/>
    <x v="0"/>
  </r>
  <r>
    <s v="Tabla3"/>
    <n v="672767"/>
    <x v="2"/>
    <x v="4"/>
    <x v="50"/>
    <x v="3"/>
    <x v="1"/>
    <s v="ZONA DE CESIÓN"/>
    <x v="3"/>
    <s v="N/A"/>
    <x v="0"/>
  </r>
  <r>
    <s v="Tabla3"/>
    <n v="595786"/>
    <x v="2"/>
    <x v="4"/>
    <x v="56"/>
    <x v="3"/>
    <x v="1"/>
    <s v=" N/A "/>
    <x v="20"/>
    <s v=" N/A "/>
    <x v="4"/>
  </r>
  <r>
    <s v="Tabla3"/>
    <n v="456972"/>
    <x v="2"/>
    <x v="4"/>
    <x v="57"/>
    <x v="3"/>
    <x v="1"/>
    <s v="CESION Y OTRAS"/>
    <x v="4"/>
    <s v="N/A"/>
    <x v="1"/>
  </r>
  <r>
    <s v="Tabla3"/>
    <n v="419829"/>
    <x v="2"/>
    <x v="4"/>
    <x v="31"/>
    <x v="2"/>
    <x v="1"/>
    <s v="BIENES DE USO PUBLICO"/>
    <x v="3"/>
    <s v=" "/>
    <x v="1"/>
  </r>
  <r>
    <s v="Tabla3"/>
    <n v="582434"/>
    <x v="2"/>
    <x v="4"/>
    <x v="58"/>
    <x v="3"/>
    <x v="1"/>
    <s v="ESPACIO PUBLICO"/>
    <x v="3"/>
    <s v="N/A"/>
    <x v="0"/>
  </r>
  <r>
    <s v="Tabla3"/>
    <n v="591702"/>
    <x v="2"/>
    <x v="4"/>
    <x v="59"/>
    <x v="4"/>
    <x v="1"/>
    <s v=" ANTEJARDIN "/>
    <x v="14"/>
    <s v="N/A"/>
    <x v="0"/>
  </r>
  <r>
    <s v="Tabla3"/>
    <n v="594447"/>
    <x v="2"/>
    <x v="4"/>
    <x v="60"/>
    <x v="2"/>
    <x v="1"/>
    <s v="N/A"/>
    <x v="14"/>
    <n v="3534.41"/>
    <x v="0"/>
  </r>
  <r>
    <s v="Tabla3"/>
    <n v="576515"/>
    <x v="2"/>
    <x v="6"/>
    <x v="61"/>
    <x v="2"/>
    <x v="1"/>
    <s v="N/A"/>
    <x v="10"/>
    <s v="N/A"/>
    <x v="1"/>
  </r>
  <r>
    <s v="Tabla3"/>
    <n v="591624"/>
    <x v="2"/>
    <x v="4"/>
    <x v="62"/>
    <x v="3"/>
    <x v="1"/>
    <s v="ZONAS DE CESION"/>
    <x v="3"/>
    <s v="N/A"/>
    <x v="4"/>
  </r>
  <r>
    <s v="Tabla3"/>
    <n v="601973"/>
    <x v="2"/>
    <x v="4"/>
    <x v="63"/>
    <x v="3"/>
    <x v="1"/>
    <s v="N/A"/>
    <x v="15"/>
    <s v="N/A"/>
    <x v="0"/>
  </r>
  <r>
    <s v="Tabla3"/>
    <n v="602979"/>
    <x v="2"/>
    <x v="4"/>
    <x v="64"/>
    <x v="3"/>
    <x v="1"/>
    <s v="ZONAS DE CESION"/>
    <x v="4"/>
    <s v="N/A"/>
    <x v="1"/>
  </r>
  <r>
    <s v="Tabla3"/>
    <n v="613075"/>
    <x v="2"/>
    <x v="4"/>
    <x v="65"/>
    <x v="4"/>
    <x v="1"/>
    <s v="ESPACIO PUBLICO"/>
    <x v="23"/>
    <s v="N/A"/>
    <x v="0"/>
  </r>
  <r>
    <s v="Tabla3"/>
    <n v="613904"/>
    <x v="2"/>
    <x v="4"/>
    <x v="66"/>
    <x v="3"/>
    <x v="1"/>
    <s v="CESION -ZONAS VIALES"/>
    <x v="15"/>
    <s v="N/"/>
    <x v="3"/>
  </r>
  <r>
    <s v="Tabla3"/>
    <n v="625110"/>
    <x v="2"/>
    <x v="4"/>
    <x v="67"/>
    <x v="3"/>
    <x v="1"/>
    <s v="ESPACIO PUBLICO"/>
    <x v="11"/>
    <s v="N/A"/>
    <x v="0"/>
  </r>
  <r>
    <s v="Tabla3"/>
    <n v="702817"/>
    <x v="2"/>
    <x v="4"/>
    <x v="68"/>
    <x v="2"/>
    <x v="1"/>
    <s v="BIENES DE USO PUBLICO"/>
    <x v="23"/>
    <s v="NA"/>
    <x v="0"/>
  </r>
  <r>
    <s v="Tabla3"/>
    <n v="433318"/>
    <x v="2"/>
    <x v="4"/>
    <x v="69"/>
    <x v="2"/>
    <x v="1"/>
    <s v="BIENES DE USO PUBLICO"/>
    <x v="4"/>
    <s v="NA"/>
    <x v="1"/>
  </r>
  <r>
    <s v="Tabla3"/>
    <n v="681092"/>
    <x v="2"/>
    <x v="6"/>
    <x v="70"/>
    <x v="3"/>
    <x v="1"/>
    <s v="BIENES DE USO PUBLICO"/>
    <x v="4"/>
    <s v="N/A"/>
    <x v="0"/>
  </r>
  <r>
    <s v="Tabla3"/>
    <n v="598792"/>
    <x v="2"/>
    <x v="4"/>
    <x v="71"/>
    <x v="4"/>
    <x v="1"/>
    <s v=" N/A "/>
    <x v="13"/>
    <s v=" N/ "/>
    <x v="4"/>
  </r>
  <r>
    <s v="Tabla3"/>
    <n v="598870"/>
    <x v="2"/>
    <x v="4"/>
    <x v="72"/>
    <x v="4"/>
    <x v="1"/>
    <s v="BIENES DE USO PUBLICO"/>
    <x v="24"/>
    <s v="N/A"/>
    <x v="1"/>
  </r>
  <r>
    <s v="Tabla3"/>
    <n v="707444"/>
    <x v="2"/>
    <x v="4"/>
    <x v="73"/>
    <x v="3"/>
    <x v="1"/>
    <s v="ZONA DE CESION"/>
    <x v="3"/>
    <s v="N/A"/>
    <x v="4"/>
  </r>
  <r>
    <s v="Tabla3"/>
    <n v="569362"/>
    <x v="2"/>
    <x v="4"/>
    <x v="74"/>
    <x v="3"/>
    <x v="1"/>
    <s v="ZONA DE CESIÓN "/>
    <x v="14"/>
    <n v="91560"/>
    <x v="0"/>
  </r>
  <r>
    <s v="Tabla3"/>
    <n v="587856"/>
    <x v="2"/>
    <x v="4"/>
    <x v="75"/>
    <x v="3"/>
    <x v="1"/>
    <s v="ESPACIO PUBLICO"/>
    <x v="4"/>
    <s v="N/A"/>
    <x v="0"/>
  </r>
  <r>
    <s v="Tabla3"/>
    <n v="559514"/>
    <x v="2"/>
    <x v="4"/>
    <x v="76"/>
    <x v="3"/>
    <x v="1"/>
    <s v="FISCAL"/>
    <x v="4"/>
    <s v="NA"/>
    <x v="0"/>
  </r>
  <r>
    <s v="Tabla3"/>
    <n v="559514"/>
    <x v="2"/>
    <x v="4"/>
    <x v="76"/>
    <x v="3"/>
    <x v="1"/>
    <m/>
    <x v="4"/>
    <m/>
    <x v="0"/>
  </r>
  <r>
    <s v="Tabla3"/>
    <n v="601973"/>
    <x v="2"/>
    <x v="4"/>
    <x v="77"/>
    <x v="3"/>
    <x v="2"/>
    <s v="ZONAS DE CESION "/>
    <x v="15"/>
    <s v="N/A"/>
    <x v="5"/>
  </r>
  <r>
    <s v="Tabla3"/>
    <s v="-"/>
    <x v="2"/>
    <x v="6"/>
    <x v="78"/>
    <x v="3"/>
    <x v="1"/>
    <s v="ZONAS DE CESION "/>
    <x v="14"/>
    <s v="N/A"/>
    <x v="2"/>
  </r>
  <r>
    <s v="Tabla3"/>
    <s v="713057"/>
    <x v="2"/>
    <x v="5"/>
    <x v="79"/>
    <x v="3"/>
    <x v="0"/>
    <s v="N/A"/>
    <x v="15"/>
    <s v="N/A"/>
    <x v="0"/>
  </r>
  <r>
    <s v="Tabla3"/>
    <n v="712778"/>
    <x v="2"/>
    <x v="4"/>
    <x v="79"/>
    <x v="2"/>
    <x v="1"/>
    <s v="ZONA DE CESION"/>
    <x v="4"/>
    <s v="N/A"/>
    <x v="0"/>
  </r>
  <r>
    <s v="Tabla3"/>
    <n v="708755"/>
    <x v="2"/>
    <x v="4"/>
    <x v="80"/>
    <x v="4"/>
    <x v="1"/>
    <s v="N/A"/>
    <x v="4"/>
    <s v="N/A"/>
    <x v="6"/>
  </r>
  <r>
    <s v="Tabla3"/>
    <n v="799523"/>
    <x v="2"/>
    <x v="4"/>
    <x v="81"/>
    <x v="3"/>
    <x v="2"/>
    <s v="N/A"/>
    <x v="8"/>
    <s v="N/A"/>
    <x v="0"/>
  </r>
  <r>
    <s v="Tabla3"/>
    <n v="750444"/>
    <x v="2"/>
    <x v="4"/>
    <x v="82"/>
    <x v="2"/>
    <x v="1"/>
    <s v="PREDIO PUBLICO NO CESION"/>
    <x v="15"/>
    <s v="N/A"/>
    <x v="0"/>
  </r>
  <r>
    <s v="Tabla3"/>
    <s v="765931_x0009_"/>
    <x v="2"/>
    <x v="4"/>
    <x v="83"/>
    <x v="4"/>
    <x v="1"/>
    <s v="ZONA DE CESION"/>
    <x v="25"/>
    <s v="N/A"/>
    <x v="2"/>
  </r>
  <r>
    <s v="Tabla3"/>
    <n v="770042"/>
    <x v="2"/>
    <x v="4"/>
    <x v="84"/>
    <x v="4"/>
    <x v="1"/>
    <s v="ESPACIO PUBLICO"/>
    <x v="6"/>
    <s v="N/A"/>
    <x v="2"/>
  </r>
  <r>
    <s v="Tabla3"/>
    <n v="774718"/>
    <x v="2"/>
    <x v="4"/>
    <x v="85"/>
    <x v="2"/>
    <x v="1"/>
    <s v="BIENES DE USO PUBLICO"/>
    <x v="3"/>
    <s v="N/A"/>
    <x v="2"/>
  </r>
  <r>
    <s v="Tabla3"/>
    <s v="-"/>
    <x v="2"/>
    <x v="6"/>
    <x v="86"/>
    <x v="4"/>
    <x v="1"/>
    <s v="USO PÚBLICO DE CESIÓN "/>
    <x v="11"/>
    <m/>
    <x v="2"/>
  </r>
  <r>
    <s v="Tabla3"/>
    <n v="778590"/>
    <x v="2"/>
    <x v="4"/>
    <x v="87"/>
    <x v="3"/>
    <x v="1"/>
    <s v="ESPACIO PUBLICO"/>
    <x v="6"/>
    <s v="N/A"/>
    <x v="2"/>
  </r>
  <r>
    <s v="Tabla3"/>
    <n v="774679"/>
    <x v="2"/>
    <x v="4"/>
    <x v="84"/>
    <x v="2"/>
    <x v="2"/>
    <s v="N/A"/>
    <x v="10"/>
    <s v="N/A"/>
    <x v="7"/>
  </r>
  <r>
    <s v="Tabla3"/>
    <n v="751037"/>
    <x v="2"/>
    <x v="4"/>
    <x v="88"/>
    <x v="3"/>
    <x v="1"/>
    <s v="N/A"/>
    <x v="9"/>
    <s v="N/A"/>
    <x v="2"/>
  </r>
  <r>
    <s v="Tabla3"/>
    <n v="783984"/>
    <x v="2"/>
    <x v="4"/>
    <x v="89"/>
    <x v="2"/>
    <x v="1"/>
    <s v="ZONAS VIALES"/>
    <x v="4"/>
    <s v="N/A"/>
    <x v="0"/>
  </r>
  <r>
    <s v="Tabla3"/>
    <n v="744883"/>
    <x v="2"/>
    <x v="4"/>
    <x v="90"/>
    <x v="3"/>
    <x v="1"/>
    <s v="N/A"/>
    <x v="9"/>
    <s v="N/A"/>
    <x v="2"/>
  </r>
  <r>
    <s v="Tabla3"/>
    <n v="782777"/>
    <x v="2"/>
    <x v="4"/>
    <x v="91"/>
    <x v="2"/>
    <x v="1"/>
    <s v="ZONA DE CESION"/>
    <x v="12"/>
    <s v="N/A"/>
    <x v="0"/>
  </r>
  <r>
    <s v="Tabla3"/>
    <n v="788115"/>
    <x v="2"/>
    <x v="4"/>
    <x v="92"/>
    <x v="3"/>
    <x v="1"/>
    <s v="N/A"/>
    <x v="4"/>
    <s v="N/A"/>
    <x v="0"/>
  </r>
  <r>
    <s v="Tabla3"/>
    <n v="413772"/>
    <x v="2"/>
    <x v="4"/>
    <x v="93"/>
    <x v="3"/>
    <x v="1"/>
    <s v="ZONAS  DE TRANCISIÓN DE APROVECHAMIENTOS AUTORIZADOS "/>
    <x v="22"/>
    <s v="N/A"/>
    <x v="4"/>
  </r>
  <r>
    <s v="Tabla3"/>
    <n v="680724"/>
    <x v="2"/>
    <x v="4"/>
    <x v="48"/>
    <x v="3"/>
    <x v="1"/>
    <s v="N/A"/>
    <x v="20"/>
    <s v="N/A"/>
    <x v="4"/>
  </r>
  <r>
    <s v="Tabla3"/>
    <n v="792914"/>
    <x v="2"/>
    <x v="4"/>
    <x v="94"/>
    <x v="2"/>
    <x v="2"/>
    <s v="ZONA DE CESION"/>
    <x v="3"/>
    <s v="N/A"/>
    <x v="0"/>
  </r>
  <r>
    <s v="Tabla3"/>
    <n v="792838"/>
    <x v="2"/>
    <x v="4"/>
    <x v="95"/>
    <x v="2"/>
    <x v="1"/>
    <s v="PROTECCION DERECHOS COLECTIVOS CASA DE LA CULTURA DE ENGATIVA"/>
    <x v="15"/>
    <s v="N/A"/>
    <x v="4"/>
  </r>
  <r>
    <s v="Tabla3"/>
    <n v="799047"/>
    <x v="2"/>
    <x v="4"/>
    <x v="96"/>
    <x v="3"/>
    <x v="1"/>
    <s v="N/A"/>
    <x v="15"/>
    <s v="N/A"/>
    <x v="8"/>
  </r>
  <r>
    <s v="Tabla3"/>
    <n v="770042"/>
    <x v="2"/>
    <x v="4"/>
    <x v="84"/>
    <x v="3"/>
    <x v="1"/>
    <s v="ESPACIO PUBLICO"/>
    <x v="6"/>
    <s v="N/A"/>
    <x v="1"/>
  </r>
  <r>
    <s v="Tabla3"/>
    <n v="804413"/>
    <x v="2"/>
    <x v="4"/>
    <x v="97"/>
    <x v="3"/>
    <x v="1"/>
    <s v="ESPACIO PUBLICO"/>
    <x v="4"/>
    <s v="N/A"/>
    <x v="0"/>
  </r>
  <r>
    <s v="Tabla3"/>
    <s v="796249_x0009_"/>
    <x v="2"/>
    <x v="4"/>
    <x v="98"/>
    <x v="3"/>
    <x v="1"/>
    <s v="BIENES DE USO PUBLICO"/>
    <x v="4"/>
    <s v="N/A"/>
    <x v="0"/>
  </r>
  <r>
    <s v="Tabla3"/>
    <n v="355790"/>
    <x v="2"/>
    <x v="4"/>
    <x v="99"/>
    <x v="3"/>
    <x v="1"/>
    <s v="BIENES DE USO PUBLICO"/>
    <x v="12"/>
    <s v="N/A"/>
    <x v="1"/>
  </r>
  <r>
    <s v="Tabla3"/>
    <n v="303777"/>
    <x v="2"/>
    <x v="4"/>
    <x v="100"/>
    <x v="4"/>
    <x v="1"/>
    <s v="BIENES DE USO PUBLICO"/>
    <x v="12"/>
    <s v=" "/>
    <x v="0"/>
  </r>
  <r>
    <s v="Tabla3"/>
    <s v=" 813668"/>
    <x v="2"/>
    <x v="4"/>
    <x v="101"/>
    <x v="4"/>
    <x v="1"/>
    <s v="BIENES DE USO PUBLICO"/>
    <x v="6"/>
    <s v=" "/>
    <x v="2"/>
  </r>
  <r>
    <s v="Tabla3"/>
    <n v="815956"/>
    <x v="2"/>
    <x v="4"/>
    <x v="102"/>
    <x v="2"/>
    <x v="1"/>
    <s v="BIENES DE USO PUBLICO"/>
    <x v="26"/>
    <s v="N/A"/>
    <x v="2"/>
  </r>
  <r>
    <s v="Tabla3"/>
    <n v="815997"/>
    <x v="2"/>
    <x v="4"/>
    <x v="103"/>
    <x v="3"/>
    <x v="1"/>
    <s v="N/A"/>
    <x v="5"/>
    <s v="N/A"/>
    <x v="0"/>
  </r>
  <r>
    <s v="Tabla3"/>
    <n v="816895"/>
    <x v="2"/>
    <x v="4"/>
    <x v="104"/>
    <x v="3"/>
    <x v="1"/>
    <s v="BIENES DE USO PUBLICO"/>
    <x v="8"/>
    <s v=" "/>
    <x v="2"/>
  </r>
  <r>
    <s v="Tabla3"/>
    <s v="827714  "/>
    <x v="2"/>
    <x v="4"/>
    <x v="105"/>
    <x v="2"/>
    <x v="1"/>
    <s v="N/A"/>
    <x v="11"/>
    <s v="N/A"/>
    <x v="2"/>
  </r>
  <r>
    <s v="Tabla3"/>
    <s v="827064"/>
    <x v="2"/>
    <x v="4"/>
    <x v="106"/>
    <x v="2"/>
    <x v="1"/>
    <s v="ZONA DE CESION"/>
    <x v="9"/>
    <s v="N/A"/>
    <x v="2"/>
  </r>
  <r>
    <s v="Tabla3"/>
    <s v="831425_x0009_"/>
    <x v="2"/>
    <x v="4"/>
    <x v="107"/>
    <x v="2"/>
    <x v="1"/>
    <s v="ZONA DE CESION"/>
    <x v="15"/>
    <s v="N/A"/>
    <x v="2"/>
  </r>
  <r>
    <s v="Tabla3"/>
    <n v="791193"/>
    <x v="2"/>
    <x v="4"/>
    <x v="108"/>
    <x v="3"/>
    <x v="2"/>
    <s v="N/A"/>
    <x v="14"/>
    <s v="N/A"/>
    <x v="0"/>
  </r>
  <r>
    <s v="Tabla3"/>
    <n v="729523"/>
    <x v="2"/>
    <x v="4"/>
    <x v="81"/>
    <x v="3"/>
    <x v="3"/>
    <s v="BIENES DE USO PUBLICO"/>
    <x v="8"/>
    <s v="N/A"/>
    <x v="0"/>
  </r>
  <r>
    <s v="Tabla3"/>
    <n v="271268"/>
    <x v="2"/>
    <x v="4"/>
    <x v="19"/>
    <x v="3"/>
    <x v="1"/>
    <s v="N/A"/>
    <x v="4"/>
    <s v="33.811.33 M2"/>
    <x v="0"/>
  </r>
  <r>
    <s v="Tabla3"/>
    <n v="707444"/>
    <x v="2"/>
    <x v="4"/>
    <x v="19"/>
    <x v="3"/>
    <x v="1"/>
    <s v="N/A"/>
    <x v="4"/>
    <s v="N/A"/>
    <x v="0"/>
  </r>
  <r>
    <s v="Tabla3"/>
    <n v="543680"/>
    <x v="2"/>
    <x v="4"/>
    <x v="109"/>
    <x v="3"/>
    <x v="0"/>
    <s v="BIENES DE USO PUBLICO"/>
    <x v="10"/>
    <s v="N/A"/>
    <x v="1"/>
  </r>
  <r>
    <s v="Tabla3"/>
    <n v="563426"/>
    <x v="2"/>
    <x v="4"/>
    <x v="110"/>
    <x v="4"/>
    <x v="0"/>
    <s v="ZONA DE CESIÓN "/>
    <x v="4"/>
    <m/>
    <x v="4"/>
  </r>
  <r>
    <s v="Tabla3"/>
    <n v="526574"/>
    <x v="2"/>
    <x v="4"/>
    <x v="111"/>
    <x v="2"/>
    <x v="0"/>
    <s v="ZONA DE CESIÓN "/>
    <x v="3"/>
    <n v="145038.70000000001"/>
    <x v="0"/>
  </r>
  <r>
    <s v="Tabla3"/>
    <n v="617610"/>
    <x v="2"/>
    <x v="6"/>
    <x v="112"/>
    <x v="4"/>
    <x v="0"/>
    <s v="ZONA DE CESIÓN "/>
    <x v="3"/>
    <n v="8305"/>
    <x v="0"/>
  </r>
  <r>
    <s v="Tabla3"/>
    <n v="574069"/>
    <x v="2"/>
    <x v="4"/>
    <x v="113"/>
    <x v="3"/>
    <x v="0"/>
    <s v="ZONA DE CESIÓN "/>
    <x v="14"/>
    <n v="33938.199999999997"/>
    <x v="0"/>
  </r>
  <r>
    <s v="Tabla3"/>
    <n v="606071"/>
    <x v="2"/>
    <x v="4"/>
    <x v="114"/>
    <x v="2"/>
    <x v="0"/>
    <s v="ZONA DE CESIÓN "/>
    <x v="3"/>
    <s v="6.196.65"/>
    <x v="1"/>
  </r>
  <r>
    <s v="Tabla3"/>
    <n v="617584"/>
    <x v="2"/>
    <x v="6"/>
    <x v="114"/>
    <x v="4"/>
    <x v="0"/>
    <s v="ZONA DE CESIÓN "/>
    <x v="9"/>
    <n v="14900"/>
    <x v="0"/>
  </r>
  <r>
    <s v="Tabla3"/>
    <n v="391844"/>
    <x v="2"/>
    <x v="4"/>
    <x v="115"/>
    <x v="3"/>
    <x v="0"/>
    <s v="ZONA DE CESIÓN "/>
    <x v="4"/>
    <n v="3065"/>
    <x v="0"/>
  </r>
  <r>
    <s v="Tabla3"/>
    <n v="359396"/>
    <x v="2"/>
    <x v="4"/>
    <x v="116"/>
    <x v="2"/>
    <x v="0"/>
    <s v="ZONA DE CESIÓN "/>
    <x v="8"/>
    <n v="41341"/>
    <x v="1"/>
  </r>
  <r>
    <s v="Tabla3"/>
    <n v="286585"/>
    <x v="2"/>
    <x v="4"/>
    <x v="117"/>
    <x v="3"/>
    <x v="0"/>
    <s v="ZONA DE CESIÓN "/>
    <x v="11"/>
    <n v="6804"/>
    <x v="1"/>
  </r>
  <r>
    <s v="Tabla3"/>
    <n v="672915"/>
    <x v="2"/>
    <x v="4"/>
    <x v="118"/>
    <x v="4"/>
    <x v="0"/>
    <s v="ZONA DE CESIÓN "/>
    <x v="27"/>
    <s v="11.239 MTS2"/>
    <x v="0"/>
  </r>
  <r>
    <s v="Tabla3"/>
    <n v="391750"/>
    <x v="2"/>
    <x v="4"/>
    <x v="119"/>
    <x v="3"/>
    <x v="0"/>
    <s v="ZONA DE CESIÓN "/>
    <x v="11"/>
    <n v="56443"/>
    <x v="1"/>
  </r>
  <r>
    <s v="Tabla3"/>
    <n v="563425"/>
    <x v="2"/>
    <x v="4"/>
    <x v="110"/>
    <x v="2"/>
    <x v="0"/>
    <s v="ZONA DE CESIÓN "/>
    <x v="4"/>
    <m/>
    <x v="4"/>
  </r>
  <r>
    <s v="Tabla3"/>
    <n v="419787"/>
    <x v="2"/>
    <x v="4"/>
    <x v="120"/>
    <x v="2"/>
    <x v="0"/>
    <s v="ZONA DE CESIÓN "/>
    <x v="15"/>
    <n v="8981"/>
    <x v="1"/>
  </r>
  <r>
    <s v="Tabla3"/>
    <n v="513957"/>
    <x v="2"/>
    <x v="4"/>
    <x v="121"/>
    <x v="3"/>
    <x v="0"/>
    <s v="ZONA DE CESIÓN "/>
    <x v="4"/>
    <n v="41680"/>
    <x v="1"/>
  </r>
  <r>
    <s v="Tabla3"/>
    <n v="454983"/>
    <x v="2"/>
    <x v="4"/>
    <x v="122"/>
    <x v="3"/>
    <x v="0"/>
    <s v="ZONA DE CESIÓN "/>
    <x v="13"/>
    <s v=" 1.486,00 "/>
    <x v="4"/>
  </r>
  <r>
    <s v="Tabla3"/>
    <n v="417849"/>
    <x v="2"/>
    <x v="4"/>
    <x v="123"/>
    <x v="2"/>
    <x v="0"/>
    <s v="ZONA DE CESIÓN "/>
    <x v="11"/>
    <n v="3804.46"/>
    <x v="0"/>
  </r>
  <r>
    <s v="Tabla3"/>
    <n v="288991"/>
    <x v="2"/>
    <x v="4"/>
    <x v="124"/>
    <x v="3"/>
    <x v="0"/>
    <s v="ZONA DE CESIÓN "/>
    <x v="15"/>
    <n v="6804.067"/>
    <x v="1"/>
  </r>
  <r>
    <s v="Tabla3"/>
    <n v="611632"/>
    <x v="2"/>
    <x v="4"/>
    <x v="125"/>
    <x v="2"/>
    <x v="0"/>
    <s v="ZONA DE CESIÓN "/>
    <x v="14"/>
    <s v="N/A"/>
    <x v="0"/>
  </r>
  <r>
    <s v="Tabla3"/>
    <n v="334762"/>
    <x v="2"/>
    <x v="4"/>
    <x v="126"/>
    <x v="2"/>
    <x v="0"/>
    <s v="ZONA DE CESIÓN "/>
    <x v="14"/>
    <n v="1711.49"/>
    <x v="1"/>
  </r>
  <r>
    <s v="Tabla3"/>
    <n v="380929"/>
    <x v="2"/>
    <x v="4"/>
    <x v="127"/>
    <x v="0"/>
    <x v="0"/>
    <s v="ZONA DE CESIÓN "/>
    <x v="14"/>
    <n v="9000"/>
    <x v="9"/>
  </r>
  <r>
    <s v="Tabla3"/>
    <s v="650373"/>
    <x v="2"/>
    <x v="4"/>
    <x v="128"/>
    <x v="0"/>
    <x v="0"/>
    <s v="ZONA DE CESIÓN "/>
    <x v="3"/>
    <s v="3.750.03M2"/>
    <x v="0"/>
  </r>
  <r>
    <s v="Tabla3"/>
    <n v="334859"/>
    <x v="2"/>
    <x v="4"/>
    <x v="126"/>
    <x v="2"/>
    <x v="0"/>
    <s v="ZONA DE CESIÓN "/>
    <x v="11"/>
    <n v="7030"/>
    <x v="1"/>
  </r>
  <r>
    <s v="Tabla3"/>
    <n v="529997"/>
    <x v="2"/>
    <x v="4"/>
    <x v="129"/>
    <x v="2"/>
    <x v="0"/>
    <s v="ZONA DE CESIÓN "/>
    <x v="15"/>
    <n v="1534"/>
    <x v="1"/>
  </r>
  <r>
    <s v="Tabla3"/>
    <n v="362094"/>
    <x v="2"/>
    <x v="4"/>
    <x v="130"/>
    <x v="3"/>
    <x v="0"/>
    <s v="ZONA DE CESIÓN "/>
    <x v="13"/>
    <s v=" 46.078,00 "/>
    <x v="3"/>
  </r>
  <r>
    <s v="Tabla3"/>
    <s v="N/A"/>
    <x v="2"/>
    <x v="4"/>
    <x v="131"/>
    <x v="3"/>
    <x v="0"/>
    <s v="N/A"/>
    <x v="3"/>
    <s v="POR DEFINIR"/>
    <x v="0"/>
  </r>
  <r>
    <s v="Tabla3"/>
    <n v="419901"/>
    <x v="2"/>
    <x v="4"/>
    <x v="132"/>
    <x v="2"/>
    <x v="0"/>
    <s v="ZONA DE CESIÓN "/>
    <x v="13"/>
    <s v=" 2.183,00 "/>
    <x v="3"/>
  </r>
  <r>
    <s v="Tabla3"/>
    <n v="741810"/>
    <x v="2"/>
    <x v="6"/>
    <x v="133"/>
    <x v="2"/>
    <x v="0"/>
    <s v="ZONA DE CESIÓN "/>
    <x v="4"/>
    <s v="18.361.39"/>
    <x v="0"/>
  </r>
  <r>
    <s v="Tabla3"/>
    <n v="692106"/>
    <x v="2"/>
    <x v="4"/>
    <x v="134"/>
    <x v="4"/>
    <x v="0"/>
    <s v="ZONA DE CESIÓN "/>
    <x v="0"/>
    <s v="5,665,41"/>
    <x v="0"/>
  </r>
  <r>
    <s v="Tabla3"/>
    <n v="527527"/>
    <x v="2"/>
    <x v="4"/>
    <x v="135"/>
    <x v="2"/>
    <x v="0"/>
    <s v="ZONA DE CESIÓN "/>
    <x v="4"/>
    <n v="15682"/>
    <x v="0"/>
  </r>
  <r>
    <s v="Tabla3"/>
    <n v="537078"/>
    <x v="2"/>
    <x v="4"/>
    <x v="136"/>
    <x v="2"/>
    <x v="0"/>
    <s v="ZONA DE CESIÓN "/>
    <x v="5"/>
    <n v="670"/>
    <x v="0"/>
  </r>
  <r>
    <s v="Tabla3"/>
    <n v="761945"/>
    <x v="2"/>
    <x v="4"/>
    <x v="137"/>
    <x v="2"/>
    <x v="0"/>
    <s v="N/A"/>
    <x v="14"/>
    <s v="N/A"/>
    <x v="0"/>
  </r>
  <r>
    <s v="Tabla3"/>
    <n v="745899"/>
    <x v="2"/>
    <x v="4"/>
    <x v="138"/>
    <x v="4"/>
    <x v="0"/>
    <s v="ZONA DE CESION"/>
    <x v="4"/>
    <n v="3643"/>
    <x v="0"/>
  </r>
  <r>
    <s v="Tabla3"/>
    <n v="23"/>
    <x v="2"/>
    <x v="4"/>
    <x v="126"/>
    <x v="2"/>
    <x v="0"/>
    <s v="ZONA DE CESIÓN "/>
    <x v="4"/>
    <n v="19353"/>
    <x v="1"/>
  </r>
  <r>
    <s v="Tabla3"/>
    <n v="684272"/>
    <x v="2"/>
    <x v="4"/>
    <x v="139"/>
    <x v="0"/>
    <x v="0"/>
    <s v="ZONA DE CESION"/>
    <x v="3"/>
    <s v="12.280.61 MTS2"/>
    <x v="1"/>
  </r>
  <r>
    <s v="Tabla3"/>
    <n v="503787"/>
    <x v="2"/>
    <x v="4"/>
    <x v="140"/>
    <x v="2"/>
    <x v="0"/>
    <s v="ZONA DE CESIÓN "/>
    <x v="3"/>
    <n v="5188"/>
    <x v="1"/>
  </r>
  <r>
    <s v="Tabla3"/>
    <n v="503813"/>
    <x v="2"/>
    <x v="4"/>
    <x v="141"/>
    <x v="3"/>
    <x v="0"/>
    <s v="ZONA DE CESIÓN "/>
    <x v="4"/>
    <n v="180274"/>
    <x v="1"/>
  </r>
  <r>
    <s v="Tabla3"/>
    <s v="N/A"/>
    <x v="2"/>
    <x v="4"/>
    <x v="142"/>
    <x v="3"/>
    <x v="0"/>
    <s v="N/A"/>
    <x v="18"/>
    <s v="N/A"/>
    <x v="0"/>
  </r>
  <r>
    <s v="Tabla3"/>
    <n v="789093"/>
    <x v="2"/>
    <x v="4"/>
    <x v="143"/>
    <x v="3"/>
    <x v="0"/>
    <s v="BIENES DE USO PUBLICO"/>
    <x v="1"/>
    <s v="N/A"/>
    <x v="0"/>
  </r>
  <r>
    <s v="Tabla3"/>
    <n v="744430"/>
    <x v="2"/>
    <x v="4"/>
    <x v="144"/>
    <x v="2"/>
    <x v="0"/>
    <s v="ZONA DE CESIÓN "/>
    <x v="4"/>
    <s v="14.360.822"/>
    <x v="0"/>
  </r>
  <r>
    <s v="Tabla3"/>
    <n v="325214"/>
    <x v="2"/>
    <x v="4"/>
    <x v="145"/>
    <x v="2"/>
    <x v="0"/>
    <s v="ZONA DE CESIÓN "/>
    <x v="11"/>
    <n v="91676"/>
    <x v="1"/>
  </r>
  <r>
    <s v="Tabla3"/>
    <n v="531612"/>
    <x v="2"/>
    <x v="4"/>
    <x v="146"/>
    <x v="3"/>
    <x v="0"/>
    <s v="ZONA DE CESIÓN "/>
    <x v="5"/>
    <s v=" 24.366,00 "/>
    <x v="4"/>
  </r>
  <r>
    <s v="Tabla3"/>
    <n v="750851"/>
    <x v="2"/>
    <x v="4"/>
    <x v="147"/>
    <x v="2"/>
    <x v="0"/>
    <s v="ZONA DE CESIÓN "/>
    <x v="15"/>
    <s v="26.520.16"/>
    <x v="0"/>
  </r>
  <r>
    <s v="Tabla3"/>
    <n v="765396"/>
    <x v="2"/>
    <x v="4"/>
    <x v="148"/>
    <x v="4"/>
    <x v="0"/>
    <s v="BIENES DE USO PUBLICO"/>
    <x v="4"/>
    <s v="N/A"/>
    <x v="0"/>
  </r>
  <r>
    <s v="Tabla3"/>
    <n v="716943"/>
    <x v="2"/>
    <x v="4"/>
    <x v="149"/>
    <x v="2"/>
    <x v="0"/>
    <s v="ZONA DE CESIÓN "/>
    <x v="3"/>
    <s v="N/A"/>
    <x v="0"/>
  </r>
  <r>
    <s v="Tabla3"/>
    <s v=" 826211"/>
    <x v="2"/>
    <x v="4"/>
    <x v="102"/>
    <x v="4"/>
    <x v="0"/>
    <s v="ZONA DE CESIÓN "/>
    <x v="28"/>
    <n v="4058.57"/>
    <x v="2"/>
  </r>
  <r>
    <s v="Tabla3"/>
    <s v="658739"/>
    <x v="3"/>
    <x v="7"/>
    <x v="150"/>
    <x v="2"/>
    <x v="1"/>
    <s v=" NA "/>
    <x v="20"/>
    <s v=" NA "/>
    <x v="4"/>
  </r>
  <r>
    <s v="Tabla3"/>
    <n v="626104"/>
    <x v="3"/>
    <x v="8"/>
    <x v="151"/>
    <x v="4"/>
    <x v="1"/>
    <s v="  N/A  "/>
    <x v="20"/>
    <s v="  N/A  "/>
    <x v="10"/>
  </r>
  <r>
    <s v="Tabla4"/>
    <n v="164816"/>
    <x v="4"/>
    <x v="9"/>
    <x v="152"/>
    <x v="5"/>
    <x v="0"/>
    <s v="ZONA DE CESIÓN "/>
    <x v="15"/>
    <n v="60"/>
    <x v="0"/>
  </r>
  <r>
    <s v="Tabla4"/>
    <n v="352796"/>
    <x v="4"/>
    <x v="10"/>
    <x v="153"/>
    <x v="6"/>
    <x v="0"/>
    <s v="BIEN FISCAL"/>
    <x v="17"/>
    <n v="555.5"/>
    <x v="1"/>
  </r>
  <r>
    <s v="Tabla4"/>
    <n v="632501"/>
    <x v="4"/>
    <x v="11"/>
    <x v="154"/>
    <x v="5"/>
    <x v="0"/>
    <s v="ZONA DE CESIÓN "/>
    <x v="4"/>
    <s v="84,50 mts2"/>
    <x v="2"/>
  </r>
  <r>
    <s v="Tabla4"/>
    <n v="556925"/>
    <x v="4"/>
    <x v="12"/>
    <x v="155"/>
    <x v="0"/>
    <x v="0"/>
    <s v="ZONA DE CESIÓN "/>
    <x v="3"/>
    <n v="2600"/>
    <x v="1"/>
  </r>
  <r>
    <s v="Tabla4"/>
    <n v="588924"/>
    <x v="4"/>
    <x v="13"/>
    <x v="156"/>
    <x v="6"/>
    <x v="0"/>
    <s v="ZONA DE CESIÓN "/>
    <x v="15"/>
    <s v="1937,37 MTS2"/>
    <x v="1"/>
  </r>
  <r>
    <s v="Tabla4"/>
    <n v="597584"/>
    <x v="4"/>
    <x v="9"/>
    <x v="157"/>
    <x v="0"/>
    <x v="0"/>
    <s v="ZONA DE CESIÓN "/>
    <x v="4"/>
    <n v="19755"/>
    <x v="0"/>
  </r>
  <r>
    <s v="Tabla4"/>
    <n v="681651"/>
    <x v="4"/>
    <x v="11"/>
    <x v="158"/>
    <x v="0"/>
    <x v="0"/>
    <s v="ZONA DE CESIÓN "/>
    <x v="15"/>
    <s v="875.80 MTS2"/>
    <x v="1"/>
  </r>
  <r>
    <s v="Tabla4"/>
    <n v="764789"/>
    <x v="4"/>
    <x v="9"/>
    <x v="138"/>
    <x v="0"/>
    <x v="0"/>
    <s v="ZONA DE CESIÓN "/>
    <x v="3"/>
    <s v="43 MTS2"/>
    <x v="0"/>
  </r>
  <r>
    <s v="Tabla4"/>
    <n v="718471"/>
    <x v="4"/>
    <x v="14"/>
    <x v="159"/>
    <x v="0"/>
    <x v="0"/>
    <s v="ZONA DE CESIÓN "/>
    <x v="29"/>
    <s v="872 MTS2"/>
    <x v="0"/>
  </r>
  <r>
    <s v="Tabla4"/>
    <n v="749798"/>
    <x v="4"/>
    <x v="11"/>
    <x v="160"/>
    <x v="5"/>
    <x v="0"/>
    <s v="ZONA DE CESIÓN "/>
    <x v="18"/>
    <s v="N/A"/>
    <x v="1"/>
  </r>
  <r>
    <s v="Tabla4"/>
    <n v="190121"/>
    <x v="4"/>
    <x v="15"/>
    <x v="161"/>
    <x v="6"/>
    <x v="0"/>
    <s v="BIEN FISCAL"/>
    <x v="18"/>
    <n v="186.1"/>
    <x v="1"/>
  </r>
  <r>
    <s v="Tabla4"/>
    <n v="632510"/>
    <x v="4"/>
    <x v="16"/>
    <x v="162"/>
    <x v="5"/>
    <x v="0"/>
    <s v="ZONA DE CESIÓN "/>
    <x v="4"/>
    <s v="N/A"/>
    <x v="0"/>
  </r>
  <r>
    <s v="Tabla4"/>
    <n v="701116"/>
    <x v="4"/>
    <x v="11"/>
    <x v="163"/>
    <x v="5"/>
    <x v="0"/>
    <s v="ZONA DE CESIÓN "/>
    <x v="17"/>
    <s v="N/A"/>
    <x v="0"/>
  </r>
  <r>
    <s v="Tabla4"/>
    <n v="981906"/>
    <x v="4"/>
    <x v="14"/>
    <x v="164"/>
    <x v="5"/>
    <x v="0"/>
    <s v="ZONA DE CESIÓN "/>
    <x v="11"/>
    <s v="N/A"/>
    <x v="0"/>
  </r>
  <r>
    <s v="Tabla4"/>
    <n v="253519"/>
    <x v="4"/>
    <x v="15"/>
    <x v="165"/>
    <x v="6"/>
    <x v="0"/>
    <s v="ZONA DE CESIÓN "/>
    <x v="5"/>
    <n v="1235242"/>
    <x v="0"/>
  </r>
  <r>
    <s v="Tabla4"/>
    <n v="269314"/>
    <x v="4"/>
    <x v="11"/>
    <x v="166"/>
    <x v="6"/>
    <x v="0"/>
    <s v="ZONA DE CESIÓN "/>
    <x v="15"/>
    <s v="NA"/>
    <x v="1"/>
  </r>
  <r>
    <s v="Tabla4"/>
    <n v="744472"/>
    <x v="4"/>
    <x v="11"/>
    <x v="167"/>
    <x v="0"/>
    <x v="0"/>
    <s v="ZONA DE CESIÓN "/>
    <x v="5"/>
    <n v="723.9"/>
    <x v="0"/>
  </r>
  <r>
    <s v="Tabla4"/>
    <n v="701108"/>
    <x v="4"/>
    <x v="9"/>
    <x v="168"/>
    <x v="5"/>
    <x v="0"/>
    <s v="ZONA DE CESIÓN "/>
    <x v="4"/>
    <s v="60MTS2"/>
    <x v="0"/>
  </r>
  <r>
    <s v="Tabla4"/>
    <n v="597928"/>
    <x v="4"/>
    <x v="9"/>
    <x v="169"/>
    <x v="5"/>
    <x v="0"/>
    <s v="ZONA DE CESIÓN "/>
    <x v="4"/>
    <s v="N/A"/>
    <x v="2"/>
  </r>
  <r>
    <s v="Tabla4"/>
    <n v="271844"/>
    <x v="4"/>
    <x v="15"/>
    <x v="170"/>
    <x v="6"/>
    <x v="0"/>
    <s v="ZONA DE CESIÓN "/>
    <x v="3"/>
    <s v="NA"/>
    <x v="0"/>
  </r>
  <r>
    <s v="Tabla4"/>
    <n v="55135"/>
    <x v="4"/>
    <x v="11"/>
    <x v="171"/>
    <x v="0"/>
    <x v="0"/>
    <s v="ZONA DE CESIÓN "/>
    <x v="11"/>
    <s v="NA"/>
    <x v="0"/>
  </r>
  <r>
    <s v="Tabla4"/>
    <n v="289508"/>
    <x v="4"/>
    <x v="15"/>
    <x v="172"/>
    <x v="6"/>
    <x v="0"/>
    <s v="BIEN FISCAL"/>
    <x v="0"/>
    <n v="234.2"/>
    <x v="0"/>
  </r>
  <r>
    <s v="Tabla4"/>
    <n v="557345"/>
    <x v="4"/>
    <x v="17"/>
    <x v="173"/>
    <x v="0"/>
    <x v="0"/>
    <s v="BIEN FISCAL"/>
    <x v="6"/>
    <n v="321.16000000000003"/>
    <x v="0"/>
  </r>
  <r>
    <s v="Tabla4"/>
    <n v="742520"/>
    <x v="4"/>
    <x v="9"/>
    <x v="174"/>
    <x v="0"/>
    <x v="0"/>
    <s v="BIEN DE USO PUBLICO"/>
    <x v="15"/>
    <s v="111.926,68 M2 E"/>
    <x v="0"/>
  </r>
  <r>
    <s v="Tabla4"/>
    <n v="731366"/>
    <x v="4"/>
    <x v="9"/>
    <x v="175"/>
    <x v="0"/>
    <x v="0"/>
    <s v="BIEN FISCAL"/>
    <x v="15"/>
    <s v="111.926.68 MTS2"/>
    <x v="0"/>
  </r>
  <r>
    <s v="Tabla4"/>
    <n v="539060"/>
    <x v="4"/>
    <x v="18"/>
    <x v="176"/>
    <x v="5"/>
    <x v="0"/>
    <s v="BIEN FISCAL"/>
    <x v="4"/>
    <s v="NA"/>
    <x v="0"/>
  </r>
  <r>
    <s v="Tabla4"/>
    <n v="363971"/>
    <x v="4"/>
    <x v="18"/>
    <x v="177"/>
    <x v="5"/>
    <x v="0"/>
    <s v="BIEN FISCAL"/>
    <x v="30"/>
    <s v="NA"/>
    <x v="0"/>
  </r>
  <r>
    <s v="Tabla4"/>
    <n v="347764"/>
    <x v="4"/>
    <x v="15"/>
    <x v="178"/>
    <x v="6"/>
    <x v="0"/>
    <s v="ZONA DE CESIÓN "/>
    <x v="4"/>
    <s v="NA"/>
    <x v="1"/>
  </r>
  <r>
    <s v="Tabla4"/>
    <n v="792124"/>
    <x v="4"/>
    <x v="9"/>
    <x v="179"/>
    <x v="0"/>
    <x v="0"/>
    <s v="ZONA DE CESIÓN "/>
    <x v="6"/>
    <s v="231.91 MTS2"/>
    <x v="0"/>
  </r>
  <r>
    <s v="Tabla4"/>
    <n v="744464"/>
    <x v="4"/>
    <x v="11"/>
    <x v="180"/>
    <x v="0"/>
    <x v="0"/>
    <s v="ZONA DE CESIÓN "/>
    <x v="29"/>
    <n v="417.54"/>
    <x v="0"/>
  </r>
  <r>
    <s v="Tabla4"/>
    <n v="750162"/>
    <x v="4"/>
    <x v="11"/>
    <x v="181"/>
    <x v="6"/>
    <x v="0"/>
    <s v="ZONA DE CESIÓN "/>
    <x v="11"/>
    <s v="1395,93 MTS2"/>
    <x v="0"/>
  </r>
  <r>
    <s v="Tabla4"/>
    <n v="635511"/>
    <x v="4"/>
    <x v="18"/>
    <x v="182"/>
    <x v="5"/>
    <x v="0"/>
    <s v="BIEN FISCAL"/>
    <x v="31"/>
    <s v="N/A"/>
    <x v="0"/>
  </r>
  <r>
    <s v="Tabla4"/>
    <n v="534654"/>
    <x v="4"/>
    <x v="18"/>
    <x v="183"/>
    <x v="5"/>
    <x v="0"/>
    <s v="BIEN FISCAL"/>
    <x v="18"/>
    <s v="NA"/>
    <x v="0"/>
  </r>
  <r>
    <s v="Tabla4"/>
    <n v="582144"/>
    <x v="4"/>
    <x v="18"/>
    <x v="184"/>
    <x v="5"/>
    <x v="0"/>
    <s v="BIEN FISCAL"/>
    <x v="8"/>
    <s v="235,20"/>
    <x v="0"/>
  </r>
  <r>
    <s v="Tabla4"/>
    <n v="793476"/>
    <x v="4"/>
    <x v="9"/>
    <x v="185"/>
    <x v="0"/>
    <x v="0"/>
    <s v="ZONA DE CESIÓN "/>
    <x v="3"/>
    <s v="1.678.86 MTS2"/>
    <x v="0"/>
  </r>
  <r>
    <s v="Tabla4"/>
    <n v="561413"/>
    <x v="4"/>
    <x v="19"/>
    <x v="186"/>
    <x v="5"/>
    <x v="0"/>
    <s v="BIEN FISCAL"/>
    <x v="32"/>
    <s v="NA"/>
    <x v="0"/>
  </r>
  <r>
    <s v="Tabla4"/>
    <n v="534677"/>
    <x v="4"/>
    <x v="18"/>
    <x v="187"/>
    <x v="5"/>
    <x v="0"/>
    <s v="BIEN FISCAL"/>
    <x v="4"/>
    <s v="NA"/>
    <x v="0"/>
  </r>
  <r>
    <s v="Tabla4"/>
    <s v="664524"/>
    <x v="4"/>
    <x v="9"/>
    <x v="188"/>
    <x v="0"/>
    <x v="0"/>
    <s v="BIEN FISCAL"/>
    <x v="18"/>
    <s v="320.40M2"/>
    <x v="0"/>
  </r>
  <r>
    <s v="Tabla4"/>
    <n v="541653"/>
    <x v="4"/>
    <x v="18"/>
    <x v="189"/>
    <x v="5"/>
    <x v="0"/>
    <s v="BIEN FISCAL"/>
    <x v="1"/>
    <s v="NA"/>
    <x v="0"/>
  </r>
  <r>
    <s v="Tabla4"/>
    <n v="534671"/>
    <x v="4"/>
    <x v="18"/>
    <x v="190"/>
    <x v="5"/>
    <x v="0"/>
    <s v="BIEN FISCAL"/>
    <x v="33"/>
    <s v="NA"/>
    <x v="0"/>
  </r>
  <r>
    <s v="Tabla4"/>
    <n v="673114"/>
    <x v="4"/>
    <x v="18"/>
    <x v="191"/>
    <x v="5"/>
    <x v="0"/>
    <s v="BIEN FISCAL"/>
    <x v="4"/>
    <n v="476"/>
    <x v="0"/>
  </r>
  <r>
    <s v="Tabla4"/>
    <n v="692782"/>
    <x v="4"/>
    <x v="15"/>
    <x v="134"/>
    <x v="0"/>
    <x v="0"/>
    <s v="BIEN FISCAL"/>
    <x v="10"/>
    <n v="32.06"/>
    <x v="0"/>
  </r>
  <r>
    <s v="Tabla4"/>
    <n v="679310"/>
    <x v="4"/>
    <x v="18"/>
    <x v="192"/>
    <x v="5"/>
    <x v="0"/>
    <s v="BIEN FISCAL"/>
    <x v="29"/>
    <s v="N/A"/>
    <x v="0"/>
  </r>
  <r>
    <s v="Tabla4"/>
    <n v="255241"/>
    <x v="4"/>
    <x v="9"/>
    <x v="193"/>
    <x v="5"/>
    <x v="0"/>
    <s v="ZONA DE CESIÓN "/>
    <x v="4"/>
    <n v="60"/>
    <x v="0"/>
  </r>
  <r>
    <s v="Tabla4"/>
    <n v="683132"/>
    <x v="4"/>
    <x v="18"/>
    <x v="194"/>
    <x v="5"/>
    <x v="0"/>
    <s v="BIEN FISCAL"/>
    <x v="11"/>
    <s v="243,77"/>
    <x v="2"/>
  </r>
  <r>
    <s v="Tabla4"/>
    <n v="470618"/>
    <x v="4"/>
    <x v="18"/>
    <x v="195"/>
    <x v="5"/>
    <x v="0"/>
    <s v="BIEN FISCAL"/>
    <x v="1"/>
    <s v="NA"/>
    <x v="0"/>
  </r>
  <r>
    <s v="Tabla4"/>
    <n v="668910"/>
    <x v="4"/>
    <x v="18"/>
    <x v="196"/>
    <x v="5"/>
    <x v="0"/>
    <s v="BIEN FISCAL"/>
    <x v="11"/>
    <s v="N/A"/>
    <x v="0"/>
  </r>
  <r>
    <s v="Tabla4"/>
    <n v="546196"/>
    <x v="4"/>
    <x v="11"/>
    <x v="197"/>
    <x v="6"/>
    <x v="0"/>
    <s v="PRIVADO"/>
    <x v="2"/>
    <s v="NA"/>
    <x v="0"/>
  </r>
  <r>
    <s v="Tabla4"/>
    <n v="701137"/>
    <x v="4"/>
    <x v="9"/>
    <x v="198"/>
    <x v="0"/>
    <x v="0"/>
    <s v="ZONA DE CESIÓN "/>
    <x v="29"/>
    <s v="900 MS"/>
    <x v="0"/>
  </r>
  <r>
    <s v="Tabla4"/>
    <n v="660780"/>
    <x v="4"/>
    <x v="11"/>
    <x v="199"/>
    <x v="6"/>
    <x v="0"/>
    <s v="ZONA DE CESIÓN "/>
    <x v="11"/>
    <s v="15,000 Mts2"/>
    <x v="1"/>
  </r>
  <r>
    <s v="Tabla4"/>
    <n v="650110"/>
    <x v="4"/>
    <x v="11"/>
    <x v="32"/>
    <x v="6"/>
    <x v="0"/>
    <s v="ZONA DE CESIÓN "/>
    <x v="8"/>
    <s v="POR ESTABLECER"/>
    <x v="0"/>
  </r>
  <r>
    <s v="Tabla4"/>
    <n v="455749"/>
    <x v="4"/>
    <x v="11"/>
    <x v="200"/>
    <x v="6"/>
    <x v="0"/>
    <s v="ZONA DE CESIÓN "/>
    <x v="0"/>
    <n v="5760"/>
    <x v="0"/>
  </r>
  <r>
    <s v="Tabla4"/>
    <n v="593130"/>
    <x v="4"/>
    <x v="15"/>
    <x v="201"/>
    <x v="6"/>
    <x v="0"/>
    <s v="N/A"/>
    <x v="2"/>
    <s v="N/A"/>
    <x v="0"/>
  </r>
  <r>
    <s v="Tabla4"/>
    <s v="653520"/>
    <x v="4"/>
    <x v="11"/>
    <x v="202"/>
    <x v="5"/>
    <x v="0"/>
    <s v="ZONA DE CESIÓN "/>
    <x v="29"/>
    <s v="N/A"/>
    <x v="2"/>
  </r>
  <r>
    <s v="Tabla4"/>
    <n v="651297"/>
    <x v="4"/>
    <x v="11"/>
    <x v="203"/>
    <x v="0"/>
    <x v="0"/>
    <s v="VIA VEHICULAR"/>
    <x v="29"/>
    <m/>
    <x v="0"/>
  </r>
  <r>
    <s v="Tabla4"/>
    <n v="334329"/>
    <x v="4"/>
    <x v="20"/>
    <x v="204"/>
    <x v="5"/>
    <x v="0"/>
    <s v="PRIVADO"/>
    <x v="34"/>
    <s v="NA"/>
    <x v="11"/>
  </r>
  <r>
    <s v="Tabla4"/>
    <n v="600630"/>
    <x v="4"/>
    <x v="21"/>
    <x v="71"/>
    <x v="0"/>
    <x v="0"/>
    <s v="ZONA DE CESIÓN "/>
    <x v="22"/>
    <n v="44650"/>
    <x v="0"/>
  </r>
  <r>
    <s v="Tabla4"/>
    <n v="664511"/>
    <x v="4"/>
    <x v="11"/>
    <x v="205"/>
    <x v="5"/>
    <x v="0"/>
    <s v="ZONA DE CESIÓN "/>
    <x v="29"/>
    <s v="N/A"/>
    <x v="0"/>
  </r>
  <r>
    <s v="Tabla4"/>
    <n v="546199"/>
    <x v="4"/>
    <x v="11"/>
    <x v="206"/>
    <x v="6"/>
    <x v="0"/>
    <s v="ZONA DE CESIÓN "/>
    <x v="15"/>
    <s v="11,423,77 M2"/>
    <x v="0"/>
  </r>
  <r>
    <s v="Tabla4"/>
    <n v="561539"/>
    <x v="4"/>
    <x v="11"/>
    <x v="207"/>
    <x v="6"/>
    <x v="0"/>
    <s v="ZONA DE CESIÓN "/>
    <x v="11"/>
    <n v="3465"/>
    <x v="0"/>
  </r>
  <r>
    <s v="Tabla4"/>
    <n v="744079"/>
    <x v="4"/>
    <x v="9"/>
    <x v="208"/>
    <x v="5"/>
    <x v="0"/>
    <s v="ZONA DE CESIÓN "/>
    <x v="4"/>
    <s v="N/A"/>
    <x v="0"/>
  </r>
  <r>
    <s v="Tabla4"/>
    <n v="792124"/>
    <x v="4"/>
    <x v="9"/>
    <x v="209"/>
    <x v="5"/>
    <x v="0"/>
    <s v="ZONA DE CESIÓN "/>
    <x v="4"/>
    <s v="N/A"/>
    <x v="0"/>
  </r>
  <r>
    <s v="Tabla4"/>
    <n v="334865"/>
    <x v="4"/>
    <x v="9"/>
    <x v="210"/>
    <x v="0"/>
    <x v="0"/>
    <s v="HUMEDAL"/>
    <x v="15"/>
    <n v="2789.44"/>
    <x v="1"/>
  </r>
  <r>
    <s v="Tabla4"/>
    <n v="565560"/>
    <x v="4"/>
    <x v="11"/>
    <x v="211"/>
    <x v="6"/>
    <x v="0"/>
    <s v="ZONA DE CESIÓN "/>
    <x v="5"/>
    <s v="93,1 MTS"/>
    <x v="1"/>
  </r>
  <r>
    <s v="Tabla4"/>
    <n v="747488"/>
    <x v="4"/>
    <x v="15"/>
    <x v="212"/>
    <x v="6"/>
    <x v="0"/>
    <s v="PRIVADO"/>
    <x v="2"/>
    <s v="NA"/>
    <x v="0"/>
  </r>
  <r>
    <s v="Tabla4"/>
    <n v="530000"/>
    <x v="4"/>
    <x v="15"/>
    <x v="213"/>
    <x v="6"/>
    <x v="0"/>
    <s v="BIEN FISCAL"/>
    <x v="6"/>
    <n v="228.74"/>
    <x v="0"/>
  </r>
  <r>
    <s v="Tabla4"/>
    <n v="682791"/>
    <x v="4"/>
    <x v="11"/>
    <x v="214"/>
    <x v="5"/>
    <x v="0"/>
    <s v="ZONA DE CESIÓN "/>
    <x v="15"/>
    <s v="N/A"/>
    <x v="0"/>
  </r>
  <r>
    <s v="Tabla4"/>
    <n v="667385"/>
    <x v="4"/>
    <x v="14"/>
    <x v="215"/>
    <x v="5"/>
    <x v="0"/>
    <s v="ZONA DE CESIÓN "/>
    <x v="29"/>
    <s v="30,2"/>
    <x v="2"/>
  </r>
  <r>
    <s v="Tabla4"/>
    <s v="681657"/>
    <x v="4"/>
    <x v="22"/>
    <x v="216"/>
    <x v="0"/>
    <x v="0"/>
    <s v="ZONA DE CESIÓN "/>
    <x v="15"/>
    <s v="6.370.04M2"/>
    <x v="0"/>
  </r>
  <r>
    <s v="Tabla4"/>
    <n v="706387"/>
    <x v="4"/>
    <x v="9"/>
    <x v="217"/>
    <x v="5"/>
    <x v="0"/>
    <s v="ZONA DE CESIÓN "/>
    <x v="4"/>
    <s v="N/A"/>
    <x v="0"/>
  </r>
  <r>
    <s v="Tabla4"/>
    <n v="505455"/>
    <x v="4"/>
    <x v="11"/>
    <x v="218"/>
    <x v="6"/>
    <x v="0"/>
    <s v="ZONA DE CESIÓN "/>
    <x v="1"/>
    <n v="10480"/>
    <x v="0"/>
  </r>
  <r>
    <s v="Tabla4"/>
    <n v="597702"/>
    <x v="4"/>
    <x v="11"/>
    <x v="59"/>
    <x v="5"/>
    <x v="0"/>
    <s v="ZONA DE CESIÓN "/>
    <x v="4"/>
    <s v="N/A"/>
    <x v="0"/>
  </r>
  <r>
    <s v="Tabla4"/>
    <n v="716731"/>
    <x v="4"/>
    <x v="9"/>
    <x v="219"/>
    <x v="0"/>
    <x v="0"/>
    <s v="ZONA DE CESIÓN "/>
    <x v="4"/>
    <s v="5.810.26 Mts2"/>
    <x v="0"/>
  </r>
  <r>
    <s v="Tabla4"/>
    <n v="546194"/>
    <x v="4"/>
    <x v="15"/>
    <x v="220"/>
    <x v="6"/>
    <x v="0"/>
    <s v="BIEN FISCAL"/>
    <x v="6"/>
    <n v="321.16000000000003"/>
    <x v="0"/>
  </r>
  <r>
    <s v="Tabla4"/>
    <n v="768941"/>
    <x v="4"/>
    <x v="12"/>
    <x v="221"/>
    <x v="0"/>
    <x v="0"/>
    <s v="ZONA DE CESIÓN "/>
    <x v="15"/>
    <s v="NA"/>
    <x v="1"/>
  </r>
  <r>
    <s v="Tabla4"/>
    <n v="653514"/>
    <x v="4"/>
    <x v="11"/>
    <x v="222"/>
    <x v="5"/>
    <x v="0"/>
    <s v="ZONA DE CESIÓN "/>
    <x v="0"/>
    <s v="N/A"/>
    <x v="0"/>
  </r>
  <r>
    <s v="Tabla4"/>
    <n v="744339"/>
    <x v="4"/>
    <x v="11"/>
    <x v="223"/>
    <x v="0"/>
    <x v="0"/>
    <s v="ZONA DE CESIÓN "/>
    <x v="4"/>
    <n v="438.86"/>
    <x v="0"/>
  </r>
  <r>
    <s v="Tabla4"/>
    <n v="651277"/>
    <x v="4"/>
    <x v="11"/>
    <x v="224"/>
    <x v="0"/>
    <x v="0"/>
    <s v="ZONA DE CESIÓN "/>
    <x v="0"/>
    <s v="784,35 M2"/>
    <x v="0"/>
  </r>
  <r>
    <s v="Tabla4"/>
    <n v="749867"/>
    <x v="4"/>
    <x v="11"/>
    <x v="225"/>
    <x v="5"/>
    <x v="0"/>
    <s v="ZONA DE CESIÓN "/>
    <x v="5"/>
    <s v="N/A"/>
    <x v="0"/>
  </r>
  <r>
    <s v="Tabla4"/>
    <n v="583560"/>
    <x v="4"/>
    <x v="11"/>
    <x v="226"/>
    <x v="6"/>
    <x v="0"/>
    <s v="EL PREDIO NO SE ENCUENTRA INCORPORADO."/>
    <x v="34"/>
    <s v="SIN ESTABLECER"/>
    <x v="0"/>
  </r>
  <r>
    <s v="Tabla4"/>
    <n v="762281"/>
    <x v="4"/>
    <x v="11"/>
    <x v="227"/>
    <x v="0"/>
    <x v="0"/>
    <s v="ZONA DE CESIÓN "/>
    <x v="4"/>
    <n v="3643"/>
    <x v="0"/>
  </r>
  <r>
    <s v="Tabla4"/>
    <n v="655612"/>
    <x v="4"/>
    <x v="11"/>
    <x v="228"/>
    <x v="6"/>
    <x v="0"/>
    <s v="ZONA DE CESIÓN "/>
    <x v="4"/>
    <s v="1301,8 M2"/>
    <x v="0"/>
  </r>
  <r>
    <s v="Tabla4"/>
    <n v="749824"/>
    <x v="4"/>
    <x v="11"/>
    <x v="229"/>
    <x v="5"/>
    <x v="0"/>
    <s v="ZONA DE CESIÓN "/>
    <x v="0"/>
    <s v="N/A"/>
    <x v="0"/>
  </r>
  <r>
    <s v="Tabla4"/>
    <n v="653337"/>
    <x v="4"/>
    <x v="15"/>
    <x v="230"/>
    <x v="6"/>
    <x v="0"/>
    <s v="ZONA DE CESIÓN "/>
    <x v="35"/>
    <s v="POR  ESTABLECER "/>
    <x v="0"/>
  </r>
  <r>
    <s v="Tabla4"/>
    <n v="653333"/>
    <x v="4"/>
    <x v="11"/>
    <x v="231"/>
    <x v="6"/>
    <x v="0"/>
    <s v="N/A"/>
    <x v="35"/>
    <s v="POR ESTABLECER"/>
    <x v="0"/>
  </r>
  <r>
    <s v="Tabla4"/>
    <n v="550502"/>
    <x v="4"/>
    <x v="15"/>
    <x v="232"/>
    <x v="6"/>
    <x v="0"/>
    <s v="ZONA DE CESIÓN "/>
    <x v="9"/>
    <s v="NA"/>
    <x v="0"/>
  </r>
  <r>
    <s v="Tabla4"/>
    <n v="744119"/>
    <x v="4"/>
    <x v="11"/>
    <x v="233"/>
    <x v="0"/>
    <x v="0"/>
    <s v="ZONA DE CESIÓN "/>
    <x v="9"/>
    <n v="359.55"/>
    <x v="0"/>
  </r>
  <r>
    <s v="Tabla4"/>
    <n v="711752"/>
    <x v="4"/>
    <x v="15"/>
    <x v="234"/>
    <x v="6"/>
    <x v="0"/>
    <s v="PRIVADO"/>
    <x v="3"/>
    <s v="NA"/>
    <x v="0"/>
  </r>
  <r>
    <s v="Tabla4"/>
    <n v="774792"/>
    <x v="4"/>
    <x v="23"/>
    <x v="138"/>
    <x v="0"/>
    <x v="0"/>
    <s v="N/A"/>
    <x v="2"/>
    <s v="N/A"/>
    <x v="0"/>
  </r>
  <r>
    <s v="Tabla4"/>
    <n v="650108"/>
    <x v="4"/>
    <x v="11"/>
    <x v="235"/>
    <x v="6"/>
    <x v="0"/>
    <s v="ZONA DE CESIÓN "/>
    <x v="8"/>
    <n v="135"/>
    <x v="0"/>
  </r>
  <r>
    <s v="Tabla4"/>
    <n v="587999"/>
    <x v="4"/>
    <x v="15"/>
    <x v="236"/>
    <x v="6"/>
    <x v="0"/>
    <s v="ZONA DE CESIÓN "/>
    <x v="4"/>
    <m/>
    <x v="1"/>
  </r>
  <r>
    <s v="Tabla4"/>
    <n v="675674"/>
    <x v="4"/>
    <x v="14"/>
    <x v="237"/>
    <x v="5"/>
    <x v="0"/>
    <s v="N/A"/>
    <x v="2"/>
    <s v="NA"/>
    <x v="0"/>
  </r>
  <r>
    <s v="Tabla4"/>
    <n v="684782"/>
    <x v="4"/>
    <x v="14"/>
    <x v="238"/>
    <x v="5"/>
    <x v="0"/>
    <s v="ZONA DE CESIÓN "/>
    <x v="2"/>
    <s v="N/A"/>
    <x v="0"/>
  </r>
  <r>
    <s v="Tabla4"/>
    <n v="15834"/>
    <x v="4"/>
    <x v="18"/>
    <x v="239"/>
    <x v="5"/>
    <x v="0"/>
    <s v="PRIVADO"/>
    <x v="34"/>
    <s v="NA"/>
    <x v="11"/>
  </r>
  <r>
    <s v="Tabla4"/>
    <n v="617495"/>
    <x v="4"/>
    <x v="21"/>
    <x v="240"/>
    <x v="6"/>
    <x v="0"/>
    <s v="ZONA DE CESIÓN "/>
    <x v="11"/>
    <s v="PTE"/>
    <x v="0"/>
  </r>
  <r>
    <s v="Tabla4"/>
    <n v="723131"/>
    <x v="4"/>
    <x v="12"/>
    <x v="241"/>
    <x v="0"/>
    <x v="0"/>
    <s v="BIEN DE USO PUBLICO"/>
    <x v="3"/>
    <s v="4.903.18"/>
    <x v="0"/>
  </r>
  <r>
    <s v="Tabla4"/>
    <n v="750157"/>
    <x v="4"/>
    <x v="15"/>
    <x v="242"/>
    <x v="6"/>
    <x v="0"/>
    <s v="BIEN DE USO PUBLICO"/>
    <x v="5"/>
    <s v="NA"/>
    <x v="0"/>
  </r>
  <r>
    <s v="Tabla4"/>
    <n v="622600"/>
    <x v="4"/>
    <x v="9"/>
    <x v="243"/>
    <x v="5"/>
    <x v="0"/>
    <s v="ZONA DE CESIÓN "/>
    <x v="29"/>
    <s v="N/A"/>
    <x v="0"/>
  </r>
  <r>
    <s v="Tabla4"/>
    <s v="622592"/>
    <x v="4"/>
    <x v="23"/>
    <x v="243"/>
    <x v="5"/>
    <x v="0"/>
    <s v="ZONA DE CESIÓN "/>
    <x v="1"/>
    <s v="N/A"/>
    <x v="0"/>
  </r>
  <r>
    <s v="Tabla4"/>
    <n v="653345"/>
    <x v="4"/>
    <x v="11"/>
    <x v="244"/>
    <x v="6"/>
    <x v="0"/>
    <s v="ZONA DE CESIÓN "/>
    <x v="29"/>
    <s v="283.98 m²"/>
    <x v="0"/>
  </r>
  <r>
    <s v="Tabla4"/>
    <n v="653348"/>
    <x v="4"/>
    <x v="11"/>
    <x v="245"/>
    <x v="6"/>
    <x v="0"/>
    <s v="ZONA DE CESIÓN "/>
    <x v="29"/>
    <s v="22828.45 m²"/>
    <x v="0"/>
  </r>
  <r>
    <s v="Tabla4"/>
    <n v="610364"/>
    <x v="4"/>
    <x v="21"/>
    <x v="246"/>
    <x v="6"/>
    <x v="0"/>
    <s v="BIEN FISCAL"/>
    <x v="5"/>
    <s v="N/A"/>
    <x v="2"/>
  </r>
  <r>
    <s v="Tabla4"/>
    <n v="622464"/>
    <x v="4"/>
    <x v="11"/>
    <x v="112"/>
    <x v="0"/>
    <x v="0"/>
    <s v="N/A"/>
    <x v="0"/>
    <n v="17387"/>
    <x v="0"/>
  </r>
  <r>
    <s v="Tabla4"/>
    <n v="681919"/>
    <x v="4"/>
    <x v="15"/>
    <x v="247"/>
    <x v="0"/>
    <x v="0"/>
    <s v="BIEN FISCAL"/>
    <x v="6"/>
    <s v="226-45 MTS2"/>
    <x v="0"/>
  </r>
  <r>
    <s v="Tabla4"/>
    <n v="651225"/>
    <x v="4"/>
    <x v="11"/>
    <x v="220"/>
    <x v="0"/>
    <x v="0"/>
    <s v="VIA PEATONAL"/>
    <x v="29"/>
    <m/>
    <x v="0"/>
  </r>
  <r>
    <s v="Tabla4"/>
    <n v="670186"/>
    <x v="4"/>
    <x v="11"/>
    <x v="244"/>
    <x v="6"/>
    <x v="0"/>
    <s v="ZONA DE CESIÓN "/>
    <x v="22"/>
    <s v="POR ESTABLECER"/>
    <x v="0"/>
  </r>
  <r>
    <s v="Tabla4"/>
    <n v="653354"/>
    <x v="4"/>
    <x v="11"/>
    <x v="248"/>
    <x v="6"/>
    <x v="0"/>
    <s v="ZONA DE CESIÓN "/>
    <x v="36"/>
    <s v="3560.14 m²"/>
    <x v="0"/>
  </r>
  <r>
    <s v="Tabla4"/>
    <n v="653363"/>
    <x v="4"/>
    <x v="11"/>
    <x v="249"/>
    <x v="6"/>
    <x v="0"/>
    <s v="ZONA DE CESIÓN "/>
    <x v="9"/>
    <s v="25.45 m²"/>
    <x v="0"/>
  </r>
  <r>
    <s v="Tabla4"/>
    <n v="651244"/>
    <x v="4"/>
    <x v="11"/>
    <x v="76"/>
    <x v="0"/>
    <x v="0"/>
    <s v="VIA VEHICULAR"/>
    <x v="29"/>
    <m/>
    <x v="0"/>
  </r>
  <r>
    <s v="Tabla4"/>
    <n v="802138"/>
    <x v="4"/>
    <x v="11"/>
    <x v="250"/>
    <x v="6"/>
    <x v="0"/>
    <s v="BIEN DE USO PUBLICO"/>
    <x v="36"/>
    <s v="248, 84"/>
    <x v="0"/>
  </r>
  <r>
    <s v="Tabla4"/>
    <n v="651298"/>
    <x v="4"/>
    <x v="11"/>
    <x v="251"/>
    <x v="0"/>
    <x v="0"/>
    <s v="VIA VEHICULAR"/>
    <x v="36"/>
    <s v="1.999.4 M2"/>
    <x v="2"/>
  </r>
  <r>
    <s v="Tabla4"/>
    <n v="681132"/>
    <x v="4"/>
    <x v="21"/>
    <x v="252"/>
    <x v="0"/>
    <x v="0"/>
    <s v="VIA VEHICULAR"/>
    <x v="29"/>
    <s v="3.931,25MTS2"/>
    <x v="0"/>
  </r>
  <r>
    <s v="Tabla4"/>
    <n v="789394"/>
    <x v="4"/>
    <x v="21"/>
    <x v="253"/>
    <x v="6"/>
    <x v="0"/>
    <s v="ZONA DE CESIÓN "/>
    <x v="3"/>
    <s v="             3.248,00"/>
    <x v="4"/>
  </r>
  <r>
    <s v="Tabla4"/>
    <s v="744074_x0009_"/>
    <x v="4"/>
    <x v="9"/>
    <x v="254"/>
    <x v="5"/>
    <x v="0"/>
    <s v="ZONA DE CESIÓN "/>
    <x v="3"/>
    <s v="N/A"/>
    <x v="0"/>
  </r>
  <r>
    <s v="Tabla4"/>
    <n v="727718"/>
    <x v="4"/>
    <x v="9"/>
    <x v="255"/>
    <x v="6"/>
    <x v="0"/>
    <s v="BIEN DE USO PUBLICO"/>
    <x v="11"/>
    <s v="4,868,65"/>
    <x v="0"/>
  </r>
  <r>
    <s v="Tabla4"/>
    <n v="800982"/>
    <x v="4"/>
    <x v="11"/>
    <x v="256"/>
    <x v="5"/>
    <x v="0"/>
    <s v="ZONA DE CESIÓN "/>
    <x v="3"/>
    <s v="N/A"/>
    <x v="0"/>
  </r>
  <r>
    <s v="Tabla4"/>
    <s v="no se registra SIPROJhasta confirmar ubicación inmuebles"/>
    <x v="4"/>
    <x v="11"/>
    <x v="91"/>
    <x v="5"/>
    <x v="0"/>
    <s v="ZONA DE CESIÓN "/>
    <x v="15"/>
    <s v="N/A"/>
    <x v="0"/>
  </r>
  <r>
    <s v="Tabla4"/>
    <n v="810864"/>
    <x v="4"/>
    <x v="18"/>
    <x v="257"/>
    <x v="5"/>
    <x v="0"/>
    <s v="BIEN FISCAL"/>
    <x v="11"/>
    <s v="N/A"/>
    <x v="0"/>
  </r>
  <r>
    <s v="Tabla4"/>
    <s v="NO SE REGISTRA EN SIPROJ HASTA ADMISIÓN DEMANDA"/>
    <x v="4"/>
    <x v="18"/>
    <x v="258"/>
    <x v="5"/>
    <x v="0"/>
    <s v="BIEN FISCAL"/>
    <x v="29"/>
    <s v="N/A"/>
    <x v="0"/>
  </r>
  <r>
    <s v="Tabla4"/>
    <s v="NO SE REGISTRA EN SIPROJ HASTA ADMISIÓN DEMANDA"/>
    <x v="4"/>
    <x v="18"/>
    <x v="259"/>
    <x v="5"/>
    <x v="0"/>
    <s v="BIEN FISCAL"/>
    <x v="37"/>
    <s v="N/A"/>
    <x v="0"/>
  </r>
  <r>
    <s v="Tabla4"/>
    <n v="801141"/>
    <x v="4"/>
    <x v="11"/>
    <x v="91"/>
    <x v="0"/>
    <x v="0"/>
    <s v="ZONA DE CESIÓN "/>
    <x v="3"/>
    <s v="N/A"/>
    <x v="0"/>
  </r>
  <r>
    <s v="Tabla4"/>
    <n v="801038"/>
    <x v="4"/>
    <x v="11"/>
    <x v="260"/>
    <x v="0"/>
    <x v="0"/>
    <s v="ZONA DE CESIÓN "/>
    <x v="0"/>
    <s v="N/A"/>
    <x v="0"/>
  </r>
  <r>
    <s v="Tabla4"/>
    <s v="NO SE REGISTRA EN SIPROJ HASTA VERIFICACIÓN DEMANDA "/>
    <x v="4"/>
    <x v="14"/>
    <x v="261"/>
    <x v="5"/>
    <x v="0"/>
    <s v="BIEN DE USO PUBLICO"/>
    <x v="6"/>
    <s v="N/A"/>
    <x v="0"/>
  </r>
  <r>
    <s v="Tabla4"/>
    <s v="NO SE REGISTRA EN SIPROJ HASTA ADMISIÓN DEMANDA"/>
    <x v="4"/>
    <x v="18"/>
    <x v="262"/>
    <x v="5"/>
    <x v="0"/>
    <s v="BIEN FISCAL"/>
    <x v="11"/>
    <s v="N/A"/>
    <x v="0"/>
  </r>
  <r>
    <s v="Tabla4"/>
    <s v="NO SE REGISTRA EN SIPROJ HASTA ADMISIÓN DEMANDA"/>
    <x v="4"/>
    <x v="24"/>
    <x v="96"/>
    <x v="5"/>
    <x v="0"/>
    <s v="ZONA DE CESIÓN "/>
    <x v="4"/>
    <s v="N/A"/>
    <x v="0"/>
  </r>
  <r>
    <s v="Tabla4"/>
    <n v="802175"/>
    <x v="4"/>
    <x v="11"/>
    <x v="263"/>
    <x v="6"/>
    <x v="0"/>
    <s v="BIEN DE USO PUBLICO"/>
    <x v="2"/>
    <n v="1372"/>
    <x v="0"/>
  </r>
  <r>
    <s v="Tabla4"/>
    <n v="750170"/>
    <x v="4"/>
    <x v="11"/>
    <x v="264"/>
    <x v="6"/>
    <x v="0"/>
    <s v="PRIVADO"/>
    <x v="36"/>
    <s v="POR ESTABLECER"/>
    <x v="0"/>
  </r>
  <r>
    <s v="Tabla5"/>
    <n v="715785"/>
    <x v="5"/>
    <x v="25"/>
    <x v="217"/>
    <x v="7"/>
    <x v="0"/>
    <s v="ZONA DE CESIÓN "/>
    <x v="29"/>
    <s v="N/A"/>
    <x v="0"/>
  </r>
  <r>
    <s v="Tabla5"/>
    <n v="432549"/>
    <x v="5"/>
    <x v="25"/>
    <x v="265"/>
    <x v="7"/>
    <x v="0"/>
    <s v="ZONA DE CESIÓN "/>
    <x v="18"/>
    <s v="NA"/>
    <x v="0"/>
  </r>
  <r>
    <s v="Tabla5"/>
    <n v="705577"/>
    <x v="5"/>
    <x v="25"/>
    <x v="266"/>
    <x v="7"/>
    <x v="0"/>
    <s v="N/A"/>
    <x v="29"/>
    <s v="N/A"/>
    <x v="0"/>
  </r>
  <r>
    <s v="Tabla5"/>
    <n v="674820"/>
    <x v="5"/>
    <x v="26"/>
    <x v="267"/>
    <x v="7"/>
    <x v="0"/>
    <s v="BIEN FISCAL"/>
    <x v="18"/>
    <s v="N/A"/>
    <x v="0"/>
  </r>
  <r>
    <s v="Tabla5"/>
    <n v="336200"/>
    <x v="5"/>
    <x v="25"/>
    <x v="268"/>
    <x v="7"/>
    <x v="0"/>
    <s v="ZONA DE CESIÓN "/>
    <x v="11"/>
    <s v="NA"/>
    <x v="0"/>
  </r>
  <r>
    <s v="Tabla5"/>
    <n v="523266"/>
    <x v="5"/>
    <x v="25"/>
    <x v="269"/>
    <x v="7"/>
    <x v="0"/>
    <s v="BIEN FISCAL"/>
    <x v="3"/>
    <s v="NA"/>
    <x v="0"/>
  </r>
  <r>
    <s v="Tabla5"/>
    <n v="478069"/>
    <x v="5"/>
    <x v="25"/>
    <x v="270"/>
    <x v="7"/>
    <x v="0"/>
    <s v="BIEN DE USO PUBLICO"/>
    <x v="15"/>
    <s v="NA"/>
    <x v="0"/>
  </r>
  <r>
    <s v="Tabla5"/>
    <n v="539716"/>
    <x v="5"/>
    <x v="25"/>
    <x v="271"/>
    <x v="7"/>
    <x v="0"/>
    <s v="BIEN DE USO PUBLICO"/>
    <x v="5"/>
    <s v="NA"/>
    <x v="0"/>
  </r>
  <r>
    <s v="Tabla5"/>
    <n v="539715"/>
    <x v="5"/>
    <x v="25"/>
    <x v="272"/>
    <x v="7"/>
    <x v="0"/>
    <s v="BIEN DE USO PUBLICO"/>
    <x v="3"/>
    <s v="NA"/>
    <x v="0"/>
  </r>
  <r>
    <s v="Tabla5"/>
    <n v="523930"/>
    <x v="5"/>
    <x v="25"/>
    <x v="273"/>
    <x v="7"/>
    <x v="0"/>
    <s v="ZONA DE CESIÓN "/>
    <x v="5"/>
    <s v="NA"/>
    <x v="1"/>
  </r>
  <r>
    <s v="Tabla5"/>
    <n v="479932"/>
    <x v="5"/>
    <x v="25"/>
    <x v="274"/>
    <x v="7"/>
    <x v="0"/>
    <s v="ZONA DE CESIÓN "/>
    <x v="15"/>
    <s v="NA"/>
    <x v="0"/>
  </r>
  <r>
    <s v="Tabla5"/>
    <n v="607901"/>
    <x v="5"/>
    <x v="25"/>
    <x v="275"/>
    <x v="7"/>
    <x v="0"/>
    <s v="N/A"/>
    <x v="1"/>
    <s v="N/A"/>
    <x v="0"/>
  </r>
  <r>
    <s v="Tabla5"/>
    <n v="462173"/>
    <x v="5"/>
    <x v="25"/>
    <x v="276"/>
    <x v="7"/>
    <x v="0"/>
    <s v="ZONA DE CESIÓN "/>
    <x v="4"/>
    <s v="NA"/>
    <x v="0"/>
  </r>
  <r>
    <s v="Tabla5"/>
    <n v="538181"/>
    <x v="5"/>
    <x v="25"/>
    <x v="277"/>
    <x v="7"/>
    <x v="0"/>
    <s v="BIEN FISCAL"/>
    <x v="6"/>
    <s v="NA"/>
    <x v="0"/>
  </r>
  <r>
    <s v="Tabla5"/>
    <s v="747601"/>
    <x v="5"/>
    <x v="25"/>
    <x v="278"/>
    <x v="7"/>
    <x v="0"/>
    <s v="N/A"/>
    <x v="2"/>
    <s v="N/A"/>
    <x v="0"/>
  </r>
  <r>
    <s v="Tabla5"/>
    <n v="336196"/>
    <x v="5"/>
    <x v="25"/>
    <x v="279"/>
    <x v="7"/>
    <x v="0"/>
    <s v="ZONA DE CESIÓN "/>
    <x v="15"/>
    <s v="NA"/>
    <x v="0"/>
  </r>
  <r>
    <s v="Tabla5"/>
    <n v="447619"/>
    <x v="5"/>
    <x v="25"/>
    <x v="280"/>
    <x v="7"/>
    <x v="0"/>
    <s v="ZONA DE CESIÓN "/>
    <x v="4"/>
    <s v="NA"/>
    <x v="0"/>
  </r>
  <r>
    <s v="Tabla5"/>
    <n v="523281"/>
    <x v="5"/>
    <x v="25"/>
    <x v="207"/>
    <x v="7"/>
    <x v="0"/>
    <s v="N/A"/>
    <x v="3"/>
    <s v="NA"/>
    <x v="0"/>
  </r>
  <r>
    <s v="Tabla5"/>
    <n v="520242"/>
    <x v="5"/>
    <x v="25"/>
    <x v="281"/>
    <x v="7"/>
    <x v="0"/>
    <s v="BIEN FISCAL"/>
    <x v="3"/>
    <s v="NA"/>
    <x v="0"/>
  </r>
  <r>
    <s v="Tabla5"/>
    <n v="523035"/>
    <x v="5"/>
    <x v="25"/>
    <x v="282"/>
    <x v="7"/>
    <x v="0"/>
    <s v="ZONA DE CESIÓN "/>
    <x v="3"/>
    <s v="NA"/>
    <x v="0"/>
  </r>
  <r>
    <s v="Tabla5"/>
    <n v="621623"/>
    <x v="5"/>
    <x v="25"/>
    <x v="108"/>
    <x v="7"/>
    <x v="0"/>
    <s v="BIEN FISCAL"/>
    <x v="6"/>
    <s v="N/A"/>
    <x v="0"/>
  </r>
  <r>
    <s v="Tabla5"/>
    <n v="600990"/>
    <x v="5"/>
    <x v="25"/>
    <x v="283"/>
    <x v="7"/>
    <x v="0"/>
    <s v="BIEN FISCAL"/>
    <x v="9"/>
    <n v="1326"/>
    <x v="0"/>
  </r>
  <r>
    <s v="Tabla5"/>
    <s v=" 715403"/>
    <x v="5"/>
    <x v="25"/>
    <x v="1"/>
    <x v="7"/>
    <x v="0"/>
    <s v="ZONA DE CESIÓN "/>
    <x v="4"/>
    <n v="2126.66"/>
    <x v="0"/>
  </r>
  <r>
    <s v="Tabla5"/>
    <n v="559550"/>
    <x v="5"/>
    <x v="25"/>
    <x v="284"/>
    <x v="7"/>
    <x v="0"/>
    <s v="N/A"/>
    <x v="4"/>
    <s v="NA"/>
    <x v="0"/>
  </r>
  <r>
    <s v="Tabla5"/>
    <n v="402289"/>
    <x v="5"/>
    <x v="25"/>
    <x v="285"/>
    <x v="7"/>
    <x v="0"/>
    <s v="ZONA DE CESIÓN "/>
    <x v="1"/>
    <s v="NA"/>
    <x v="0"/>
  </r>
  <r>
    <s v="Tabla5"/>
    <n v="432751"/>
    <x v="5"/>
    <x v="25"/>
    <x v="286"/>
    <x v="7"/>
    <x v="0"/>
    <s v="ZONA DE CESIÓN "/>
    <x v="4"/>
    <s v="NA"/>
    <x v="0"/>
  </r>
  <r>
    <s v="Tabla5"/>
    <n v="708936"/>
    <x v="5"/>
    <x v="26"/>
    <x v="217"/>
    <x v="7"/>
    <x v="0"/>
    <s v="N/A"/>
    <x v="2"/>
    <s v="N/A"/>
    <x v="2"/>
  </r>
  <r>
    <s v="Tabla5"/>
    <n v="705583"/>
    <x v="5"/>
    <x v="25"/>
    <x v="287"/>
    <x v="7"/>
    <x v="0"/>
    <s v="ZONA DE CESIÓN "/>
    <x v="1"/>
    <n v="8612.58"/>
    <x v="0"/>
  </r>
  <r>
    <s v="Tabla5"/>
    <n v="581364"/>
    <x v="5"/>
    <x v="25"/>
    <x v="288"/>
    <x v="7"/>
    <x v="0"/>
    <s v="N/A"/>
    <x v="22"/>
    <s v="N/A"/>
    <x v="0"/>
  </r>
  <r>
    <s v="Tabla5"/>
    <s v="765053"/>
    <x v="5"/>
    <x v="25"/>
    <x v="289"/>
    <x v="7"/>
    <x v="0"/>
    <s v="ZONA DE CESIÓN "/>
    <x v="2"/>
    <s v="N/A"/>
    <x v="0"/>
  </r>
  <r>
    <s v="Tabla5"/>
    <n v="436884"/>
    <x v="5"/>
    <x v="25"/>
    <x v="290"/>
    <x v="7"/>
    <x v="0"/>
    <s v="ZONA DE CESIÓN "/>
    <x v="3"/>
    <s v="NA"/>
    <x v="0"/>
  </r>
  <r>
    <s v="Tabla5"/>
    <n v="594281"/>
    <x v="5"/>
    <x v="25"/>
    <x v="291"/>
    <x v="7"/>
    <x v="0"/>
    <s v="ZONA DE CESIÓN "/>
    <x v="3"/>
    <s v="21.000M2 "/>
    <x v="0"/>
  </r>
  <r>
    <s v="Tabla5"/>
    <n v="659008"/>
    <x v="5"/>
    <x v="25"/>
    <x v="292"/>
    <x v="7"/>
    <x v="0"/>
    <s v="ZONA DE CESIÓN "/>
    <x v="11"/>
    <s v="14,057.64"/>
    <x v="0"/>
  </r>
  <r>
    <s v="Tabla5"/>
    <n v="706375"/>
    <x v="5"/>
    <x v="25"/>
    <x v="293"/>
    <x v="7"/>
    <x v="0"/>
    <s v="N/A"/>
    <x v="38"/>
    <s v="N/A"/>
    <x v="0"/>
  </r>
  <r>
    <s v="Tabla5"/>
    <n v="624731"/>
    <x v="5"/>
    <x v="25"/>
    <x v="294"/>
    <x v="7"/>
    <x v="0"/>
    <s v="N/A"/>
    <x v="2"/>
    <s v="N/A"/>
    <x v="0"/>
  </r>
  <r>
    <s v="Tabla5"/>
    <n v="58873"/>
    <x v="5"/>
    <x v="25"/>
    <x v="295"/>
    <x v="7"/>
    <x v="0"/>
    <s v="ZONA DE CESIÓN "/>
    <x v="3"/>
    <s v="N/A"/>
    <x v="0"/>
  </r>
  <r>
    <s v="Tabla5"/>
    <n v="629935"/>
    <x v="5"/>
    <x v="25"/>
    <x v="296"/>
    <x v="7"/>
    <x v="0"/>
    <s v="N/A"/>
    <x v="2"/>
    <s v="N/A"/>
    <x v="0"/>
  </r>
  <r>
    <s v="Tabla5"/>
    <n v="644600"/>
    <x v="5"/>
    <x v="25"/>
    <x v="297"/>
    <x v="7"/>
    <x v="0"/>
    <s v="N/A"/>
    <x v="2"/>
    <s v="N/A"/>
    <x v="0"/>
  </r>
  <r>
    <s v="Tabla5"/>
    <n v="708778"/>
    <x v="5"/>
    <x v="25"/>
    <x v="298"/>
    <x v="7"/>
    <x v="0"/>
    <s v="N/A"/>
    <x v="22"/>
    <s v="N/A"/>
    <x v="0"/>
  </r>
  <r>
    <s v="Tabla5"/>
    <n v="687911"/>
    <x v="5"/>
    <x v="25"/>
    <x v="194"/>
    <x v="7"/>
    <x v="0"/>
    <s v="N/A"/>
    <x v="2"/>
    <s v="N/A"/>
    <x v="0"/>
  </r>
  <r>
    <s v="Tabla5"/>
    <n v="698633"/>
    <x v="5"/>
    <x v="25"/>
    <x v="299"/>
    <x v="7"/>
    <x v="0"/>
    <s v="ZONA DE CESIÓN "/>
    <x v="15"/>
    <m/>
    <x v="0"/>
  </r>
  <r>
    <s v="Tabla5"/>
    <n v="706373"/>
    <x v="5"/>
    <x v="25"/>
    <x v="300"/>
    <x v="7"/>
    <x v="0"/>
    <s v="N/A"/>
    <x v="2"/>
    <s v="N/A"/>
    <x v="0"/>
  </r>
  <r>
    <s v="Tabla5"/>
    <s v="762205"/>
    <x v="5"/>
    <x v="25"/>
    <x v="79"/>
    <x v="7"/>
    <x v="0"/>
    <s v="N/A"/>
    <x v="4"/>
    <s v="N/A"/>
    <x v="2"/>
  </r>
  <r>
    <s v="Tabla5"/>
    <s v="765056"/>
    <x v="5"/>
    <x v="25"/>
    <x v="301"/>
    <x v="7"/>
    <x v="0"/>
    <s v="N/A"/>
    <x v="18"/>
    <s v="N/A"/>
    <x v="0"/>
  </r>
  <r>
    <s v="Tabla5"/>
    <s v="703995"/>
    <x v="5"/>
    <x v="25"/>
    <x v="302"/>
    <x v="7"/>
    <x v="0"/>
    <s v="N/A"/>
    <x v="2"/>
    <s v="N/A"/>
    <x v="0"/>
  </r>
  <r>
    <s v="Tabla5"/>
    <n v="564777"/>
    <x v="5"/>
    <x v="25"/>
    <x v="303"/>
    <x v="7"/>
    <x v="0"/>
    <s v="BIEN DE USO PUBLICO"/>
    <x v="0"/>
    <s v="NA"/>
    <x v="0"/>
  </r>
  <r>
    <s v="Tabla5"/>
    <n v="795756"/>
    <x v="5"/>
    <x v="26"/>
    <x v="304"/>
    <x v="7"/>
    <x v="0"/>
    <s v="CAMEP"/>
    <x v="5"/>
    <s v="N/A"/>
    <x v="0"/>
  </r>
  <r>
    <s v="Tabla5"/>
    <n v="791255"/>
    <x v="5"/>
    <x v="26"/>
    <x v="305"/>
    <x v="7"/>
    <x v="0"/>
    <s v="N/A"/>
    <x v="15"/>
    <s v="N/A"/>
    <x v="2"/>
  </r>
  <r>
    <s v="Tabla5"/>
    <n v="518787"/>
    <x v="5"/>
    <x v="26"/>
    <x v="306"/>
    <x v="7"/>
    <x v="0"/>
    <s v="N/A"/>
    <x v="2"/>
    <m/>
    <x v="2"/>
  </r>
  <r>
    <s v="Tabla5"/>
    <n v="807588"/>
    <x v="5"/>
    <x v="26"/>
    <x v="307"/>
    <x v="7"/>
    <x v="0"/>
    <s v="N/A"/>
    <x v="2"/>
    <m/>
    <x v="2"/>
  </r>
  <r>
    <s v="Tabla5"/>
    <n v="827510"/>
    <x v="5"/>
    <x v="26"/>
    <x v="308"/>
    <x v="7"/>
    <x v="0"/>
    <s v="N/A"/>
    <x v="2"/>
    <m/>
    <x v="2"/>
  </r>
  <r>
    <s v="Tabla5"/>
    <n v="827513"/>
    <x v="5"/>
    <x v="26"/>
    <x v="309"/>
    <x v="7"/>
    <x v="0"/>
    <s v="N/A"/>
    <x v="2"/>
    <m/>
    <x v="2"/>
  </r>
  <r>
    <s v="Tabla5"/>
    <n v="816403"/>
    <x v="5"/>
    <x v="26"/>
    <x v="310"/>
    <x v="7"/>
    <x v="0"/>
    <s v="N/A"/>
    <x v="2"/>
    <m/>
    <x v="0"/>
  </r>
  <r>
    <s v="Tabla5"/>
    <n v="807575"/>
    <x v="5"/>
    <x v="25"/>
    <x v="311"/>
    <x v="7"/>
    <x v="0"/>
    <s v="BIEN DE USO PUBLICO"/>
    <x v="1"/>
    <s v="NA"/>
    <x v="0"/>
  </r>
  <r>
    <s v="Tabla6"/>
    <s v="_x0009_432213"/>
    <x v="3"/>
    <x v="8"/>
    <x v="312"/>
    <x v="1"/>
    <x v="0"/>
    <s v="ZONA DE CESIÓN "/>
    <x v="1"/>
    <n v="1850"/>
    <x v="0"/>
  </r>
  <r>
    <s v="Tabla6"/>
    <n v="416638"/>
    <x v="3"/>
    <x v="8"/>
    <x v="313"/>
    <x v="1"/>
    <x v="0"/>
    <s v="ZONA DE CESIÓN "/>
    <x v="5"/>
    <s v="NA"/>
    <x v="0"/>
  </r>
  <r>
    <s v="Tabla6"/>
    <n v="164016"/>
    <x v="3"/>
    <x v="12"/>
    <x v="314"/>
    <x v="6"/>
    <x v="0"/>
    <s v="BIEN DE USO PUBLICO"/>
    <x v="10"/>
    <s v="NA"/>
    <x v="0"/>
  </r>
  <r>
    <s v="Tabla6"/>
    <n v="163864"/>
    <x v="3"/>
    <x v="12"/>
    <x v="315"/>
    <x v="5"/>
    <x v="0"/>
    <s v="BIEN FISCAL"/>
    <x v="6"/>
    <s v="NA"/>
    <x v="1"/>
  </r>
  <r>
    <s v="Tabla6"/>
    <n v="255193"/>
    <x v="3"/>
    <x v="12"/>
    <x v="316"/>
    <x v="0"/>
    <x v="0"/>
    <s v="BIEN FISCAL"/>
    <x v="6"/>
    <s v="NA"/>
    <x v="1"/>
  </r>
  <r>
    <s v="Tabla6"/>
    <n v="255007"/>
    <x v="3"/>
    <x v="12"/>
    <x v="317"/>
    <x v="0"/>
    <x v="0"/>
    <s v="BIEN FISCAL"/>
    <x v="6"/>
    <s v="NA"/>
    <x v="1"/>
  </r>
  <r>
    <s v="Tabla6"/>
    <s v="164172_x0009_"/>
    <x v="3"/>
    <x v="12"/>
    <x v="314"/>
    <x v="6"/>
    <x v="0"/>
    <s v="BIEN FISCAL"/>
    <x v="6"/>
    <s v="NA"/>
    <x v="0"/>
  </r>
  <r>
    <s v="Tabla6"/>
    <n v="558364"/>
    <x v="3"/>
    <x v="27"/>
    <x v="318"/>
    <x v="1"/>
    <x v="0"/>
    <s v="ZONA DE CESIÓN "/>
    <x v="29"/>
    <n v="472.82"/>
    <x v="2"/>
  </r>
  <r>
    <s v="Tabla6"/>
    <n v="407780"/>
    <x v="3"/>
    <x v="28"/>
    <x v="319"/>
    <x v="1"/>
    <x v="0"/>
    <s v="HUMEDAL"/>
    <x v="15"/>
    <s v="NA"/>
    <x v="0"/>
  </r>
  <r>
    <s v="Tabla6"/>
    <n v="163873"/>
    <x v="3"/>
    <x v="12"/>
    <x v="315"/>
    <x v="6"/>
    <x v="0"/>
    <s v="BIEN FISCAL"/>
    <x v="6"/>
    <s v="NA"/>
    <x v="0"/>
  </r>
  <r>
    <s v="Tabla6"/>
    <n v="541723"/>
    <x v="3"/>
    <x v="8"/>
    <x v="320"/>
    <x v="1"/>
    <x v="0"/>
    <s v="ZONAS DE CESIÓN   "/>
    <x v="3"/>
    <s v="N/N"/>
    <x v="2"/>
  </r>
  <r>
    <s v="Tabla6"/>
    <n v="390260"/>
    <x v="3"/>
    <x v="27"/>
    <x v="321"/>
    <x v="1"/>
    <x v="0"/>
    <s v="ZONA DE CESIÓN "/>
    <x v="36"/>
    <s v="NA"/>
    <x v="1"/>
  </r>
  <r>
    <s v="Tabla6"/>
    <n v="255133"/>
    <x v="3"/>
    <x v="12"/>
    <x v="322"/>
    <x v="6"/>
    <x v="0"/>
    <s v="BIEN FISCAL"/>
    <x v="6"/>
    <s v="NA"/>
    <x v="0"/>
  </r>
  <r>
    <s v="Tabla6"/>
    <n v="514409"/>
    <x v="3"/>
    <x v="27"/>
    <x v="323"/>
    <x v="1"/>
    <x v="0"/>
    <s v="ZONA COMUNAL"/>
    <x v="5"/>
    <s v="NA"/>
    <x v="12"/>
  </r>
  <r>
    <s v="Tabla6"/>
    <n v="516361"/>
    <x v="3"/>
    <x v="10"/>
    <x v="324"/>
    <x v="0"/>
    <x v="0"/>
    <s v="ZONA DE CESIÓN "/>
    <x v="6"/>
    <n v="410.16"/>
    <x v="0"/>
  </r>
  <r>
    <s v="Tabla6"/>
    <n v="617718"/>
    <x v="3"/>
    <x v="8"/>
    <x v="325"/>
    <x v="1"/>
    <x v="0"/>
    <s v="N/A"/>
    <x v="2"/>
    <s v="N/A"/>
    <x v="4"/>
  </r>
  <r>
    <s v="Tabla6"/>
    <n v="768030"/>
    <x v="3"/>
    <x v="29"/>
    <x v="326"/>
    <x v="1"/>
    <x v="0"/>
    <s v="BIEN FISCAL"/>
    <x v="3"/>
    <s v="43 MTS2"/>
    <x v="0"/>
  </r>
  <r>
    <s v="Tabla6"/>
    <n v="429265"/>
    <x v="3"/>
    <x v="28"/>
    <x v="327"/>
    <x v="1"/>
    <x v="0"/>
    <s v="ZONA DE CESIÓN "/>
    <x v="11"/>
    <s v="NA"/>
    <x v="0"/>
  </r>
  <r>
    <s v="Tabla6"/>
    <n v="637125"/>
    <x v="3"/>
    <x v="29"/>
    <x v="328"/>
    <x v="0"/>
    <x v="0"/>
    <s v="BIEN FISCAL"/>
    <x v="17"/>
    <s v="69,80M2"/>
    <x v="0"/>
  </r>
  <r>
    <s v="Tabla6"/>
    <n v="762247"/>
    <x v="3"/>
    <x v="27"/>
    <x v="329"/>
    <x v="0"/>
    <x v="0"/>
    <s v="ZONA DE CESIÓN "/>
    <x v="3"/>
    <s v="4.903.18"/>
    <x v="0"/>
  </r>
  <r>
    <s v="Tabla6"/>
    <n v="742619"/>
    <x v="3"/>
    <x v="8"/>
    <x v="330"/>
    <x v="1"/>
    <x v="0"/>
    <s v="ZONA DE CESIÓN "/>
    <x v="22"/>
    <s v="250.650.33"/>
    <x v="0"/>
  </r>
  <r>
    <s v="Tabla6"/>
    <n v="660248"/>
    <x v="3"/>
    <x v="27"/>
    <x v="331"/>
    <x v="1"/>
    <x v="0"/>
    <s v="N/A"/>
    <x v="2"/>
    <s v="N/A"/>
    <x v="2"/>
  </r>
  <r>
    <s v="Tabla6"/>
    <s v="650365"/>
    <x v="3"/>
    <x v="29"/>
    <x v="332"/>
    <x v="0"/>
    <x v="0"/>
    <s v="BIEN FISCAL"/>
    <x v="39"/>
    <s v="30.08M2"/>
    <x v="0"/>
  </r>
  <r>
    <s v="Tabla6"/>
    <n v="521954"/>
    <x v="3"/>
    <x v="12"/>
    <x v="333"/>
    <x v="0"/>
    <x v="0"/>
    <s v="BIEN FISCAL"/>
    <x v="39"/>
    <s v="NA"/>
    <x v="0"/>
  </r>
  <r>
    <s v="Tabla6"/>
    <n v="591951"/>
    <x v="3"/>
    <x v="29"/>
    <x v="334"/>
    <x v="1"/>
    <x v="0"/>
    <s v="BIEN FISCAL"/>
    <x v="15"/>
    <s v="N/A"/>
    <x v="0"/>
  </r>
  <r>
    <s v="Tabla6"/>
    <n v="644896"/>
    <x v="3"/>
    <x v="29"/>
    <x v="335"/>
    <x v="1"/>
    <x v="0"/>
    <s v="CAMEP"/>
    <x v="1"/>
    <s v="NA"/>
    <x v="6"/>
  </r>
  <r>
    <s v="Tabla6"/>
    <n v="579260"/>
    <x v="3"/>
    <x v="28"/>
    <x v="336"/>
    <x v="1"/>
    <x v="0"/>
    <s v="ZONAS DE CESIÓN"/>
    <x v="29"/>
    <s v="N/A"/>
    <x v="0"/>
  </r>
  <r>
    <s v="Tabla6"/>
    <n v="164144"/>
    <x v="3"/>
    <x v="12"/>
    <x v="337"/>
    <x v="5"/>
    <x v="0"/>
    <s v="BIEN FISCAL"/>
    <x v="18"/>
    <s v="NA"/>
    <x v="0"/>
  </r>
  <r>
    <s v="Tabla6"/>
    <n v="262704"/>
    <x v="3"/>
    <x v="12"/>
    <x v="338"/>
    <x v="0"/>
    <x v="0"/>
    <s v="BIEN DE USO PUBLICO"/>
    <x v="3"/>
    <s v="NA"/>
    <x v="1"/>
  </r>
  <r>
    <s v="Tabla6"/>
    <n v="663854"/>
    <x v="3"/>
    <x v="28"/>
    <x v="339"/>
    <x v="1"/>
    <x v="0"/>
    <s v="ZONA DE CESIÓN "/>
    <x v="4"/>
    <s v="2.420.87 M2"/>
    <x v="0"/>
  </r>
  <r>
    <s v="Tabla6"/>
    <n v="648160"/>
    <x v="3"/>
    <x v="29"/>
    <x v="340"/>
    <x v="1"/>
    <x v="0"/>
    <s v="CAMEP"/>
    <x v="18"/>
    <s v="NA"/>
    <x v="0"/>
  </r>
  <r>
    <s v="Tabla6"/>
    <n v="580422"/>
    <x v="3"/>
    <x v="27"/>
    <x v="339"/>
    <x v="1"/>
    <x v="0"/>
    <s v="BIEN DE USO PUBLICO"/>
    <x v="3"/>
    <n v="1311"/>
    <x v="0"/>
  </r>
  <r>
    <s v="Tabla6"/>
    <n v="347321"/>
    <x v="3"/>
    <x v="28"/>
    <x v="341"/>
    <x v="1"/>
    <x v="0"/>
    <s v="ZONA DE CESIÓN "/>
    <x v="8"/>
    <s v="NA"/>
    <x v="0"/>
  </r>
  <r>
    <s v="Tabla6"/>
    <n v="630438"/>
    <x v="3"/>
    <x v="29"/>
    <x v="342"/>
    <x v="1"/>
    <x v="0"/>
    <s v=" CAMEP "/>
    <x v="13"/>
    <s v=" N/A "/>
    <x v="13"/>
  </r>
  <r>
    <s v="Tabla6"/>
    <n v="583326"/>
    <x v="3"/>
    <x v="28"/>
    <x v="343"/>
    <x v="1"/>
    <x v="0"/>
    <s v="BIEN DE USO PUBLICO"/>
    <x v="10"/>
    <s v="N/A"/>
    <x v="0"/>
  </r>
  <r>
    <s v="Tabla6"/>
    <n v="700533"/>
    <x v="3"/>
    <x v="28"/>
    <x v="344"/>
    <x v="0"/>
    <x v="0"/>
    <s v="N/A"/>
    <x v="2"/>
    <s v="NA"/>
    <x v="0"/>
  </r>
  <r>
    <s v="Tabla6"/>
    <n v="705100"/>
    <x v="3"/>
    <x v="30"/>
    <x v="345"/>
    <x v="0"/>
    <x v="0"/>
    <s v="N/A"/>
    <x v="2"/>
    <s v="N/A"/>
    <x v="0"/>
  </r>
  <r>
    <s v="Tabla6"/>
    <n v="730899"/>
    <x v="3"/>
    <x v="29"/>
    <x v="346"/>
    <x v="1"/>
    <x v="0"/>
    <s v="BIEN FISCAL"/>
    <x v="17"/>
    <s v="N/A"/>
    <x v="0"/>
  </r>
  <r>
    <s v="Tabla6"/>
    <n v="699873"/>
    <x v="3"/>
    <x v="27"/>
    <x v="347"/>
    <x v="1"/>
    <x v="0"/>
    <s v="N/A"/>
    <x v="9"/>
    <s v="N/A"/>
    <x v="0"/>
  </r>
  <r>
    <s v="Tabla6"/>
    <n v="735826"/>
    <x v="3"/>
    <x v="27"/>
    <x v="78"/>
    <x v="1"/>
    <x v="0"/>
    <s v="ZONA DE CESIÓN "/>
    <x v="3"/>
    <s v="N/A"/>
    <x v="0"/>
  </r>
  <r>
    <s v="Tabla6"/>
    <n v="553301"/>
    <x v="3"/>
    <x v="28"/>
    <x v="348"/>
    <x v="1"/>
    <x v="0"/>
    <s v="N/A"/>
    <x v="2"/>
    <s v="NA"/>
    <x v="0"/>
  </r>
  <r>
    <s v="Tabla6"/>
    <n v="575478"/>
    <x v="3"/>
    <x v="29"/>
    <x v="349"/>
    <x v="1"/>
    <x v="0"/>
    <s v="N/A"/>
    <x v="2"/>
    <s v="N/A"/>
    <x v="0"/>
  </r>
  <r>
    <s v="Tabla6"/>
    <n v="601304"/>
    <x v="3"/>
    <x v="28"/>
    <x v="44"/>
    <x v="1"/>
    <x v="0"/>
    <s v="N/A"/>
    <x v="2"/>
    <s v="N/A"/>
    <x v="0"/>
  </r>
  <r>
    <s v="Tabla6"/>
    <n v="567690"/>
    <x v="3"/>
    <x v="28"/>
    <x v="350"/>
    <x v="1"/>
    <x v="0"/>
    <s v="ZONA DE CESIÓN "/>
    <x v="2"/>
    <n v="22531.88"/>
    <x v="0"/>
  </r>
  <r>
    <s v="Tabla6"/>
    <n v="581312"/>
    <x v="3"/>
    <x v="27"/>
    <x v="351"/>
    <x v="1"/>
    <x v="0"/>
    <s v="N/A"/>
    <x v="15"/>
    <s v="N/A"/>
    <x v="0"/>
  </r>
  <r>
    <s v="Tabla6"/>
    <n v="232865"/>
    <x v="3"/>
    <x v="12"/>
    <x v="352"/>
    <x v="0"/>
    <x v="0"/>
    <s v="N/A"/>
    <x v="2"/>
    <s v="NA"/>
    <x v="1"/>
  </r>
  <r>
    <s v="Tabla6"/>
    <n v="582616"/>
    <x v="3"/>
    <x v="27"/>
    <x v="353"/>
    <x v="1"/>
    <x v="0"/>
    <s v="N/A"/>
    <x v="11"/>
    <n v="55000"/>
    <x v="1"/>
  </r>
  <r>
    <s v="Tabla6"/>
    <n v="644893"/>
    <x v="3"/>
    <x v="28"/>
    <x v="354"/>
    <x v="1"/>
    <x v="0"/>
    <s v="BIEN DE USO PUBLICO"/>
    <x v="13"/>
    <s v="N/A"/>
    <x v="4"/>
  </r>
  <r>
    <s v="Tabla6"/>
    <n v="614301"/>
    <x v="3"/>
    <x v="29"/>
    <x v="355"/>
    <x v="1"/>
    <x v="0"/>
    <s v="CAMEP"/>
    <x v="29"/>
    <s v="N/A"/>
    <x v="1"/>
  </r>
  <r>
    <s v="Tabla6"/>
    <n v="629833"/>
    <x v="3"/>
    <x v="29"/>
    <x v="356"/>
    <x v="1"/>
    <x v="0"/>
    <s v="CAMEP"/>
    <x v="2"/>
    <s v="N/A"/>
    <x v="0"/>
  </r>
  <r>
    <s v="Tabla6"/>
    <n v="630271"/>
    <x v="3"/>
    <x v="29"/>
    <x v="357"/>
    <x v="1"/>
    <x v="0"/>
    <s v="N/A"/>
    <x v="2"/>
    <s v="N/A"/>
    <x v="0"/>
  </r>
  <r>
    <s v="Tabla6"/>
    <n v="617292"/>
    <x v="3"/>
    <x v="29"/>
    <x v="358"/>
    <x v="1"/>
    <x v="0"/>
    <s v="N/A"/>
    <x v="2"/>
    <s v="N/A"/>
    <x v="0"/>
  </r>
  <r>
    <s v="Tabla6"/>
    <n v="248858"/>
    <x v="3"/>
    <x v="12"/>
    <x v="359"/>
    <x v="0"/>
    <x v="0"/>
    <s v="N/A"/>
    <x v="2"/>
    <s v="NA"/>
    <x v="1"/>
  </r>
  <r>
    <s v="Tabla6"/>
    <n v="680196"/>
    <x v="3"/>
    <x v="28"/>
    <x v="360"/>
    <x v="1"/>
    <x v="0"/>
    <s v="CAMEP"/>
    <x v="1"/>
    <s v="N/A"/>
    <x v="1"/>
  </r>
  <r>
    <s v="Tabla6"/>
    <n v="696183"/>
    <x v="3"/>
    <x v="29"/>
    <x v="361"/>
    <x v="1"/>
    <x v="0"/>
    <s v="CONTRATO"/>
    <x v="2"/>
    <s v="N/A"/>
    <x v="0"/>
  </r>
  <r>
    <s v="Tabla6"/>
    <n v="678531"/>
    <x v="3"/>
    <x v="27"/>
    <x v="362"/>
    <x v="1"/>
    <x v="0"/>
    <s v="CAMEP"/>
    <x v="2"/>
    <s v="N/A"/>
    <x v="0"/>
  </r>
  <r>
    <s v="Tabla6"/>
    <n v="675097"/>
    <x v="3"/>
    <x v="29"/>
    <x v="192"/>
    <x v="1"/>
    <x v="0"/>
    <s v="CAMEP"/>
    <x v="2"/>
    <s v="N/A"/>
    <x v="0"/>
  </r>
  <r>
    <s v="Tabla6"/>
    <n v="680209"/>
    <x v="3"/>
    <x v="29"/>
    <x v="363"/>
    <x v="1"/>
    <x v="0"/>
    <s v="N/A"/>
    <x v="2"/>
    <s v="N/A"/>
    <x v="0"/>
  </r>
  <r>
    <s v="Tabla6"/>
    <n v="608205"/>
    <x v="3"/>
    <x v="29"/>
    <x v="364"/>
    <x v="1"/>
    <x v="0"/>
    <s v="N/A"/>
    <x v="2"/>
    <s v="N/A"/>
    <x v="0"/>
  </r>
  <r>
    <s v="Tabla6"/>
    <n v="695252"/>
    <x v="3"/>
    <x v="27"/>
    <x v="0"/>
    <x v="1"/>
    <x v="0"/>
    <s v="N/A"/>
    <x v="2"/>
    <s v="N/A"/>
    <x v="0"/>
  </r>
  <r>
    <s v="Tabla6"/>
    <n v="708923"/>
    <x v="3"/>
    <x v="27"/>
    <x v="365"/>
    <x v="1"/>
    <x v="0"/>
    <s v="N/A"/>
    <x v="2"/>
    <s v="N/A"/>
    <x v="0"/>
  </r>
  <r>
    <s v="Tabla6"/>
    <n v="707933"/>
    <x v="3"/>
    <x v="27"/>
    <x v="366"/>
    <x v="1"/>
    <x v="0"/>
    <s v="N/A"/>
    <x v="9"/>
    <s v="N/A"/>
    <x v="1"/>
  </r>
  <r>
    <s v="Tabla6"/>
    <n v="563290"/>
    <x v="3"/>
    <x v="17"/>
    <x v="367"/>
    <x v="6"/>
    <x v="0"/>
    <s v="BIEN FISCAL"/>
    <x v="18"/>
    <s v="POR COMPLETAR"/>
    <x v="1"/>
  </r>
  <r>
    <s v="Tabla6"/>
    <n v="255041"/>
    <x v="3"/>
    <x v="12"/>
    <x v="368"/>
    <x v="5"/>
    <x v="0"/>
    <s v="ZONA DE CESIÓN "/>
    <x v="10"/>
    <s v="NA"/>
    <x v="0"/>
  </r>
  <r>
    <s v="Tabla6"/>
    <n v="418635"/>
    <x v="3"/>
    <x v="29"/>
    <x v="369"/>
    <x v="1"/>
    <x v="0"/>
    <s v="N/A"/>
    <x v="2"/>
    <s v="NA"/>
    <x v="0"/>
  </r>
  <r>
    <s v="Tabla6"/>
    <n v="479970"/>
    <x v="3"/>
    <x v="28"/>
    <x v="370"/>
    <x v="1"/>
    <x v="0"/>
    <s v="N/A"/>
    <x v="2"/>
    <s v="NA"/>
    <x v="0"/>
  </r>
  <r>
    <s v="Tabla6"/>
    <n v="495681"/>
    <x v="3"/>
    <x v="28"/>
    <x v="371"/>
    <x v="1"/>
    <x v="0"/>
    <s v="N/A"/>
    <x v="2"/>
    <s v="NA"/>
    <x v="1"/>
  </r>
  <r>
    <s v="Tabla6"/>
    <s v=" "/>
    <x v="3"/>
    <x v="8"/>
    <x v="372"/>
    <x v="1"/>
    <x v="0"/>
    <s v="N/A"/>
    <x v="2"/>
    <s v="NA"/>
    <x v="0"/>
  </r>
  <r>
    <s v="Tabla6"/>
    <n v="595501"/>
    <x v="3"/>
    <x v="8"/>
    <x v="373"/>
    <x v="1"/>
    <x v="0"/>
    <s v="N/A"/>
    <x v="2"/>
    <s v="N/A"/>
    <x v="0"/>
  </r>
  <r>
    <s v="Tabla6"/>
    <n v="461971"/>
    <x v="3"/>
    <x v="12"/>
    <x v="374"/>
    <x v="0"/>
    <x v="0"/>
    <s v="ZONA DE CESIÓN "/>
    <x v="10"/>
    <s v="NA"/>
    <x v="1"/>
  </r>
  <r>
    <s v="Tabla6"/>
    <n v="773537"/>
    <x v="3"/>
    <x v="27"/>
    <x v="375"/>
    <x v="1"/>
    <x v="0"/>
    <s v="N/A"/>
    <x v="2"/>
    <s v="N/A"/>
    <x v="0"/>
  </r>
  <r>
    <s v="Tabla6"/>
    <n v="749993"/>
    <x v="3"/>
    <x v="27"/>
    <x v="376"/>
    <x v="1"/>
    <x v="0"/>
    <s v="N/A"/>
    <x v="2"/>
    <s v="N/A"/>
    <x v="0"/>
  </r>
  <r>
    <s v="Tabla6"/>
    <n v="795544"/>
    <x v="3"/>
    <x v="29"/>
    <x v="377"/>
    <x v="1"/>
    <x v="0"/>
    <s v="N/A"/>
    <x v="29"/>
    <s v="N/A"/>
    <x v="0"/>
  </r>
  <r>
    <s v="Tabla6"/>
    <n v="617292"/>
    <x v="3"/>
    <x v="29"/>
    <x v="378"/>
    <x v="1"/>
    <x v="0"/>
    <s v="N/A"/>
    <x v="2"/>
    <s v="N/A"/>
    <x v="0"/>
  </r>
  <r>
    <s v="Tabla6"/>
    <n v="793372"/>
    <x v="3"/>
    <x v="29"/>
    <x v="379"/>
    <x v="1"/>
    <x v="0"/>
    <s v="N/A"/>
    <x v="2"/>
    <s v="N/A"/>
    <x v="0"/>
  </r>
  <r>
    <s v="Tabla6"/>
    <n v="788867"/>
    <x v="3"/>
    <x v="27"/>
    <x v="380"/>
    <x v="1"/>
    <x v="0"/>
    <s v="N/A"/>
    <x v="2"/>
    <s v="N/A"/>
    <x v="0"/>
  </r>
  <r>
    <s v="Tabla6"/>
    <n v="816781"/>
    <x v="3"/>
    <x v="29"/>
    <x v="104"/>
    <x v="1"/>
    <x v="0"/>
    <s v="N/A"/>
    <x v="2"/>
    <s v="N/A"/>
    <x v="0"/>
  </r>
  <r>
    <s v="Tabla6"/>
    <s v="658739"/>
    <x v="3"/>
    <x v="7"/>
    <x v="150"/>
    <x v="2"/>
    <x v="1"/>
    <s v="NA"/>
    <x v="40"/>
    <s v=" NA "/>
    <x v="14"/>
  </r>
  <r>
    <s v="Tabla6"/>
    <n v="626104"/>
    <x v="3"/>
    <x v="8"/>
    <x v="151"/>
    <x v="4"/>
    <x v="1"/>
    <s v="N/A"/>
    <x v="41"/>
    <s v="  N/A  "/>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432213"/>
    <x v="0"/>
    <d v="2025-02-13T00:00:00"/>
    <n v="1"/>
    <m/>
    <n v="1"/>
    <m/>
    <n v="1"/>
    <m/>
    <n v="1"/>
    <n v="1"/>
    <n v="5"/>
  </r>
  <r>
    <n v="164816"/>
    <x v="1"/>
    <d v="2025-02-13T00:00:00"/>
    <m/>
    <n v="1"/>
    <m/>
    <n v="1"/>
    <m/>
    <n v="1"/>
    <m/>
    <m/>
    <n v="3"/>
  </r>
  <r>
    <n v="715785"/>
    <x v="2"/>
    <d v="2025-02-13T00:00:00"/>
    <n v="1"/>
    <n v="1"/>
    <m/>
    <n v="1"/>
    <m/>
    <n v="1"/>
    <n v="1"/>
    <n v="1"/>
    <n v="6"/>
  </r>
  <r>
    <n v="164016"/>
    <x v="3"/>
    <d v="2025-02-13T00:00:00"/>
    <m/>
    <n v="1"/>
    <m/>
    <m/>
    <n v="1"/>
    <m/>
    <m/>
    <m/>
    <n v="2"/>
  </r>
  <r>
    <n v="574069"/>
    <x v="4"/>
    <d v="2025-02-13T00:00:00"/>
    <m/>
    <m/>
    <m/>
    <m/>
    <m/>
    <m/>
    <m/>
    <n v="1"/>
    <n v="1"/>
  </r>
  <r>
    <n v="597584"/>
    <x v="5"/>
    <d v="2025-02-13T00:00:00"/>
    <m/>
    <n v="1"/>
    <m/>
    <n v="1"/>
    <m/>
    <m/>
    <m/>
    <m/>
    <n v="2"/>
  </r>
  <r>
    <n v="617610"/>
    <x v="6"/>
    <d v="2025-02-13T00:00:00"/>
    <m/>
    <n v="1"/>
    <m/>
    <m/>
    <m/>
    <n v="1"/>
    <n v="1"/>
    <n v="1"/>
    <n v="4"/>
  </r>
  <r>
    <n v="672915"/>
    <x v="7"/>
    <d v="2025-02-13T00:00:00"/>
    <m/>
    <n v="1"/>
    <m/>
    <m/>
    <n v="1"/>
    <m/>
    <m/>
    <n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7A7F7B-534F-47FA-A785-33B5C6CFB829}" name="TablaDinámica3"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0">
  <location ref="T2:U45" firstHeaderRow="1" firstDataRow="1" firstDataCol="1"/>
  <pivotFields count="14">
    <pivotField showAll="0"/>
    <pivotField showAll="0"/>
    <pivotField showAll="0"/>
    <pivotField showAll="0"/>
    <pivotField showAll="0">
      <items count="382">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 t="default"/>
      </items>
    </pivotField>
    <pivotField showAll="0"/>
    <pivotField showAll="0"/>
    <pivotField showAll="0"/>
    <pivotField axis="axisRow" dataField="1" showAll="0">
      <items count="43">
        <item x="41"/>
        <item x="21"/>
        <item x="16"/>
        <item x="40"/>
        <item x="24"/>
        <item x="30"/>
        <item x="13"/>
        <item x="34"/>
        <item x="19"/>
        <item x="14"/>
        <item x="23"/>
        <item x="18"/>
        <item x="7"/>
        <item x="9"/>
        <item x="32"/>
        <item x="17"/>
        <item x="1"/>
        <item x="26"/>
        <item x="5"/>
        <item x="15"/>
        <item x="11"/>
        <item x="37"/>
        <item x="3"/>
        <item x="25"/>
        <item x="12"/>
        <item x="31"/>
        <item x="2"/>
        <item x="20"/>
        <item x="35"/>
        <item x="22"/>
        <item x="28"/>
        <item x="8"/>
        <item x="0"/>
        <item x="39"/>
        <item x="6"/>
        <item x="4"/>
        <item x="33"/>
        <item x="10"/>
        <item x="27"/>
        <item x="29"/>
        <item x="36"/>
        <item x="38"/>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3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0"/>
        <item t="default"/>
      </items>
    </pivotField>
  </pivotFields>
  <rowFields count="1">
    <field x="8"/>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Cuenta de Data.LOCALIDAD" fld="8" subtotal="count" baseField="0" baseItem="0"/>
  </dataFields>
  <formats count="12">
    <format dxfId="234">
      <pivotArea type="all" dataOnly="0" outline="0" fieldPosition="0"/>
    </format>
    <format dxfId="233">
      <pivotArea outline="0" collapsedLevelsAreSubtotals="1" fieldPosition="0"/>
    </format>
    <format dxfId="232">
      <pivotArea field="8" type="button" dataOnly="0" labelOnly="1" outline="0" axis="axisRow" fieldPosition="0"/>
    </format>
    <format dxfId="231">
      <pivotArea dataOnly="0" labelOnly="1" fieldPosition="0">
        <references count="1">
          <reference field="8" count="0"/>
        </references>
      </pivotArea>
    </format>
    <format dxfId="230">
      <pivotArea dataOnly="0" labelOnly="1" grandRow="1" outline="0"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8" type="button" dataOnly="0" labelOnly="1" outline="0" axis="axisRow" fieldPosition="0"/>
    </format>
    <format dxfId="225">
      <pivotArea dataOnly="0" labelOnly="1" fieldPosition="0">
        <references count="1">
          <reference field="8" count="0"/>
        </references>
      </pivotArea>
    </format>
    <format dxfId="224">
      <pivotArea dataOnly="0" labelOnly="1" grandRow="1" outline="0" fieldPosition="0"/>
    </format>
    <format dxfId="223">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AEF0F-CE9C-4AD8-BFE9-F5E5BE96134F}" name="TablaDinámica5"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2">
  <location ref="H2:I34" firstHeaderRow="1" firstDataRow="1" firstDataCol="1"/>
  <pivotFields count="14">
    <pivotField showAll="0"/>
    <pivotField showAll="0"/>
    <pivotField showAll="0"/>
    <pivotField axis="axisRow" dataField="1" showAll="0">
      <items count="33">
        <item x="1"/>
        <item x="5"/>
        <item x="3"/>
        <item x="4"/>
        <item x="6"/>
        <item x="29"/>
        <item x="24"/>
        <item x="14"/>
        <item x="16"/>
        <item x="18"/>
        <item x="12"/>
        <item x="30"/>
        <item x="13"/>
        <item x="19"/>
        <item x="2"/>
        <item x="9"/>
        <item x="8"/>
        <item x="7"/>
        <item x="28"/>
        <item x="23"/>
        <item x="0"/>
        <item x="25"/>
        <item x="26"/>
        <item x="11"/>
        <item x="21"/>
        <item x="22"/>
        <item x="15"/>
        <item x="27"/>
        <item x="10"/>
        <item x="17"/>
        <item x="20"/>
        <item m="1" x="31"/>
        <item t="default"/>
      </items>
    </pivotField>
    <pivotField showAll="0">
      <items count="382">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3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0"/>
        <item t="default"/>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uenta de Data.TIPO DE PROCESO" fld="3" subtotal="count" baseField="0" baseItem="0"/>
  </dataFields>
  <formats count="12">
    <format dxfId="246">
      <pivotArea type="all" dataOnly="0" outline="0" fieldPosition="0"/>
    </format>
    <format dxfId="245">
      <pivotArea outline="0" collapsedLevelsAreSubtotals="1" fieldPosition="0"/>
    </format>
    <format dxfId="244">
      <pivotArea field="3" type="button" dataOnly="0" labelOnly="1" outline="0" axis="axisRow" fieldPosition="0"/>
    </format>
    <format dxfId="243">
      <pivotArea dataOnly="0" labelOnly="1" fieldPosition="0">
        <references count="1">
          <reference field="3" count="0"/>
        </references>
      </pivotArea>
    </format>
    <format dxfId="242">
      <pivotArea dataOnly="0" labelOnly="1" grandRow="1" outline="0" fieldPosition="0"/>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field="3" type="button" dataOnly="0" labelOnly="1" outline="0" axis="axisRow" fieldPosition="0"/>
    </format>
    <format dxfId="237">
      <pivotArea dataOnly="0" labelOnly="1" fieldPosition="0">
        <references count="1">
          <reference field="3" count="0"/>
        </references>
      </pivotArea>
    </format>
    <format dxfId="236">
      <pivotArea dataOnly="0" labelOnly="1" grandRow="1" outline="0" fieldPosition="0"/>
    </format>
    <format dxfId="235">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7FF760-7936-42CD-AB13-1DAE57134FA9}" name="TablaDinámica6"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6">
  <location ref="K2:L31" firstHeaderRow="1" firstDataRow="1" firstDataCol="1"/>
  <pivotFields count="14">
    <pivotField showAll="0"/>
    <pivotField showAll="0"/>
    <pivotField showAll="0"/>
    <pivotField showAll="0"/>
    <pivotField axis="axisRow" dataField="1" showAll="0" defaultSubtotal="0">
      <items count="381">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1"/>
        <item sd="0" x="2"/>
        <item sd="0" x="3"/>
        <item sd="0" x="4"/>
        <item sd="0" x="5"/>
        <item x="0"/>
        <item t="default"/>
      </items>
    </pivotField>
    <pivotField axis="axisRow" showAll="0">
      <items count="3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x="0"/>
        <item t="default"/>
      </items>
    </pivotField>
  </pivotFields>
  <rowFields count="4">
    <field x="13"/>
    <field x="12"/>
    <field x="11"/>
    <field x="4"/>
  </rowFields>
  <rowItems count="29">
    <i>
      <x/>
    </i>
    <i>
      <x v="2"/>
    </i>
    <i>
      <x v="8"/>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uenta de Data.FECHA DE PRESENTACION DE DEMANDA" fld="4" subtotal="count" baseField="0" baseItem="0"/>
  </dataFields>
  <formats count="10">
    <format dxfId="256">
      <pivotArea type="all" dataOnly="0" outline="0" fieldPosition="0"/>
    </format>
    <format dxfId="255">
      <pivotArea outline="0" collapsedLevelsAreSubtotals="1" fieldPosition="0"/>
    </format>
    <format dxfId="254">
      <pivotArea field="4" type="button" dataOnly="0" labelOnly="1" outline="0" axis="axisRow" fieldPosition="3"/>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4" type="button" dataOnly="0" labelOnly="1" outline="0" axis="axisRow" fieldPosition="3"/>
    </format>
    <format dxfId="248">
      <pivotArea dataOnly="0" labelOnly="1" grandRow="1" outline="0" fieldPosition="0"/>
    </format>
    <format dxfId="247">
      <pivotArea dataOnly="0" labelOnly="1" outline="0" axis="axisValues"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58BBF-70A6-4012-A3E6-DBA68AFD963D}" name="TablaDinámica9" cacheId="1" applyNumberFormats="0" applyBorderFormats="0" applyFontFormats="0" applyPatternFormats="0" applyAlignmentFormats="0" applyWidthHeightFormats="1" dataCaption="Valores" updatedVersion="6" minRefreshableVersion="3" useAutoFormatting="1" itemPrintTitles="1" createdVersion="8" indent="0" outline="1" outlineData="1" multipleFieldFilters="0" chartFormat="8">
  <location ref="Z2:AA11" firstHeaderRow="1" firstDataRow="1" firstDataCol="1"/>
  <pivotFields count="12">
    <pivotField showAll="0"/>
    <pivotField axis="axisRow" showAll="0">
      <items count="9">
        <item x="5"/>
        <item x="3"/>
        <item x="0"/>
        <item x="2"/>
        <item x="6"/>
        <item x="1"/>
        <item x="7"/>
        <item x="4"/>
        <item t="default"/>
      </items>
    </pivotField>
    <pivotField numFmtId="14" showAll="0"/>
    <pivotField showAll="0"/>
    <pivotField showAll="0"/>
    <pivotField showAll="0"/>
    <pivotField showAll="0"/>
    <pivotField showAll="0"/>
    <pivotField showAll="0"/>
    <pivotField showAll="0"/>
    <pivotField showAll="0"/>
    <pivotField dataField="1" showAll="0"/>
  </pivotFields>
  <rowFields count="1">
    <field x="1"/>
  </rowFields>
  <rowItems count="9">
    <i>
      <x/>
    </i>
    <i>
      <x v="1"/>
    </i>
    <i>
      <x v="2"/>
    </i>
    <i>
      <x v="3"/>
    </i>
    <i>
      <x v="4"/>
    </i>
    <i>
      <x v="5"/>
    </i>
    <i>
      <x v="6"/>
    </i>
    <i>
      <x v="7"/>
    </i>
    <i t="grand">
      <x/>
    </i>
  </rowItems>
  <colItems count="1">
    <i/>
  </colItems>
  <dataFields count="1">
    <dataField name="Suma de TOTAL PROCEDIMIENTOS" fld="11" baseField="0" baseItem="0"/>
  </dataFields>
  <chartFormats count="9">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1" count="1" selected="0">
            <x v="0"/>
          </reference>
        </references>
      </pivotArea>
    </chartFormat>
    <chartFormat chart="7" format="30">
      <pivotArea type="data" outline="0" fieldPosition="0">
        <references count="2">
          <reference field="4294967294" count="1" selected="0">
            <x v="0"/>
          </reference>
          <reference field="1" count="1" selected="0">
            <x v="1"/>
          </reference>
        </references>
      </pivotArea>
    </chartFormat>
    <chartFormat chart="7" format="31">
      <pivotArea type="data" outline="0" fieldPosition="0">
        <references count="2">
          <reference field="4294967294" count="1" selected="0">
            <x v="0"/>
          </reference>
          <reference field="1" count="1" selected="0">
            <x v="2"/>
          </reference>
        </references>
      </pivotArea>
    </chartFormat>
    <chartFormat chart="7" format="32">
      <pivotArea type="data" outline="0" fieldPosition="0">
        <references count="2">
          <reference field="4294967294" count="1" selected="0">
            <x v="0"/>
          </reference>
          <reference field="1" count="1" selected="0">
            <x v="3"/>
          </reference>
        </references>
      </pivotArea>
    </chartFormat>
    <chartFormat chart="7" format="33">
      <pivotArea type="data" outline="0" fieldPosition="0">
        <references count="2">
          <reference field="4294967294" count="1" selected="0">
            <x v="0"/>
          </reference>
          <reference field="1" count="1" selected="0">
            <x v="4"/>
          </reference>
        </references>
      </pivotArea>
    </chartFormat>
    <chartFormat chart="7" format="34">
      <pivotArea type="data" outline="0" fieldPosition="0">
        <references count="2">
          <reference field="4294967294" count="1" selected="0">
            <x v="0"/>
          </reference>
          <reference field="1" count="1" selected="0">
            <x v="5"/>
          </reference>
        </references>
      </pivotArea>
    </chartFormat>
    <chartFormat chart="7" format="35">
      <pivotArea type="data" outline="0" fieldPosition="0">
        <references count="2">
          <reference field="4294967294" count="1" selected="0">
            <x v="0"/>
          </reference>
          <reference field="1" count="1" selected="0">
            <x v="6"/>
          </reference>
        </references>
      </pivotArea>
    </chartFormat>
    <chartFormat chart="7" format="3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8ED8D7-EB90-4C9C-92A3-42C414F08E8A}" name="TablaDinámica2"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4">
  <location ref="Q2:R7" firstHeaderRow="1" firstDataRow="1" firstDataCol="1"/>
  <pivotFields count="14">
    <pivotField showAll="0"/>
    <pivotField showAll="0"/>
    <pivotField showAll="0"/>
    <pivotField showAll="0"/>
    <pivotField showAll="0">
      <items count="382">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 t="default"/>
      </items>
    </pivotField>
    <pivotField showAll="0"/>
    <pivotField axis="axisRow" dataField="1" showAll="0">
      <items count="6">
        <item x="3"/>
        <item x="0"/>
        <item x="1"/>
        <item x="2"/>
        <item m="1" x="4"/>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3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0"/>
        <item t="default"/>
      </items>
    </pivotField>
  </pivotFields>
  <rowFields count="1">
    <field x="6"/>
  </rowFields>
  <rowItems count="5">
    <i>
      <x/>
    </i>
    <i>
      <x v="1"/>
    </i>
    <i>
      <x v="2"/>
    </i>
    <i>
      <x v="3"/>
    </i>
    <i t="grand">
      <x/>
    </i>
  </rowItems>
  <colItems count="1">
    <i/>
  </colItems>
  <dataFields count="1">
    <dataField name="Cuenta de Data.TIPO DE REPRESENTACION _x000a_DIRECTA - INDIRECTA " fld="6" subtotal="count" baseField="0" baseItem="0"/>
  </dataFields>
  <formats count="12">
    <format dxfId="268">
      <pivotArea type="all" dataOnly="0" outline="0" fieldPosition="0"/>
    </format>
    <format dxfId="267">
      <pivotArea outline="0" collapsedLevelsAreSubtotals="1" fieldPosition="0"/>
    </format>
    <format dxfId="266">
      <pivotArea field="6" type="button" dataOnly="0" labelOnly="1" outline="0" axis="axisRow" fieldPosition="0"/>
    </format>
    <format dxfId="265">
      <pivotArea dataOnly="0" labelOnly="1" fieldPosition="0">
        <references count="1">
          <reference field="6" count="0"/>
        </references>
      </pivotArea>
    </format>
    <format dxfId="264">
      <pivotArea dataOnly="0" labelOnly="1" grandRow="1" outline="0" fieldPosition="0"/>
    </format>
    <format dxfId="263">
      <pivotArea dataOnly="0" labelOnly="1" outline="0" axis="axisValues" fieldPosition="0"/>
    </format>
    <format dxfId="262">
      <pivotArea type="all" dataOnly="0" outline="0" fieldPosition="0"/>
    </format>
    <format dxfId="261">
      <pivotArea outline="0" collapsedLevelsAreSubtotals="1" fieldPosition="0"/>
    </format>
    <format dxfId="260">
      <pivotArea field="6" type="button" dataOnly="0" labelOnly="1" outline="0" axis="axisRow" fieldPosition="0"/>
    </format>
    <format dxfId="259">
      <pivotArea dataOnly="0" labelOnly="1" fieldPosition="0">
        <references count="1">
          <reference field="6" count="0"/>
        </references>
      </pivotArea>
    </format>
    <format dxfId="258">
      <pivotArea dataOnly="0" labelOnly="1" grandRow="1" outline="0" fieldPosition="0"/>
    </format>
    <format dxfId="257">
      <pivotArea dataOnly="0" labelOnly="1" outline="0" axis="axisValues" fieldPosition="0"/>
    </format>
  </formats>
  <chartFormats count="5">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pivotArea type="data" outline="0" fieldPosition="0">
        <references count="2">
          <reference field="4294967294" count="1" selected="0">
            <x v="0"/>
          </reference>
          <reference field="6" count="1" selected="0">
            <x v="2"/>
          </reference>
        </references>
      </pivotArea>
    </chartFormat>
    <chartFormat chart="7"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F4731E-8C55-4DF9-B966-03A2B23F619E}" name="TablaDinámica7"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5">
  <location ref="N2:O11" firstHeaderRow="1" firstDataRow="1" firstDataCol="1"/>
  <pivotFields count="14">
    <pivotField showAll="0"/>
    <pivotField showAll="0"/>
    <pivotField showAll="0"/>
    <pivotField showAll="0"/>
    <pivotField showAll="0">
      <items count="382">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 t="default"/>
      </items>
    </pivotField>
    <pivotField axis="axisRow" dataField="1" showAll="0">
      <items count="10">
        <item x="0"/>
        <item x="6"/>
        <item x="1"/>
        <item x="7"/>
        <item x="4"/>
        <item x="5"/>
        <item x="2"/>
        <item x="3"/>
        <item m="1" x="8"/>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3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0"/>
        <item t="default"/>
      </items>
    </pivotField>
  </pivotFields>
  <rowFields count="1">
    <field x="5"/>
  </rowFields>
  <rowItems count="9">
    <i>
      <x/>
    </i>
    <i>
      <x v="1"/>
    </i>
    <i>
      <x v="2"/>
    </i>
    <i>
      <x v="3"/>
    </i>
    <i>
      <x v="4"/>
    </i>
    <i>
      <x v="5"/>
    </i>
    <i>
      <x v="6"/>
    </i>
    <i>
      <x v="7"/>
    </i>
    <i t="grand">
      <x/>
    </i>
  </rowItems>
  <colItems count="1">
    <i/>
  </colItems>
  <dataFields count="1">
    <dataField name="Cuenta de Data.ABOGADO A CARGO " fld="5" subtotal="count" baseField="0" baseItem="0"/>
  </dataFields>
  <formats count="12">
    <format dxfId="280">
      <pivotArea type="all" dataOnly="0" outline="0" fieldPosition="0"/>
    </format>
    <format dxfId="279">
      <pivotArea outline="0" collapsedLevelsAreSubtotals="1" fieldPosition="0"/>
    </format>
    <format dxfId="278">
      <pivotArea field="5" type="button" dataOnly="0" labelOnly="1" outline="0" axis="axisRow" fieldPosition="0"/>
    </format>
    <format dxfId="277">
      <pivotArea dataOnly="0" labelOnly="1" fieldPosition="0">
        <references count="1">
          <reference field="5" count="0"/>
        </references>
      </pivotArea>
    </format>
    <format dxfId="276">
      <pivotArea dataOnly="0" labelOnly="1" grandRow="1" outline="0"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field="5" type="button" dataOnly="0" labelOnly="1" outline="0" axis="axisRow" fieldPosition="0"/>
    </format>
    <format dxfId="271">
      <pivotArea dataOnly="0" labelOnly="1" fieldPosition="0">
        <references count="1">
          <reference field="5" count="0"/>
        </references>
      </pivotArea>
    </format>
    <format dxfId="270">
      <pivotArea dataOnly="0" labelOnly="1" grandRow="1" outline="0" fieldPosition="0"/>
    </format>
    <format dxfId="269">
      <pivotArea dataOnly="0" labelOnly="1" outline="0" axis="axisValues" fieldPosition="0"/>
    </format>
  </formats>
  <chartFormats count="1">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FB670E-9E32-4AA9-AA2F-C3FBBBD01988}" name="TablaDinámica8"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0">
  <location ref="W2:X18" firstHeaderRow="1" firstDataRow="1" firstDataCol="1"/>
  <pivotFields count="14">
    <pivotField showAll="0"/>
    <pivotField showAll="0"/>
    <pivotField showAll="0"/>
    <pivotField showAll="0"/>
    <pivotField showAll="0">
      <items count="382">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 t="default"/>
      </items>
    </pivotField>
    <pivotField showAll="0"/>
    <pivotField showAll="0"/>
    <pivotField showAll="0"/>
    <pivotField showAll="0"/>
    <pivotField showAll="0"/>
    <pivotField axis="axisRow" dataField="1" showAll="0">
      <items count="16">
        <item x="8"/>
        <item x="10"/>
        <item x="3"/>
        <item x="4"/>
        <item x="13"/>
        <item x="14"/>
        <item x="1"/>
        <item x="6"/>
        <item x="9"/>
        <item x="7"/>
        <item x="0"/>
        <item x="2"/>
        <item x="11"/>
        <item x="12"/>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3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0"/>
        <item t="default"/>
      </items>
    </pivotField>
  </pivotFields>
  <rowFields count="1">
    <field x="10"/>
  </rowFields>
  <rowItems count="16">
    <i>
      <x/>
    </i>
    <i>
      <x v="1"/>
    </i>
    <i>
      <x v="2"/>
    </i>
    <i>
      <x v="3"/>
    </i>
    <i>
      <x v="4"/>
    </i>
    <i>
      <x v="5"/>
    </i>
    <i>
      <x v="6"/>
    </i>
    <i>
      <x v="7"/>
    </i>
    <i>
      <x v="8"/>
    </i>
    <i>
      <x v="9"/>
    </i>
    <i>
      <x v="10"/>
    </i>
    <i>
      <x v="11"/>
    </i>
    <i>
      <x v="12"/>
    </i>
    <i>
      <x v="13"/>
    </i>
    <i>
      <x v="14"/>
    </i>
    <i t="grand">
      <x/>
    </i>
  </rowItems>
  <colItems count="1">
    <i/>
  </colItems>
  <dataFields count="1">
    <dataField name="Cuenta de Data.EN CURSO - CON FALLO" fld="10" subtotal="count" baseField="0" baseItem="0"/>
  </dataFields>
  <formats count="12">
    <format dxfId="292">
      <pivotArea type="all" dataOnly="0" outline="0" fieldPosition="0"/>
    </format>
    <format dxfId="291">
      <pivotArea outline="0" collapsedLevelsAreSubtotals="1" fieldPosition="0"/>
    </format>
    <format dxfId="290">
      <pivotArea field="10" type="button" dataOnly="0" labelOnly="1" outline="0" axis="axisRow" fieldPosition="0"/>
    </format>
    <format dxfId="289">
      <pivotArea dataOnly="0" labelOnly="1" fieldPosition="0">
        <references count="1">
          <reference field="10" count="0"/>
        </references>
      </pivotArea>
    </format>
    <format dxfId="288">
      <pivotArea dataOnly="0" labelOnly="1" grandRow="1" outline="0"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field="10" type="button" dataOnly="0" labelOnly="1" outline="0" axis="axisRow" fieldPosition="0"/>
    </format>
    <format dxfId="283">
      <pivotArea dataOnly="0" labelOnly="1" fieldPosition="0">
        <references count="1">
          <reference field="10" count="0"/>
        </references>
      </pivotArea>
    </format>
    <format dxfId="282">
      <pivotArea dataOnly="0" labelOnly="1" grandRow="1" outline="0" fieldPosition="0"/>
    </format>
    <format dxfId="281">
      <pivotArea dataOnly="0" labelOnly="1" outline="0" axis="axisValues" fieldPosition="0"/>
    </format>
  </formats>
  <chartFormats count="4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 chart="2" format="6">
      <pivotArea type="data" outline="0" fieldPosition="0">
        <references count="2">
          <reference field="4294967294" count="1" selected="0">
            <x v="0"/>
          </reference>
          <reference field="10" count="1" selected="0">
            <x v="4"/>
          </reference>
        </references>
      </pivotArea>
    </chartFormat>
    <chartFormat chart="2" format="7">
      <pivotArea type="data" outline="0" fieldPosition="0">
        <references count="2">
          <reference field="4294967294" count="1" selected="0">
            <x v="0"/>
          </reference>
          <reference field="10" count="1" selected="0">
            <x v="5"/>
          </reference>
        </references>
      </pivotArea>
    </chartFormat>
    <chartFormat chart="2" format="8">
      <pivotArea type="data" outline="0" fieldPosition="0">
        <references count="2">
          <reference field="4294967294" count="1" selected="0">
            <x v="0"/>
          </reference>
          <reference field="10" count="1" selected="0">
            <x v="6"/>
          </reference>
        </references>
      </pivotArea>
    </chartFormat>
    <chartFormat chart="2" format="9">
      <pivotArea type="data" outline="0" fieldPosition="0">
        <references count="2">
          <reference field="4294967294" count="1" selected="0">
            <x v="0"/>
          </reference>
          <reference field="10" count="1" selected="0">
            <x v="7"/>
          </reference>
        </references>
      </pivotArea>
    </chartFormat>
    <chartFormat chart="2" format="10">
      <pivotArea type="data" outline="0" fieldPosition="0">
        <references count="2">
          <reference field="4294967294" count="1" selected="0">
            <x v="0"/>
          </reference>
          <reference field="10" count="1" selected="0">
            <x v="8"/>
          </reference>
        </references>
      </pivotArea>
    </chartFormat>
    <chartFormat chart="2" format="11">
      <pivotArea type="data" outline="0" fieldPosition="0">
        <references count="2">
          <reference field="4294967294" count="1" selected="0">
            <x v="0"/>
          </reference>
          <reference field="10" count="1" selected="0">
            <x v="9"/>
          </reference>
        </references>
      </pivotArea>
    </chartFormat>
    <chartFormat chart="2" format="12">
      <pivotArea type="data" outline="0" fieldPosition="0">
        <references count="2">
          <reference field="4294967294" count="1" selected="0">
            <x v="0"/>
          </reference>
          <reference field="10" count="1" selected="0">
            <x v="10"/>
          </reference>
        </references>
      </pivotArea>
    </chartFormat>
    <chartFormat chart="2" format="13">
      <pivotArea type="data" outline="0" fieldPosition="0">
        <references count="2">
          <reference field="4294967294" count="1" selected="0">
            <x v="0"/>
          </reference>
          <reference field="10" count="1" selected="0">
            <x v="11"/>
          </reference>
        </references>
      </pivotArea>
    </chartFormat>
    <chartFormat chart="2" format="14">
      <pivotArea type="data" outline="0" fieldPosition="0">
        <references count="2">
          <reference field="4294967294" count="1" selected="0">
            <x v="0"/>
          </reference>
          <reference field="10" count="1" selected="0">
            <x v="12"/>
          </reference>
        </references>
      </pivotArea>
    </chartFormat>
    <chartFormat chart="2" format="15">
      <pivotArea type="data" outline="0" fieldPosition="0">
        <references count="2">
          <reference field="4294967294" count="1" selected="0">
            <x v="0"/>
          </reference>
          <reference field="10" count="1" selected="0">
            <x v="13"/>
          </reference>
        </references>
      </pivotArea>
    </chartFormat>
    <chartFormat chart="2" format="16">
      <pivotArea type="data" outline="0" fieldPosition="0">
        <references count="2">
          <reference field="4294967294" count="1" selected="0">
            <x v="0"/>
          </reference>
          <reference field="10" count="1" selected="0">
            <x v="14"/>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10" count="1" selected="0">
            <x v="0"/>
          </reference>
        </references>
      </pivotArea>
    </chartFormat>
    <chartFormat chart="3" format="19">
      <pivotArea type="data" outline="0" fieldPosition="0">
        <references count="2">
          <reference field="4294967294" count="1" selected="0">
            <x v="0"/>
          </reference>
          <reference field="10" count="1" selected="0">
            <x v="1"/>
          </reference>
        </references>
      </pivotArea>
    </chartFormat>
    <chartFormat chart="3" format="20">
      <pivotArea type="data" outline="0" fieldPosition="0">
        <references count="2">
          <reference field="4294967294" count="1" selected="0">
            <x v="0"/>
          </reference>
          <reference field="10" count="1" selected="0">
            <x v="2"/>
          </reference>
        </references>
      </pivotArea>
    </chartFormat>
    <chartFormat chart="3" format="21">
      <pivotArea type="data" outline="0" fieldPosition="0">
        <references count="2">
          <reference field="4294967294" count="1" selected="0">
            <x v="0"/>
          </reference>
          <reference field="10" count="1" selected="0">
            <x v="3"/>
          </reference>
        </references>
      </pivotArea>
    </chartFormat>
    <chartFormat chart="3" format="22">
      <pivotArea type="data" outline="0" fieldPosition="0">
        <references count="2">
          <reference field="4294967294" count="1" selected="0">
            <x v="0"/>
          </reference>
          <reference field="10" count="1" selected="0">
            <x v="4"/>
          </reference>
        </references>
      </pivotArea>
    </chartFormat>
    <chartFormat chart="3" format="23">
      <pivotArea type="data" outline="0" fieldPosition="0">
        <references count="2">
          <reference field="4294967294" count="1" selected="0">
            <x v="0"/>
          </reference>
          <reference field="10" count="1" selected="0">
            <x v="5"/>
          </reference>
        </references>
      </pivotArea>
    </chartFormat>
    <chartFormat chart="3" format="24">
      <pivotArea type="data" outline="0" fieldPosition="0">
        <references count="2">
          <reference field="4294967294" count="1" selected="0">
            <x v="0"/>
          </reference>
          <reference field="10" count="1" selected="0">
            <x v="6"/>
          </reference>
        </references>
      </pivotArea>
    </chartFormat>
    <chartFormat chart="3" format="25">
      <pivotArea type="data" outline="0" fieldPosition="0">
        <references count="2">
          <reference field="4294967294" count="1" selected="0">
            <x v="0"/>
          </reference>
          <reference field="10" count="1" selected="0">
            <x v="7"/>
          </reference>
        </references>
      </pivotArea>
    </chartFormat>
    <chartFormat chart="3" format="26">
      <pivotArea type="data" outline="0" fieldPosition="0">
        <references count="2">
          <reference field="4294967294" count="1" selected="0">
            <x v="0"/>
          </reference>
          <reference field="10" count="1" selected="0">
            <x v="8"/>
          </reference>
        </references>
      </pivotArea>
    </chartFormat>
    <chartFormat chart="3" format="27">
      <pivotArea type="data" outline="0" fieldPosition="0">
        <references count="2">
          <reference field="4294967294" count="1" selected="0">
            <x v="0"/>
          </reference>
          <reference field="10" count="1" selected="0">
            <x v="9"/>
          </reference>
        </references>
      </pivotArea>
    </chartFormat>
    <chartFormat chart="3" format="28">
      <pivotArea type="data" outline="0" fieldPosition="0">
        <references count="2">
          <reference field="4294967294" count="1" selected="0">
            <x v="0"/>
          </reference>
          <reference field="10" count="1" selected="0">
            <x v="10"/>
          </reference>
        </references>
      </pivotArea>
    </chartFormat>
    <chartFormat chart="3" format="29">
      <pivotArea type="data" outline="0" fieldPosition="0">
        <references count="2">
          <reference field="4294967294" count="1" selected="0">
            <x v="0"/>
          </reference>
          <reference field="10" count="1" selected="0">
            <x v="11"/>
          </reference>
        </references>
      </pivotArea>
    </chartFormat>
    <chartFormat chart="3" format="30">
      <pivotArea type="data" outline="0" fieldPosition="0">
        <references count="2">
          <reference field="4294967294" count="1" selected="0">
            <x v="0"/>
          </reference>
          <reference field="10" count="1" selected="0">
            <x v="12"/>
          </reference>
        </references>
      </pivotArea>
    </chartFormat>
    <chartFormat chart="3" format="31">
      <pivotArea type="data" outline="0" fieldPosition="0">
        <references count="2">
          <reference field="4294967294" count="1" selected="0">
            <x v="0"/>
          </reference>
          <reference field="10" count="1" selected="0">
            <x v="13"/>
          </reference>
        </references>
      </pivotArea>
    </chartFormat>
    <chartFormat chart="3" format="32">
      <pivotArea type="data" outline="0" fieldPosition="0">
        <references count="2">
          <reference field="4294967294" count="1" selected="0">
            <x v="0"/>
          </reference>
          <reference field="10" count="1" selected="0">
            <x v="14"/>
          </reference>
        </references>
      </pivotArea>
    </chartFormat>
    <chartFormat chart="7" format="49" series="1">
      <pivotArea type="data" outline="0" fieldPosition="0">
        <references count="1">
          <reference field="4294967294" count="1" selected="0">
            <x v="0"/>
          </reference>
        </references>
      </pivotArea>
    </chartFormat>
    <chartFormat chart="7" format="50">
      <pivotArea type="data" outline="0" fieldPosition="0">
        <references count="2">
          <reference field="4294967294" count="1" selected="0">
            <x v="0"/>
          </reference>
          <reference field="10" count="1" selected="0">
            <x v="0"/>
          </reference>
        </references>
      </pivotArea>
    </chartFormat>
    <chartFormat chart="7" format="51">
      <pivotArea type="data" outline="0" fieldPosition="0">
        <references count="2">
          <reference field="4294967294" count="1" selected="0">
            <x v="0"/>
          </reference>
          <reference field="10" count="1" selected="0">
            <x v="1"/>
          </reference>
        </references>
      </pivotArea>
    </chartFormat>
    <chartFormat chart="7" format="52">
      <pivotArea type="data" outline="0" fieldPosition="0">
        <references count="2">
          <reference field="4294967294" count="1" selected="0">
            <x v="0"/>
          </reference>
          <reference field="10" count="1" selected="0">
            <x v="2"/>
          </reference>
        </references>
      </pivotArea>
    </chartFormat>
    <chartFormat chart="7" format="53">
      <pivotArea type="data" outline="0" fieldPosition="0">
        <references count="2">
          <reference field="4294967294" count="1" selected="0">
            <x v="0"/>
          </reference>
          <reference field="10" count="1" selected="0">
            <x v="3"/>
          </reference>
        </references>
      </pivotArea>
    </chartFormat>
    <chartFormat chart="7" format="54">
      <pivotArea type="data" outline="0" fieldPosition="0">
        <references count="2">
          <reference field="4294967294" count="1" selected="0">
            <x v="0"/>
          </reference>
          <reference field="10" count="1" selected="0">
            <x v="4"/>
          </reference>
        </references>
      </pivotArea>
    </chartFormat>
    <chartFormat chart="7" format="55">
      <pivotArea type="data" outline="0" fieldPosition="0">
        <references count="2">
          <reference field="4294967294" count="1" selected="0">
            <x v="0"/>
          </reference>
          <reference field="10" count="1" selected="0">
            <x v="5"/>
          </reference>
        </references>
      </pivotArea>
    </chartFormat>
    <chartFormat chart="7" format="56">
      <pivotArea type="data" outline="0" fieldPosition="0">
        <references count="2">
          <reference field="4294967294" count="1" selected="0">
            <x v="0"/>
          </reference>
          <reference field="10" count="1" selected="0">
            <x v="6"/>
          </reference>
        </references>
      </pivotArea>
    </chartFormat>
    <chartFormat chart="7" format="57">
      <pivotArea type="data" outline="0" fieldPosition="0">
        <references count="2">
          <reference field="4294967294" count="1" selected="0">
            <x v="0"/>
          </reference>
          <reference field="10" count="1" selected="0">
            <x v="7"/>
          </reference>
        </references>
      </pivotArea>
    </chartFormat>
    <chartFormat chart="7" format="58">
      <pivotArea type="data" outline="0" fieldPosition="0">
        <references count="2">
          <reference field="4294967294" count="1" selected="0">
            <x v="0"/>
          </reference>
          <reference field="10" count="1" selected="0">
            <x v="8"/>
          </reference>
        </references>
      </pivotArea>
    </chartFormat>
    <chartFormat chart="7" format="59">
      <pivotArea type="data" outline="0" fieldPosition="0">
        <references count="2">
          <reference field="4294967294" count="1" selected="0">
            <x v="0"/>
          </reference>
          <reference field="10" count="1" selected="0">
            <x v="9"/>
          </reference>
        </references>
      </pivotArea>
    </chartFormat>
    <chartFormat chart="7" format="60">
      <pivotArea type="data" outline="0" fieldPosition="0">
        <references count="2">
          <reference field="4294967294" count="1" selected="0">
            <x v="0"/>
          </reference>
          <reference field="10" count="1" selected="0">
            <x v="10"/>
          </reference>
        </references>
      </pivotArea>
    </chartFormat>
    <chartFormat chart="7" format="61">
      <pivotArea type="data" outline="0" fieldPosition="0">
        <references count="2">
          <reference field="4294967294" count="1" selected="0">
            <x v="0"/>
          </reference>
          <reference field="10" count="1" selected="0">
            <x v="11"/>
          </reference>
        </references>
      </pivotArea>
    </chartFormat>
    <chartFormat chart="7" format="62">
      <pivotArea type="data" outline="0" fieldPosition="0">
        <references count="2">
          <reference field="4294967294" count="1" selected="0">
            <x v="0"/>
          </reference>
          <reference field="10" count="1" selected="0">
            <x v="12"/>
          </reference>
        </references>
      </pivotArea>
    </chartFormat>
    <chartFormat chart="7" format="63">
      <pivotArea type="data" outline="0" fieldPosition="0">
        <references count="2">
          <reference field="4294967294" count="1" selected="0">
            <x v="0"/>
          </reference>
          <reference field="10" count="1" selected="0">
            <x v="13"/>
          </reference>
        </references>
      </pivotArea>
    </chartFormat>
    <chartFormat chart="7" format="64">
      <pivotArea type="data" outline="0" fieldPosition="0">
        <references count="2">
          <reference field="4294967294" count="1" selected="0">
            <x v="0"/>
          </reference>
          <reference field="1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9956D7-B304-4430-9DC0-2E633C39561A}" name="TablaDinámica4" cacheId="0" applyNumberFormats="0" applyBorderFormats="0" applyFontFormats="0" applyPatternFormats="0" applyAlignmentFormats="0" applyWidthHeightFormats="1" dataCaption="Valores" updatedVersion="6" minRefreshableVersion="5" useAutoFormatting="1" itemPrintTitles="1" createdVersion="8" indent="0" outline="1" outlineData="1" multipleFieldFilters="0" chartFormat="10">
  <location ref="E2:F9" firstHeaderRow="1" firstDataRow="1" firstDataCol="1"/>
  <pivotFields count="14">
    <pivotField showAll="0"/>
    <pivotField showAll="0"/>
    <pivotField axis="axisRow" dataField="1" showAll="0">
      <items count="10">
        <item x="4"/>
        <item x="2"/>
        <item m="1" x="8"/>
        <item x="3"/>
        <item x="0"/>
        <item x="1"/>
        <item m="1" x="7"/>
        <item x="5"/>
        <item m="1" x="6"/>
        <item t="default"/>
      </items>
    </pivotField>
    <pivotField showAll="0"/>
    <pivotField showAll="0">
      <items count="382">
        <item x="204"/>
        <item x="153"/>
        <item x="239"/>
        <item x="155"/>
        <item x="156"/>
        <item x="7"/>
        <item x="6"/>
        <item x="8"/>
        <item x="171"/>
        <item x="40"/>
        <item x="11"/>
        <item x="9"/>
        <item x="10"/>
        <item x="12"/>
        <item x="13"/>
        <item x="261"/>
        <item x="315"/>
        <item x="314"/>
        <item x="337"/>
        <item x="152"/>
        <item x="15"/>
        <item x="100"/>
        <item x="161"/>
        <item x="338"/>
        <item x="352"/>
        <item x="316"/>
        <item x="14"/>
        <item x="317"/>
        <item x="359"/>
        <item x="158"/>
        <item x="322"/>
        <item x="368"/>
        <item x="172"/>
        <item x="193"/>
        <item x="166"/>
        <item x="268"/>
        <item x="142"/>
        <item x="170"/>
        <item x="143"/>
        <item x="16"/>
        <item x="165"/>
        <item x="265"/>
        <item x="17"/>
        <item x="18"/>
        <item x="19"/>
        <item x="117"/>
        <item x="124"/>
        <item x="119"/>
        <item x="145"/>
        <item x="178"/>
        <item x="126"/>
        <item x="127"/>
        <item x="279"/>
        <item x="341"/>
        <item x="23"/>
        <item x="20"/>
        <item x="2"/>
        <item x="181"/>
        <item x="116"/>
        <item x="210"/>
        <item x="21"/>
        <item x="24"/>
        <item x="22"/>
        <item x="29"/>
        <item x="26"/>
        <item x="37"/>
        <item x="177"/>
        <item x="197"/>
        <item x="130"/>
        <item x="99"/>
        <item x="27"/>
        <item x="25"/>
        <item x="132"/>
        <item x="28"/>
        <item x="115"/>
        <item x="321"/>
        <item x="199"/>
        <item x="285"/>
        <item x="31"/>
        <item x="319"/>
        <item x="313"/>
        <item x="123"/>
        <item x="369"/>
        <item x="93"/>
        <item x="120"/>
        <item x="327"/>
        <item x="340"/>
        <item x="30"/>
        <item x="312"/>
        <item x="69"/>
        <item x="286"/>
        <item x="276"/>
        <item x="282"/>
        <item x="290"/>
        <item x="195"/>
        <item x="280"/>
        <item x="32"/>
        <item x="122"/>
        <item x="200"/>
        <item x="57"/>
        <item x="374"/>
        <item x="274"/>
        <item x="270"/>
        <item x="51"/>
        <item x="218"/>
        <item x="370"/>
        <item x="207"/>
        <item x="371"/>
        <item x="306"/>
        <item x="221"/>
        <item x="34"/>
        <item x="35"/>
        <item x="206"/>
        <item x="121"/>
        <item x="212"/>
        <item x="141"/>
        <item x="140"/>
        <item x="269"/>
        <item x="281"/>
        <item x="190"/>
        <item x="333"/>
        <item x="323"/>
        <item x="33"/>
        <item x="111"/>
        <item x="211"/>
        <item x="324"/>
        <item x="136"/>
        <item x="135"/>
        <item x="154"/>
        <item x="220"/>
        <item x="273"/>
        <item x="38"/>
        <item x="146"/>
        <item x="36"/>
        <item x="176"/>
        <item x="187"/>
        <item x="129"/>
        <item x="213"/>
        <item x="39"/>
        <item x="183"/>
        <item x="3"/>
        <item x="228"/>
        <item x="231"/>
        <item x="186"/>
        <item x="272"/>
        <item x="277"/>
        <item x="230"/>
        <item x="271"/>
        <item x="125"/>
        <item x="232"/>
        <item x="346"/>
        <item x="226"/>
        <item x="189"/>
        <item x="348"/>
        <item x="109"/>
        <item x="41"/>
        <item x="42"/>
        <item x="45"/>
        <item x="173"/>
        <item x="372"/>
        <item x="44"/>
        <item x="46"/>
        <item x="201"/>
        <item x="76"/>
        <item x="43"/>
        <item x="318"/>
        <item x="284"/>
        <item x="131"/>
        <item x="349"/>
        <item x="367"/>
        <item x="110"/>
        <item x="350"/>
        <item x="291"/>
        <item x="303"/>
        <item x="113"/>
        <item x="294"/>
        <item x="234"/>
        <item x="320"/>
        <item x="74"/>
        <item x="236"/>
        <item x="61"/>
        <item x="288"/>
        <item x="336"/>
        <item x="174"/>
        <item x="240"/>
        <item x="339"/>
        <item x="295"/>
        <item x="169"/>
        <item x="351"/>
        <item x="191"/>
        <item x="184"/>
        <item x="58"/>
        <item x="353"/>
        <item x="343"/>
        <item x="242"/>
        <item x="75"/>
        <item x="373"/>
        <item x="157"/>
        <item x="283"/>
        <item x="334"/>
        <item x="202"/>
        <item x="59"/>
        <item x="244"/>
        <item x="56"/>
        <item x="224"/>
        <item x="245"/>
        <item x="60"/>
        <item x="287"/>
        <item x="62"/>
        <item x="71"/>
        <item x="72"/>
        <item x="252"/>
        <item x="222"/>
        <item x="77"/>
        <item x="63"/>
        <item x="114"/>
        <item x="64"/>
        <item x="275"/>
        <item x="203"/>
        <item x="248"/>
        <item x="325"/>
        <item x="246"/>
        <item x="251"/>
        <item x="249"/>
        <item x="235"/>
        <item x="65"/>
        <item x="66"/>
        <item x="355"/>
        <item x="358"/>
        <item x="112"/>
        <item x="108"/>
        <item x="243"/>
        <item x="182"/>
        <item x="162"/>
        <item x="347"/>
        <item x="356"/>
        <item x="67"/>
        <item x="354"/>
        <item x="335"/>
        <item x="342"/>
        <item x="357"/>
        <item x="4"/>
        <item x="289"/>
        <item x="297"/>
        <item x="196"/>
        <item x="151"/>
        <item x="128"/>
        <item x="332"/>
        <item x="215"/>
        <item x="305"/>
        <item x="331"/>
        <item x="296"/>
        <item x="150"/>
        <item x="292"/>
        <item x="328"/>
        <item x="188"/>
        <item x="205"/>
        <item x="360"/>
        <item x="70"/>
        <item x="139"/>
        <item x="362"/>
        <item x="0"/>
        <item x="118"/>
        <item x="299"/>
        <item x="363"/>
        <item x="237"/>
        <item x="47"/>
        <item x="214"/>
        <item x="50"/>
        <item x="267"/>
        <item x="55"/>
        <item x="216"/>
        <item x="250"/>
        <item x="364"/>
        <item x="49"/>
        <item x="48"/>
        <item x="247"/>
        <item x="192"/>
        <item x="52"/>
        <item x="194"/>
        <item x="53"/>
        <item x="227"/>
        <item x="163"/>
        <item x="365"/>
        <item x="137"/>
        <item x="238"/>
        <item x="168"/>
        <item x="54"/>
        <item x="361"/>
        <item x="298"/>
        <item x="217"/>
        <item x="180"/>
        <item x="253"/>
        <item x="198"/>
        <item x="241"/>
        <item x="300"/>
        <item x="344"/>
        <item x="302"/>
        <item x="73"/>
        <item x="366"/>
        <item x="375"/>
        <item x="68"/>
        <item x="223"/>
        <item x="345"/>
        <item x="293"/>
        <item x="80"/>
        <item x="78"/>
        <item x="233"/>
        <item x="263"/>
        <item x="79"/>
        <item x="255"/>
        <item x="266"/>
        <item x="1"/>
        <item x="149"/>
        <item x="219"/>
        <item x="159"/>
        <item x="307"/>
        <item x="301"/>
        <item x="134"/>
        <item x="264"/>
        <item x="164"/>
        <item x="167"/>
        <item x="329"/>
        <item x="330"/>
        <item x="260"/>
        <item x="229"/>
        <item x="81"/>
        <item x="225"/>
        <item x="160"/>
        <item x="278"/>
        <item x="310"/>
        <item x="378"/>
        <item x="83"/>
        <item x="256"/>
        <item x="208"/>
        <item x="88"/>
        <item x="85"/>
        <item x="209"/>
        <item x="144"/>
        <item x="90"/>
        <item x="82"/>
        <item x="376"/>
        <item x="147"/>
        <item x="148"/>
        <item x="133"/>
        <item x="326"/>
        <item x="379"/>
        <item x="84"/>
        <item x="175"/>
        <item x="138"/>
        <item x="86"/>
        <item x="91"/>
        <item x="87"/>
        <item x="377"/>
        <item x="94"/>
        <item x="254"/>
        <item x="89"/>
        <item x="311"/>
        <item x="92"/>
        <item x="179"/>
        <item x="185"/>
        <item x="95"/>
        <item x="262"/>
        <item x="308"/>
        <item x="98"/>
        <item x="259"/>
        <item x="258"/>
        <item x="96"/>
        <item x="97"/>
        <item x="304"/>
        <item x="101"/>
        <item x="102"/>
        <item x="103"/>
        <item x="5"/>
        <item x="104"/>
        <item x="106"/>
        <item x="380"/>
        <item x="309"/>
        <item x="257"/>
        <item x="105"/>
        <item x="107"/>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3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0"/>
        <item t="default"/>
      </items>
    </pivotField>
  </pivotFields>
  <rowFields count="1">
    <field x="2"/>
  </rowFields>
  <rowItems count="7">
    <i>
      <x/>
    </i>
    <i>
      <x v="1"/>
    </i>
    <i>
      <x v="3"/>
    </i>
    <i>
      <x v="4"/>
    </i>
    <i>
      <x v="5"/>
    </i>
    <i>
      <x v="7"/>
    </i>
    <i t="grand">
      <x/>
    </i>
  </rowItems>
  <colItems count="1">
    <i/>
  </colItems>
  <dataFields count="1">
    <dataField name="Cuenta de Data.JURISDICCIÓN" fld="2" subtotal="count" baseField="0" baseItem="0"/>
  </dataFields>
  <formats count="12">
    <format dxfId="304">
      <pivotArea type="all" dataOnly="0" outline="0" fieldPosition="0"/>
    </format>
    <format dxfId="303">
      <pivotArea outline="0" collapsedLevelsAreSubtotals="1" fieldPosition="0"/>
    </format>
    <format dxfId="302">
      <pivotArea field="2" type="button" dataOnly="0" labelOnly="1" outline="0" axis="axisRow" fieldPosition="0"/>
    </format>
    <format dxfId="301">
      <pivotArea dataOnly="0" labelOnly="1" fieldPosition="0">
        <references count="1">
          <reference field="2" count="0"/>
        </references>
      </pivotArea>
    </format>
    <format dxfId="300">
      <pivotArea dataOnly="0" labelOnly="1" grandRow="1" outline="0"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2" type="button" dataOnly="0" labelOnly="1" outline="0" axis="axisRow" fieldPosition="0"/>
    </format>
    <format dxfId="295">
      <pivotArea dataOnly="0" labelOnly="1" fieldPosition="0">
        <references count="1">
          <reference field="2" count="0"/>
        </references>
      </pivotArea>
    </format>
    <format dxfId="294">
      <pivotArea dataOnly="0" labelOnly="1" grandRow="1" outline="0" fieldPosition="0"/>
    </format>
    <format dxfId="293">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5D9EB482-FA36-4577-A062-EB0B33C11AFB}" autoFormatId="16" applyNumberFormats="0" applyBorderFormats="0" applyFontFormats="0" applyPatternFormats="0" applyAlignmentFormats="0" applyWidthHeightFormats="0">
  <queryTableRefresh nextId="30">
    <queryTableFields count="11">
      <queryTableField id="1" name="Name" tableColumnId="1"/>
      <queryTableField id="19" name="Data.ID" tableColumnId="12"/>
      <queryTableField id="5" name="Data.JURISDICCIÓN" tableColumnId="5"/>
      <queryTableField id="6" name="Data.TIPO DE PROCESO" tableColumnId="6"/>
      <queryTableField id="7" name="Data.FECHA DE PRESENTACION DE DEMANDA" tableColumnId="7"/>
      <queryTableField id="8" name="Data.ABOGADO A CARGO " tableColumnId="8"/>
      <queryTableField id="24" name="Data.TIPO DE REPRESENTACION _x000a_DIRECTA - INDIRECTA " tableColumnId="2"/>
      <queryTableField id="26" name="Data.TIPO DE ZONA (CESIÓN, FISCALES, DOTACIONAL, PREDIO PÚBLICO DE NO CESIÓN, IN" tableColumnId="3"/>
      <queryTableField id="9" name="Data.LOCALIDAD" tableColumnId="9"/>
      <queryTableField id="27" name="Data.METROS CUADRADOS" tableColumnId="4"/>
      <queryTableField id="10" name="Data.EN CURSO - CON FALLO"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3847DD-2FE1-44A2-95D6-0D9BDCF8C357}" name="Consolidado" displayName="Consolidado" ref="A1:K429" tableType="queryTable" totalsRowShown="0" headerRowDxfId="307">
  <autoFilter ref="A1:K429" xr:uid="{E73847DD-2FE1-44A2-95D6-0D9BDCF8C357}"/>
  <tableColumns count="11">
    <tableColumn id="1" xr3:uid="{6520892B-5F05-4F16-AEF1-C71AC8EB3DB3}" uniqueName="1" name="Name" queryTableFieldId="1" dataDxfId="306"/>
    <tableColumn id="12" xr3:uid="{57BF8156-5617-4AFE-9FD4-2D03F116FE9E}" uniqueName="12" name="Data.ID" queryTableFieldId="19"/>
    <tableColumn id="5" xr3:uid="{861EEEC6-2034-40DC-9A28-746F798BC5CF}" uniqueName="5" name="Data.JURISDICCIÓN" queryTableFieldId="5"/>
    <tableColumn id="6" xr3:uid="{87D2247F-9F56-49C9-9D6B-DFFEF9187790}" uniqueName="6" name="Data.TIPO DE PROCESO" queryTableFieldId="6"/>
    <tableColumn id="7" xr3:uid="{1F869777-2CD6-4147-9FD8-38E683457487}" uniqueName="7" name="Data.FECHA DE PRESENTACION DE DEMANDA" queryTableFieldId="7" dataDxfId="305"/>
    <tableColumn id="8" xr3:uid="{AA219459-ED36-4623-94C3-582F4FA6A902}" uniqueName="8" name="Data.ABOGADO A CARGO " queryTableFieldId="8"/>
    <tableColumn id="2" xr3:uid="{50BEE852-CB5D-438B-84A2-2DF8BEF84B5B}" uniqueName="2" name="Data.TIPO DE REPRESENTACION _x000a_DIRECTA - INDIRECTA " queryTableFieldId="24"/>
    <tableColumn id="3" xr3:uid="{E0F8A5DD-001B-4B2A-8CFC-9B22197264E2}" uniqueName="3" name="Data.TIPO DE ZONA (CESIÓN, FISCALES, DOTACIONAL, PREDIO PÚBLICO DE NO CESIÓN, IN" queryTableFieldId="26"/>
    <tableColumn id="9" xr3:uid="{0A3A1224-1A00-412C-B4F4-C7C292E7B76E}" uniqueName="9" name="Data.LOCALIDAD" queryTableFieldId="9"/>
    <tableColumn id="4" xr3:uid="{89E8BB54-4C13-4C16-AA27-A0B469163137}" uniqueName="4" name="Data.METROS CUADRADOS" queryTableFieldId="27"/>
    <tableColumn id="10" xr3:uid="{0E534E37-394A-4342-9137-F02757F95756}" uniqueName="10" name="Data.EN CURSO - CON FALLO" queryTableFieldId="1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40E25D-2281-421B-80EA-9B44C0E7CAA9}" name="Tabla1" displayName="Tabla1" ref="A1:AI7" totalsRowShown="0" headerRowDxfId="222" dataDxfId="221" headerRowCellStyle="Moneda">
  <tableColumns count="35">
    <tableColumn id="1" xr3:uid="{08648536-906B-4068-B1CE-1A972DF108F3}" name="ID" dataDxfId="220"/>
    <tableColumn id="2" xr3:uid="{9F4183CC-66F2-4212-8BDD-C06A6429DA85}" name="JURISDICCIÓN" dataDxfId="219"/>
    <tableColumn id="3" xr3:uid="{7BFD93F5-D956-4D00-A5BD-27F71EEEF742}" name="PROCESO " dataDxfId="218"/>
    <tableColumn id="4" xr3:uid="{C76A4F64-60C1-46D4-9014-3D739780A1E1}" name="TIPO DE PROCESO" dataDxfId="217"/>
    <tableColumn id="5" xr3:uid="{1A191A3D-E630-46B0-9D94-0FD4876109E2}" name="FECHA DE PRESENTACION DE DEMANDA" dataDxfId="216"/>
    <tableColumn id="6" xr3:uid="{5DFCA25B-B232-4B96-B18B-483FF8FF01BD}" name="DESPACHO QUE ACTUALMENTE CONOCE EL PROCESO" dataDxfId="215"/>
    <tableColumn id="7" xr3:uid="{DAB599AA-8BFD-43D8-9835-B1F734361F17}" name="ABOGADO A CARGO " dataDxfId="214"/>
    <tableColumn id="8" xr3:uid="{AA708FD1-69E0-4BAA-8578-D25F398F1467}" name="DEMANDANTE / DENUNCIANTE" dataDxfId="213"/>
    <tableColumn id="9" xr3:uid="{6A4A846B-AE2E-4CF4-B1A8-D83EF3E6F5AD}" name="DEMANDADO / DENUNCIADO _x000a_(APELLIDOS - NOMBRES)" dataDxfId="212"/>
    <tableColumn id="10" xr3:uid="{00D7B401-42F3-45D0-A83F-DB070FFEE009}" name="TIPO DE REPRESENTACION _x000a_DIRECTA - INDIRECTA " dataDxfId="211"/>
    <tableColumn id="11" xr3:uid="{7895B91E-938E-4F47-AE2F-917F8D89F689}" name="DADEP DTE - DDO - INTERVINIENTE - COMITÉ - DENUNCIANTE" dataDxfId="210"/>
    <tableColumn id="12" xr3:uid="{F0C97FF6-5D42-48FF-B262-8DA73E93FE25}" name="TEMA PROCESO" dataDxfId="209"/>
    <tableColumn id="13" xr3:uid="{14A313D4-EBF1-4A98-9053-3516A9DF8DEE}" name="DELITO_x000a_(PROCESOS PENALES)" dataDxfId="208"/>
    <tableColumn id="14" xr3:uid="{07B12142-1BB1-46D6-BBD2-B58400C839CB}" name="DESCRIPCION" dataDxfId="207"/>
    <tableColumn id="15" xr3:uid="{BC923756-4D0F-448D-A3B6-6A2A87772A6C}" name="NOMBRE DE LA URBANIZACION" dataDxfId="206"/>
    <tableColumn id="16" xr3:uid="{22D949CE-68F2-4941-A49F-9D4702EEE15D}" name=" PRETENSIONES DE LA DEMANDA EN DINERO_x000a_(DADEP DEMANDANTE) " dataDxfId="205" dataCellStyle="Moneda"/>
    <tableColumn id="17" xr3:uid="{D5A54336-DB20-4B11-8E13-36DBDCC90BB3}" name=" VALOR EFECTIVO RECAUDO (EJECUTIVO)_x000a_(DADEP DEMANDANTE) " dataDxfId="204" dataCellStyle="Moneda"/>
    <tableColumn id="18" xr3:uid="{C4578A8B-7084-404F-922A-AFC8153DB5D2}" name="TIPO DE ZONA (CESIÓN, FISCALES, DOTACIONAL, PREDIO PÚBLICO DE NO CESIÓN, INSTITUCIONAL)" dataDxfId="203"/>
    <tableColumn id="19" xr3:uid="{FA22BAA2-81E0-4428-B36E-5E5B038A85BE}" name="RUPI" dataDxfId="202" dataCellStyle="Moneda"/>
    <tableColumn id="20" xr3:uid="{4E3195AA-3164-4BDF-9CA4-2153B680D5D4}" name="LOCALIDAD" dataDxfId="201" dataCellStyle="Normal 6"/>
    <tableColumn id="21" xr3:uid="{533227CB-20CC-41DE-B3B8-911C67CDEE47}" name="METROS CUADRADOS" dataDxfId="200" dataCellStyle="Moneda"/>
    <tableColumn id="22" xr3:uid="{32DA900B-12E5-4423-8B1C-7EC6AC85C883}" name="AVALUO CATASTRAL - COMERCIAL PREDIO" dataDxfId="199" dataCellStyle="Moneda"/>
    <tableColumn id="23" xr3:uid="{6A1215F9-257A-4839-B7E2-1880B4C7E360}" name="% DE LA CUOTA PARTE DEL DADEP (DIVISORIOS)" dataDxfId="198" dataCellStyle="Moneda"/>
    <tableColumn id="24" xr3:uid="{FFEBB925-1BAE-49DD-8F62-373533E5FECA}" name="CONDENAS O INDEMNIZACIONES QUE EN SENTENCIA EVITARÍA LA ENTIDAD EN METROS CUADRADOS" dataDxfId="197" dataCellStyle="Moneda"/>
    <tableColumn id="25" xr3:uid="{6FC54DAB-9F7D-43ED-9543-53C30DD74A81}" name="CONDENAS O INDEMNIZACIONES QUE EN SENTENCIA EVITARÍA LA ENTIDAD EN DINERO" dataDxfId="196"/>
    <tableColumn id="26" xr3:uid="{D946E194-0EDA-43BB-B0F1-167C2CBABEBE}" name="FECHA DE SENTENCIA EN PRIMERA INSTANCIA" dataDxfId="195"/>
    <tableColumn id="27" xr3:uid="{ADDF0C7D-E289-4536-8EB5-2A4A9F50B3C4}" name="FECHA DE SENTENCIA EN SEGUNDA INSTANCIA" dataDxfId="194"/>
    <tableColumn id="28" xr3:uid="{46DBF269-1CB1-494E-B4EC-76F892074698}" name="ORDENES AL DADEP EN SENTENCIA DEFINITIVA" dataDxfId="193"/>
    <tableColumn id="29" xr3:uid="{515F46E9-BB3D-4615-900B-CD59108004FA}" name="ACCIONES A SEGUIR" dataDxfId="192"/>
    <tableColumn id="30" xr3:uid="{519C3CB1-AA06-40E8-8679-19C87D5158E0}" name="EN CURSO - CON FALLO" dataDxfId="191"/>
    <tableColumn id="31" xr3:uid="{E4579262-0530-4C96-8671-E916B9E0E6C4}" name="AREA RESPONSABLE DEL CUMPLIMIENTO" dataDxfId="190" dataCellStyle="Moneda"/>
    <tableColumn id="32" xr3:uid="{EBB92277-BB6E-4F3F-BA5F-748A49CD4535}" name="ETAPA PROCESAL" dataDxfId="189"/>
    <tableColumn id="33" xr3:uid="{24AEE7CC-EA2D-4AB8-87B0-07DA015C91BF}" name="AVANCE 1" dataDxfId="188"/>
    <tableColumn id="34" xr3:uid="{FF74362D-3CD3-4766-BA15-22074B6A6EB9}" name="AVANCE 2" dataDxfId="187"/>
    <tableColumn id="35" xr3:uid="{0A389556-C15E-4DA0-90E5-DD60D082BDD4}" name="AVANCE 3" dataDxfId="18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316ECC-610D-4289-AB6C-3F69E5866C22}" name="Tabla2" displayName="Tabla2" ref="A1:AF2" totalsRowShown="0" headerRowDxfId="185" dataDxfId="184" headerRowCellStyle="Moneda">
  <tableColumns count="32">
    <tableColumn id="1" xr3:uid="{5C44A6AE-7381-4B7E-919C-5E10F0446725}" name="ID" dataDxfId="183"/>
    <tableColumn id="2" xr3:uid="{D20FBCF5-A790-4896-A970-851B1351375D}" name="JURISDICCIÓN" dataDxfId="182"/>
    <tableColumn id="3" xr3:uid="{EA237911-4246-4968-95BF-B08EC6D4797A}" name="PROCESO " dataDxfId="181"/>
    <tableColumn id="4" xr3:uid="{E0FF6227-67AD-48D0-A42A-A5279CD71A8C}" name="TIPO DE PROCESO" dataDxfId="180"/>
    <tableColumn id="5" xr3:uid="{6961E129-FD35-4913-8D9C-98B70B3A82D8}" name="FECHA DE PRESENTACION DE DEMANDA" dataDxfId="179"/>
    <tableColumn id="6" xr3:uid="{045121E1-FAD8-43C3-B564-350C8C47BB77}" name="DESPACHO QUE ACTUALMENTE CONOCE EL PROCESO" dataDxfId="178"/>
    <tableColumn id="7" xr3:uid="{872256EB-9CAD-4471-A0CC-E1DFF3781A37}" name="ABOGADO A CARGO " dataDxfId="177"/>
    <tableColumn id="8" xr3:uid="{2D246A6F-5C8A-41C5-AE46-844E93D3F3B8}" name="DEMANDANTE / DENUNCIANTE" dataDxfId="176"/>
    <tableColumn id="9" xr3:uid="{44CCC24A-0C1C-4F0E-AA8D-258973EB3B03}" name="DEMANDADO / DENUNCIADO _x000a_(APELLIDOS - NOMBRES)" dataDxfId="175"/>
    <tableColumn id="10" xr3:uid="{02AE565E-1398-4123-BE72-CDE3A4758B21}" name="TIPO DE REPRESENTACION _x000a_DIRECTA - INDIRECTA " dataDxfId="174"/>
    <tableColumn id="11" xr3:uid="{ABF66A2C-ADE0-400D-BBFD-0DC4EC9DC353}" name="DADEP DTE - DDO - INTERVINIENTE - COMITÉ - DENUNCIANTE" dataDxfId="173"/>
    <tableColumn id="12" xr3:uid="{7C09617E-E458-491B-8DAB-31F092E2AD4E}" name="TEMA PROCESO" dataDxfId="172"/>
    <tableColumn id="13" xr3:uid="{870B1749-F023-427D-BC0B-73C030840B1E}" name="DELITO_x000a_(PROCESOS PENALES)" dataDxfId="171"/>
    <tableColumn id="14" xr3:uid="{137A5451-166B-41E5-8BE7-E12EECC19314}" name="DESCRIPCION" dataDxfId="170"/>
    <tableColumn id="15" xr3:uid="{7ABDD63D-FD90-4624-A75D-4224B8830816}" name="NOMBRE DE LA URBANIZACION" dataDxfId="169"/>
    <tableColumn id="16" xr3:uid="{3697D7C5-F2F3-43D7-A7C5-6643C9278292}" name=" PRETENSIONES DE LA DEMANDA EN DINERO_x000a_(DADEP DEMANDANTE) " dataDxfId="168"/>
    <tableColumn id="17" xr3:uid="{6117793C-747E-4588-9167-3F4F067459FA}" name=" VALOR EFECTIVO RECAUDO (EJECUTIVO)_x000a_(DADEP DEMANDANTE) " dataDxfId="167"/>
    <tableColumn id="18" xr3:uid="{D53B880E-0D9E-4F79-B1FF-65B5E9689FB8}" name="TIPO DE ZONA (CESIÓN, FISCALES, DOTACIONAL, PREDIO PÚBLICO DE NO CESIÓN, INSTITUCIONAL)" dataDxfId="166"/>
    <tableColumn id="19" xr3:uid="{44C9D788-8B2D-4F46-8232-8C3D5947E3CB}" name="RUPI" dataDxfId="165"/>
    <tableColumn id="20" xr3:uid="{475FA017-0609-4318-A390-AA99FF82F673}" name="LOCALIDAD" dataDxfId="164" dataCellStyle="Normal 6"/>
    <tableColumn id="21" xr3:uid="{E5DC7362-C8A4-4447-97C8-8C6580FEDC6B}" name="METROS CUADRADOS" dataDxfId="163"/>
    <tableColumn id="22" xr3:uid="{D9D53DAD-8A40-472C-899B-DEF86C25DAB6}" name="AVALUO CATASTRAL - COMERCIAL PREDIO" dataDxfId="162"/>
    <tableColumn id="23" xr3:uid="{EB7BD5C6-577A-40E8-B8C9-4E0307330C59}" name="% DE LA CUOTA PARTE DEL DADEP (DIVISORIOS)" dataDxfId="161"/>
    <tableColumn id="24" xr3:uid="{AF30ACE6-2523-4B19-8441-A757A700F8D2}" name="CONDENAS O INDEMNIZACIONES QUE EN SENTENCIA EVITARÍA LA ENTIDAD EN METROS CUADRADOS" dataDxfId="160"/>
    <tableColumn id="25" xr3:uid="{E1F57C5D-E6EE-499D-8924-E89065FDCD9F}" name="CONDENAS O INDEMNIZACIONES QUE EN SENTENCIA EVITARÍA LA ENTIDAD EN DINERO" dataDxfId="159"/>
    <tableColumn id="26" xr3:uid="{A607D5F7-C935-49A5-8113-B2D7465BD35E}" name="FECHA DE SENTENCIA EN PRIMERA INSTANCIA" dataDxfId="158"/>
    <tableColumn id="27" xr3:uid="{EF220668-07C9-46AC-B264-02772E87D755}" name="FECHA DE SENTENCIA EN SEGUNDA INSTANCIA" dataDxfId="157"/>
    <tableColumn id="28" xr3:uid="{895DB3D3-7790-4513-A3C2-4C842560F1AF}" name="ORDENES AL DADEP EN SENTENCIA DEFINITIVA" dataDxfId="156"/>
    <tableColumn id="29" xr3:uid="{4EC02343-54E6-4FEF-A719-991D25FC57F3}" name="ACCIONES A SEGUIR" dataDxfId="155"/>
    <tableColumn id="30" xr3:uid="{501CD66D-334E-4BA8-BF7A-BF94C382581E}" name="EN CURSO - CON FALLO" dataDxfId="154"/>
    <tableColumn id="31" xr3:uid="{83246D77-BD42-4F41-B515-17636DD90A6B}" name="AREA RESPONSABLE DEL CUMPLIMIENTO" dataDxfId="153" dataCellStyle="Moneda"/>
    <tableColumn id="32" xr3:uid="{46747C05-3654-4899-8EB7-8437E4D3CACC}" name="ETAPA PROCESAL" dataDxfId="15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9F575E-8DF8-4DB0-88A2-CA5BF36A402D}" name="Tabla4" displayName="Tabla4" ref="A1:AF129" totalsRowShown="0" headerRowDxfId="151" dataDxfId="149" headerRowBorderDxfId="150" tableBorderDxfId="148" headerRowCellStyle="Moneda">
  <autoFilter ref="A1:AF129" xr:uid="{1C534817-5092-4691-8B02-3329E83ACE0B}"/>
  <tableColumns count="32">
    <tableColumn id="1" xr3:uid="{7ACA3323-90CC-4DB9-9DB8-18594F18D7C7}" name="ID" dataDxfId="147"/>
    <tableColumn id="2" xr3:uid="{EE18D987-9237-466B-B0FE-39C234870419}" name="JURISDICCIÓN" dataDxfId="146"/>
    <tableColumn id="3" xr3:uid="{DAEAF047-7C57-4F74-86C4-C353ED733AEA}" name="PROCESO " dataDxfId="145"/>
    <tableColumn id="4" xr3:uid="{CE51C3F9-BB50-4868-BF92-5929E59ADF72}" name="TIPO DE PROCESO" dataDxfId="144"/>
    <tableColumn id="5" xr3:uid="{78145F16-A362-4137-944F-EDBF6B14956D}" name="FECHA DE PRESENTACION DE DEMANDA" dataDxfId="143"/>
    <tableColumn id="6" xr3:uid="{E65C85B4-0A59-4E6E-A43A-5023B0ACB752}" name="DESPACHO QUE ACTUALMENTE CONOCE EL PROCESO" dataDxfId="142"/>
    <tableColumn id="7" xr3:uid="{671CB942-3795-41AD-A02D-05FEF01D4105}" name="ABOGADO A CARGO " dataDxfId="141"/>
    <tableColumn id="8" xr3:uid="{FD6F8825-0679-4743-B32A-66C70038D915}" name="DEMANDANTE / DENUNCIANTE" dataDxfId="140"/>
    <tableColumn id="9" xr3:uid="{3D45362C-86A0-4B10-9406-FD06179CA263}" name="DEMANDADO / DENUNCIADO _x000a_(APELLIDOS - NOMBRES)" dataDxfId="139"/>
    <tableColumn id="10" xr3:uid="{E59A4F34-0BAE-4B97-862F-7BF8255E253D}" name="TIPO DE REPRESENTACION _x000a_DIRECTA - INDIRECTA " dataDxfId="138"/>
    <tableColumn id="11" xr3:uid="{089FF924-4A86-4787-ACB9-15BB2404DDF7}" name="DADEP DTE - DDO - INTERVINIENTE - COMITÉ - DENUNCIANTE" dataDxfId="137"/>
    <tableColumn id="12" xr3:uid="{E0F32690-3C0D-4812-812E-1B22B1FE0920}" name="TEMA PROCESO" dataDxfId="136"/>
    <tableColumn id="13" xr3:uid="{FAB11561-89EA-40B6-8E19-622DF01E8C30}" name="DELITO_x000a_(PROCESOS PENALES)" dataDxfId="135"/>
    <tableColumn id="14" xr3:uid="{69472517-8911-462A-B92F-8F7846A18CB1}" name="DESCRIPCION" dataDxfId="134"/>
    <tableColumn id="15" xr3:uid="{01CFCD5B-7F0B-4F77-8A9D-DC84ECB539BB}" name="NOMBRE DE LA URBANIZACION" dataDxfId="133"/>
    <tableColumn id="16" xr3:uid="{870C83D5-AACC-468F-90A5-A46A90ECA5D5}" name=" PRETENSIONES DE LA DEMANDA EN DINERO_x000a_(DADEP DEMANDANTE) " dataDxfId="132"/>
    <tableColumn id="17" xr3:uid="{FBB79444-52DE-44D6-A7A7-6BDD915C8503}" name=" VALOR EFECTIVO RECAUDO (EJECUTIVO)_x000a_(DADEP DEMANDANTE) " dataDxfId="131"/>
    <tableColumn id="18" xr3:uid="{8F72EBE3-4BCD-4DEA-BB0A-659566E0311D}" name="TIPO DE ZONA (CESIÓN, FISCALES, DOTACIONAL, PREDIO PÚBLICO DE NO CESIÓN, INSTITUCIONAL)" dataDxfId="130" dataCellStyle="Moneda"/>
    <tableColumn id="19" xr3:uid="{E7F2BE90-B311-457F-9801-31F2CD705CDF}" name="RUPI" dataDxfId="129"/>
    <tableColumn id="20" xr3:uid="{1801CB6D-4678-4852-844F-A5169B624EC5}" name="LOCALIDAD" dataDxfId="128"/>
    <tableColumn id="21" xr3:uid="{FE39E642-317B-4CFC-98BB-D4BAD3A496BA}" name="METROS CUADRADOS" dataDxfId="127"/>
    <tableColumn id="22" xr3:uid="{95AA96FD-CABD-4186-B258-C0A9428A6C3D}" name="AVALUO CATASTRAL - COMERCIAL PREDIO" dataDxfId="126"/>
    <tableColumn id="23" xr3:uid="{3301CDEA-398D-41C8-BFD4-7BBE1AF877ED}" name="% DE LA CUOTA PARTE DEL DADEP (DIVISORIOS)" dataDxfId="125"/>
    <tableColumn id="24" xr3:uid="{3B110890-BFC8-4A2C-8DB5-02E9292107BC}" name="CONDENAS O INDEMNIZACIONES QUE EN SENTENCIA EVITARÍA LA ENTIDAD EN METROS CUADRADOS" dataDxfId="124"/>
    <tableColumn id="25" xr3:uid="{18C74D8E-34C9-4628-8B17-ACCB30E8410D}" name="CONDENAS O INDEMNIZACIONES QUE EN SENTENCIA EVITARÍA LA ENTIDAD EN DINERO" dataDxfId="123"/>
    <tableColumn id="26" xr3:uid="{D702DC8C-E3CA-4040-987E-7A219741B422}" name="FECHA DE SENTENCIA EN PRIMERA INSTANCIA" dataDxfId="122"/>
    <tableColumn id="27" xr3:uid="{7319FB12-F6D4-414C-B5E6-EB6B90FB92EB}" name="FECHA DE SENTENCIA EN SEGUNDA INSTANCIA" dataDxfId="121"/>
    <tableColumn id="28" xr3:uid="{8A9F3D81-9A0E-43BA-A5A6-3A32A8DE18BF}" name="ORDENES AL DADEP EN SENTENCIA DEFINITIVA" dataDxfId="120"/>
    <tableColumn id="29" xr3:uid="{6E409568-0039-468A-A0A3-E9D471DB57F2}" name="ACCIONES A SEGUIR" dataDxfId="119"/>
    <tableColumn id="30" xr3:uid="{2492FE4C-2022-4422-9500-F14D46A8B40D}" name="EN CURSO - CON FALLO" dataDxfId="118"/>
    <tableColumn id="31" xr3:uid="{1AD7E5F0-8BAB-477B-8096-C12BC85C41C9}" name="AREA RESPONSABLE DEL CUMPLIMIENTO" dataDxfId="117" dataCellStyle="Moneda"/>
    <tableColumn id="32" xr3:uid="{3A2C367D-9AA5-45A4-B106-0DDAB56A0898}" name="ETAPA PROCESAL" dataDxfId="11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C63F95-8908-4E66-AFBF-2CB5109E820D}" name="Tabla5" displayName="Tabla5" ref="A1:AA55" totalsRowShown="0" headerRowDxfId="115" dataDxfId="113" headerRowBorderDxfId="114" tableBorderDxfId="112" headerRowCellStyle="Moneda">
  <autoFilter ref="A1:AA55" xr:uid="{D4F04A56-959E-4D93-8EA9-051A22474E10}"/>
  <tableColumns count="27">
    <tableColumn id="1" xr3:uid="{5061A669-02CC-4029-9C86-21F2CDA7991D}" name="ID" dataDxfId="111"/>
    <tableColumn id="2" xr3:uid="{E0AA4A36-4494-4765-9310-7C935DF8F5E4}" name="JURISDICCIÓN" dataDxfId="110"/>
    <tableColumn id="3" xr3:uid="{7264F68C-AC31-42A1-8DA4-C04929414268}" name="PROCESO " dataDxfId="109"/>
    <tableColumn id="4" xr3:uid="{B7686B44-F85C-4479-B107-A2E2C595356A}" name="TIPO DE PROCESO" dataDxfId="108"/>
    <tableColumn id="5" xr3:uid="{119AAF81-57A6-4C3B-BFA4-D2981C7AC8EE}" name="FECHA DE PRESENTACION DE DEMANDA" dataDxfId="107"/>
    <tableColumn id="6" xr3:uid="{5F20E13D-821F-4090-A74D-83381613EF52}" name="DESPACHO QUE ACTUALMENTE CONOCE EL PROCESO" dataDxfId="106"/>
    <tableColumn id="7" xr3:uid="{10008E2F-1BCA-4A9C-B43C-2544A24B4EC8}" name="ABOGADO A CARGO " dataDxfId="105" dataCellStyle="Normal 2"/>
    <tableColumn id="8" xr3:uid="{FFBB0EDB-2331-44BF-AB28-4564BAB0C829}" name="DEMANDANTE / DENUNCIANTE" dataDxfId="104"/>
    <tableColumn id="9" xr3:uid="{5509EF56-4725-4E85-ABC6-C8F198E9E6E7}" name="DEMANDADO / DENUNCIADO _x000a_(APELLIDOS - NOMBRES)" dataDxfId="103"/>
    <tableColumn id="10" xr3:uid="{4C880117-72DC-4214-AD5C-B5487653AEEA}" name="TIPO DE REPRESENTACION _x000a_DIRECTA - INDIRECTA " dataDxfId="102"/>
    <tableColumn id="11" xr3:uid="{2A53C164-A4D2-4B9F-B0A2-92A6571BF2E5}" name="DADEP DTE - DDO - INTERVINIENTE - COMITÉ - DENUNCIANTE" dataDxfId="101"/>
    <tableColumn id="12" xr3:uid="{5C5B55DA-660D-42EF-A07E-79C85AE7C993}" name="TEMA PROCESO" dataDxfId="100"/>
    <tableColumn id="13" xr3:uid="{E1EB0CC6-6C77-4541-8415-BFC4D08D500E}" name="DELITO_x000a_(PROCESOS PENALES)" dataDxfId="99"/>
    <tableColumn id="14" xr3:uid="{21C30C77-1889-4F8A-8555-B1522C9F0413}" name="DESCRIPCION" dataDxfId="98"/>
    <tableColumn id="15" xr3:uid="{E632D0A6-79C1-469E-A9FD-FCABC56FB88F}" name="NOMBRE DE LA URBANIZACION" dataDxfId="97"/>
    <tableColumn id="18" xr3:uid="{78A11EB3-7277-4E97-AC22-98E4DA654F7A}" name="TIPO DE ZONA (CESIÓN, FISCALES, DOTACIONAL, PREDIO PÚBLICO DE NO CESIÓN, INSTITUCIONAL)" dataDxfId="96"/>
    <tableColumn id="19" xr3:uid="{A7E2F970-70AF-4351-862C-2264CDA423FA}" name="RUPI" dataDxfId="95"/>
    <tableColumn id="20" xr3:uid="{919C0038-8CBB-4E84-B5CB-E5879BDB2173}" name="LOCALIDAD" dataDxfId="94" dataCellStyle="Normal 6"/>
    <tableColumn id="21" xr3:uid="{09D90372-F3BE-47E0-804F-39C715AF6679}" name="METROS CUADRADOS" dataDxfId="93"/>
    <tableColumn id="22" xr3:uid="{77D35DAD-8AA5-4F24-B084-EC360740A735}" name="AVALUO CATASTRAL - COMERCIAL PREDIO" dataDxfId="92"/>
    <tableColumn id="26" xr3:uid="{BC085D7C-439A-40AF-8E16-05A97D5EB8F5}" name="FECHA DE SENTENCIA EN PRIMERA INSTANCIA" dataDxfId="91"/>
    <tableColumn id="27" xr3:uid="{6D56222A-58BF-4A17-A1BE-D21A89320F33}" name="FECHA DE SENTENCIA EN SEGUNDA INSTANCIA" dataDxfId="90"/>
    <tableColumn id="28" xr3:uid="{0F0D80C0-F54B-42D6-995D-5BBD2614DAEF}" name="ORDENES AL DADEP EN SENTENCIA DEFINITIVA" dataDxfId="89"/>
    <tableColumn id="29" xr3:uid="{C961984B-869E-4E64-8475-D647A7807F71}" name="ACCIONES A SEGUIR" dataDxfId="88"/>
    <tableColumn id="30" xr3:uid="{88712371-EAD8-47E9-8C11-9BFAB3822823}" name="EN CURSO - CON FALLO" dataDxfId="87"/>
    <tableColumn id="31" xr3:uid="{8658947D-DB44-4418-AA0B-128F60A7D997}" name="AREA RESPONSABLE DEL CUMPLIMIENTO" dataDxfId="86" dataCellStyle="Moneda"/>
    <tableColumn id="32" xr3:uid="{8ED4AE82-D54B-4E98-8090-40E5BDC83EC9}" name="ETAPA PROCESAL" dataDxfId="85"/>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2E9F9A-FACD-4A5F-8FA2-822D87CCEEE8}" name="Tabla3" displayName="Tabla3" ref="A1:AE150" totalsRowShown="0" headerRowDxfId="84" dataDxfId="82" headerRowBorderDxfId="83" tableBorderDxfId="81" totalsRowBorderDxfId="80" headerRowCellStyle="Moneda">
  <autoFilter ref="A1:AE150" xr:uid="{84030044-BEDF-4C17-AAD9-9970ADFBC1B5}"/>
  <tableColumns count="31">
    <tableColumn id="1" xr3:uid="{98E7CA5B-A5B3-47D7-9D91-BEB9A6331778}" name="ID" dataDxfId="79"/>
    <tableColumn id="2" xr3:uid="{428BC700-BEA0-4BB9-8B26-0AD2C123EE21}" name="JURISDICCIÓN" dataDxfId="78"/>
    <tableColumn id="3" xr3:uid="{DD0320F2-7C9B-489B-801E-D8EBD0953A21}" name="PROCESO" dataDxfId="77"/>
    <tableColumn id="4" xr3:uid="{A7EB06FE-A4AF-4317-826D-D4B9B058E067}" name="TIPO DE PROCESO" dataDxfId="76"/>
    <tableColumn id="5" xr3:uid="{26A4D145-8206-42A7-BD82-35703C5A49A4}" name="FECHA DE PRESENTACION DE DEMANDA" dataDxfId="75"/>
    <tableColumn id="6" xr3:uid="{7AFBA186-1CED-4E55-9DA1-0D2F25ECCBD1}" name="DESPACHO QUE ACTUALMENTE CONOCE EL PROCESO" dataDxfId="74"/>
    <tableColumn id="7" xr3:uid="{A86B6AE0-03B2-4F69-B553-C34B3543653B}" name="ABOGADO A CARGO " dataDxfId="73"/>
    <tableColumn id="8" xr3:uid="{95C91052-2C10-4AEA-8E88-8A23D4D4B615}" name="DEMANDANTE / DENUNCIANTE" dataDxfId="72"/>
    <tableColumn id="9" xr3:uid="{F9D25847-3B95-49F5-9121-41E5195000F1}" name="DEMANDADO / DENUNCIADO _x000a_(APELLIDOS - NOMBRES)" dataDxfId="71"/>
    <tableColumn id="10" xr3:uid="{175B3331-B78F-43F2-9E91-D8F0D2B24BDF}" name="TIPO DE REPRESENTACION _x000a_DIRECTA - INDIRECTA " dataDxfId="70"/>
    <tableColumn id="11" xr3:uid="{F078914A-30FF-4117-A467-1532E1FC99CC}" name="DADEP DTE - DDO - INTERVINIENTE - COMITÉ - DENUNCIANTE" dataDxfId="69"/>
    <tableColumn id="12" xr3:uid="{96E50131-C3FD-4740-8CCC-001BFEE7FD95}" name="TEMA PROCESO" dataDxfId="68"/>
    <tableColumn id="13" xr3:uid="{34EC2E37-97B1-4753-A1D2-DB2A8AED7977}" name="DESCRIPCION" dataDxfId="67"/>
    <tableColumn id="14" xr3:uid="{36097B6F-5C38-4B55-86C8-93F931223B8B}" name="NOMBRE DE LA URBANIZACION" dataDxfId="66"/>
    <tableColumn id="15" xr3:uid="{AECD084F-03D8-40EC-979D-EE85A66D748D}" name=" PRETENSIONES DE LA DEMANDA EN DINERO_x000a_(DADEP DEMANDANTE) " dataDxfId="65"/>
    <tableColumn id="16" xr3:uid="{ED801E0D-0597-4EA9-A4B7-C369114B2D76}" name=" VALOR EFECTIVO RECAUDO (EJECUTIVO)_x000a_(DADEP DEMANDANTE) " dataDxfId="64"/>
    <tableColumn id="17" xr3:uid="{1DC05D98-FDBF-4694-85C0-FDF8422627AA}" name=" TIPO DE ZONA (CESIÓN, FISCALES, DOTACIONAL, PREDIO PÚBLICO DE NO CESIÓN, INSTITUCIONAL) " dataDxfId="63"/>
    <tableColumn id="18" xr3:uid="{ED6187A6-3A6E-4A66-AC87-344E70D8A769}" name="RUPI" dataDxfId="62"/>
    <tableColumn id="19" xr3:uid="{38001489-D8FA-441C-9973-FA84BD3B65C8}" name="LOCALIDAD" dataDxfId="61"/>
    <tableColumn id="20" xr3:uid="{D70E620D-3FB2-4D8A-8103-253A50577559}" name="METROS CUADRADOS" dataDxfId="60"/>
    <tableColumn id="21" xr3:uid="{A7A8C11E-1B09-4B06-B12B-78C29EC2D548}" name="AVALUO CATASTRAL - COMERCIAL PREDIO" dataDxfId="59"/>
    <tableColumn id="22" xr3:uid="{E411F499-8F43-4D3E-8F68-3B274F662662}" name="% DE LA CUOTA PARTE DEL DADEP (DIVISORIOS)" dataDxfId="58"/>
    <tableColumn id="23" xr3:uid="{C403088A-18DE-433E-87AC-C0DC0C3E8F64}" name="CONDENAS O INDEMNIZACIONES QUE EN SENTENCIA EVITARÍA LA ENTIDAD EN METROS CUADRADOS" dataDxfId="57"/>
    <tableColumn id="24" xr3:uid="{763CBDC8-D103-4A48-B89A-7CE115C51333}" name="CONDENAS O INDEMNIZACIONES QUE EN SENTENCIA EVITARÍA LA ENTIDAD EN DINERO" dataDxfId="56"/>
    <tableColumn id="25" xr3:uid="{10EE5AA8-51E6-430F-B420-EE1BEB30A8C9}" name="FECHA DE SENTENCIA EN PRIMERA INSTANCIA" dataDxfId="55"/>
    <tableColumn id="26" xr3:uid="{B2062604-E0A3-4B6D-9B8D-2E8019995169}" name="FECHA DE SENTENCIA EN SEGUNDA INSTANCIA" dataDxfId="54"/>
    <tableColumn id="27" xr3:uid="{1E9632CD-725B-42A0-BAD2-54FDA2B26CB2}" name="ORDENES AL DADEP EN SENTENCIA DEFINITIVA" dataDxfId="53" dataCellStyle="Moneda"/>
    <tableColumn id="28" xr3:uid="{DF9D2F42-C779-4D73-AE4A-E9CF127BB1F3}" name="ACCIONES A SEGUIR" dataDxfId="52"/>
    <tableColumn id="29" xr3:uid="{730717D7-809E-4385-9078-7F664867C3C0}" name="EN CURSO - CON FALLO" dataDxfId="51"/>
    <tableColumn id="30" xr3:uid="{1C01704C-AEA8-404C-AE42-F9A12140D390}" name="AREA RESPONSABLE DEL CUMPLIMIENTO" dataDxfId="50"/>
    <tableColumn id="31" xr3:uid="{9BC86192-BC44-4EFF-905B-88F9A4952AF0}" name="ETAPA PROCESAL" dataDxfId="49"/>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0B77B2-F075-4216-B720-F835679256BE}" name="Tabla6" displayName="Tabla6" ref="A1:AE80" totalsRowShown="0" headerRowDxfId="48" dataDxfId="46" headerRowBorderDxfId="47" tableBorderDxfId="45" headerRowCellStyle="Moneda">
  <autoFilter ref="A1:AE80" xr:uid="{B5F2D7EF-6278-4786-8386-C33104832F58}"/>
  <tableColumns count="31">
    <tableColumn id="1" xr3:uid="{0FD25040-DD2B-455B-96A7-BF3BB05C550B}" name="ID" dataDxfId="44"/>
    <tableColumn id="2" xr3:uid="{08BE0129-270C-41D3-916C-7BCD9BF308DF}" name="JURISDICCIÓN" dataDxfId="43"/>
    <tableColumn id="3" xr3:uid="{E7E1D6E2-358F-4837-B512-3BED1AE23F94}" name="PROCESO " dataDxfId="42"/>
    <tableColumn id="4" xr3:uid="{D92452CD-C80A-4E01-8099-FC9AEEBB88B3}" name="TIPO DE PROCESO" dataDxfId="41"/>
    <tableColumn id="5" xr3:uid="{F1819DFA-7F4F-40A4-B2FA-0E3052700B92}" name="FECHA DE PRESENTACION DE DEMANDA" dataDxfId="40"/>
    <tableColumn id="6" xr3:uid="{8384F326-180F-46EE-9FE4-3145C7454E13}" name="DESPACHO QUE ACTUALMENTE CONOCE EL PROCESO" dataDxfId="39"/>
    <tableColumn id="7" xr3:uid="{75F3C62D-7063-40CA-9AA5-15BF08F592D8}" name="ABOGADO A CARGO " dataDxfId="38"/>
    <tableColumn id="8" xr3:uid="{3FD32E8A-E268-4D9E-95D6-3A2865D1E99C}" name="DEMANDANTE / DENUNCIANTE" dataDxfId="37"/>
    <tableColumn id="9" xr3:uid="{39B29CB1-8944-421C-9850-C5F14A334784}" name="DEMANDADO / DENUNCIADO _x000a_(APELLIDOS - NOMBRES)" dataDxfId="36"/>
    <tableColumn id="10" xr3:uid="{EB54D87A-5A4F-483B-8B89-BF44F6B9DEC0}" name="TIPO DE REPRESENTACION _x000a_DIRECTA - INDIRECTA " dataDxfId="35"/>
    <tableColumn id="11" xr3:uid="{AACABF03-065B-4FE9-9B4E-4550A1C8E95D}" name="DADEP DTE - DDO - INTERVINIENTE - COMITÉ - DENUNCIANTE" dataDxfId="34"/>
    <tableColumn id="12" xr3:uid="{C1DD29B8-E531-4020-81C1-584E45B20778}" name="TEMA PROCESO" dataDxfId="33"/>
    <tableColumn id="14" xr3:uid="{4086B1AD-62D1-4685-930C-0246C40646CA}" name="DESCRIPCION" dataDxfId="32"/>
    <tableColumn id="15" xr3:uid="{5BC10D87-E17C-44E0-BFBE-200C3CCBB97F}" name="NOMBRE DE LA URBANIZACION" dataDxfId="31"/>
    <tableColumn id="16" xr3:uid="{151FF29A-08B2-49B6-A09C-9794EF2C8429}" name=" PRETENSIONES DE LA DEMANDA EN DINERO_x000a_(DADEP DEMANDANTE) " dataDxfId="30"/>
    <tableColumn id="17" xr3:uid="{FC962CD4-AAEA-45F7-A93D-1D56D46C0900}" name=" VALOR EFECTIVO RECAUDO (EJECUTIVO)_x000a_(DADEP DEMANDANTE) " dataDxfId="29"/>
    <tableColumn id="18" xr3:uid="{697D6F1C-F356-416E-9A1F-3FF989A19F6D}" name="TIPO DE ZONA (CESIÓN, FISCALES, DOTACIONAL, PREDIO PÚBLICO DE NO CESIÓN, INSTITUCIONAL)" dataDxfId="28"/>
    <tableColumn id="19" xr3:uid="{774553E7-8A03-46C7-9B7E-04B3878A5D06}" name="RUPI" dataDxfId="27"/>
    <tableColumn id="20" xr3:uid="{6B0DF210-14C9-45BB-A71E-E9AFB6DF978B}" name="LOCALIDAD" dataDxfId="26" dataCellStyle="Normal 6"/>
    <tableColumn id="21" xr3:uid="{C6688E8D-8D2C-4F47-ADF1-0474EBF0659D}" name="METROS CUADRADOS" dataDxfId="25"/>
    <tableColumn id="22" xr3:uid="{4F9F9122-7A2C-4C91-B0E7-4693A4110297}" name="AVALUO CATASTRAL - COMERCIAL PREDIO" dataDxfId="24"/>
    <tableColumn id="23" xr3:uid="{FD2DE195-B74A-4266-BEF3-4C901F365354}" name="% DE LA CUOTA PARTE DEL DADEP (DIVISORIOS)" dataDxfId="23"/>
    <tableColumn id="24" xr3:uid="{098F5FFB-A078-499C-BEDC-8AADA2968862}" name="CONDENAS O INDEMNIZACIONES QUE EN SENTENCIA EVITARÍA LA ENTIDAD EN METROS CUADRADOS" dataDxfId="22"/>
    <tableColumn id="25" xr3:uid="{697C5FB6-0B56-4D5E-89F3-E9BE88620C9B}" name="CONDENAS O INDEMNIZACIONES QUE EN SENTENCIA EVITARÍA LA ENTIDAD EN DINERO" dataDxfId="21"/>
    <tableColumn id="26" xr3:uid="{0244EB3A-485C-4674-93D7-0BE30173CBEC}" name="FECHA DE SENTENCIA EN PRIMERA INSTANCIA" dataDxfId="20"/>
    <tableColumn id="27" xr3:uid="{C1A3BA3A-AD84-47D8-AE78-73F5A3C300A0}" name="FECHA DE SENTENCIA EN SEGUNDA INSTANCIA" dataDxfId="19"/>
    <tableColumn id="28" xr3:uid="{DF96F830-ED92-46B5-BFAF-DB3B4FD86401}" name="ORDENES AL DADEP EN SENTENCIA DEFINITIVA" dataDxfId="18"/>
    <tableColumn id="29" xr3:uid="{98C2C1ED-6B94-4558-9863-97D15DC7CC05}" name="ACCIONES A SEGUIR" dataDxfId="17"/>
    <tableColumn id="30" xr3:uid="{BC32AF04-887F-4953-889F-A3D2B3348792}" name="EN CURSO - CON FALLO" dataDxfId="16"/>
    <tableColumn id="31" xr3:uid="{95E9F42F-347B-4FEE-B5BC-EA268BA66ACA}" name="AREA RESPONSABLE DEL CUMPLIMIENTO" dataDxfId="15"/>
    <tableColumn id="32" xr3:uid="{9D3E371E-9D6E-495A-B286-29AB5E04CDEF}" name="ETAPA PROCESAL" dataDxfId="14"/>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26FB71-2073-40A6-948C-DA2201B7BDAA}" name="Control" displayName="Control" ref="A1:L9" totalsRowShown="0" headerRowDxfId="13" dataDxfId="12">
  <autoFilter ref="A1:L9" xr:uid="{2B26FB71-2073-40A6-948C-DA2201B7BDAA}"/>
  <tableColumns count="12">
    <tableColumn id="1" xr3:uid="{ECDF7593-1D2A-44C9-B455-621D050E0764}" name="ID" dataDxfId="11"/>
    <tableColumn id="2" xr3:uid="{AF836D7B-7100-4BD7-A736-B95A78ACA753}" name="ABOGADO" dataDxfId="10"/>
    <tableColumn id="3" xr3:uid="{71949D23-7ADB-4C21-B0A4-5348A7B31027}" name="FECHA" dataDxfId="9"/>
    <tableColumn id="4" xr3:uid="{B7CC6B64-9940-4C18-9BC4-B39BFF77987C}" name="AUDIENCIAS" dataDxfId="8"/>
    <tableColumn id="5" xr3:uid="{2CA9EDD6-8807-4900-A8E7-5FD995FC6712}" name="TUTELA" dataDxfId="7"/>
    <tableColumn id="6" xr3:uid="{F3DC91CA-E25A-48DA-922C-EED33D54887E}" name="REUNIONES DE SEGUIMIENTO" dataDxfId="6"/>
    <tableColumn id="7" xr3:uid="{86BAA96A-168A-4EC0-B0F8-1A59A1A56A84}" name="IMPULSOS PROCESALES" dataDxfId="5"/>
    <tableColumn id="8" xr3:uid="{6DCCD518-F948-4DCE-8906-4B12480B803A}" name="CONCILIACIONES" dataDxfId="4"/>
    <tableColumn id="9" xr3:uid="{A366DBE5-0B42-4E81-9C64-6E1E877ED733}" name="DEMANDAS CONTESTADAS" dataDxfId="3"/>
    <tableColumn id="10" xr3:uid="{43F2B112-1430-4805-84BC-2FE3164186A5}" name="SENTENCIAS" dataDxfId="2"/>
    <tableColumn id="11" xr3:uid="{16D2B9BD-F419-427B-BB85-62C94EAF86E6}" name="REQUERIMIENTOS Y/ O SOLICIITUDES DE OTRAS DEPENCIAS" dataDxfId="1"/>
    <tableColumn id="12" xr3:uid="{98A98E4C-CA55-45B5-AD44-F24A8A6CAF52}" name="TOTAL PROCEDIMIENTOS" dataDxfId="0">
      <calculatedColumnFormula>SUM(Control[[#This Row],[AUDIENCIAS]:[REQUERIMIENTOS Y/ O SOLICIITUDES DE OTRAS DEPENCIAS]])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Tema de 2022">
  <a:themeElements>
    <a:clrScheme name="Transmisión de listas">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a.FECHA_DE_PRESENTACION_DE_DEMANDA" xr10:uid="{01A6867A-1F2F-4450-90D4-FE8B7BCDD8CE}" sourceName="Data.FECHA DE PRESENTACION DE DEMANDA">
  <pivotTables>
    <pivotTable tabId="11" name="TablaDinámica6"/>
    <pivotTable tabId="11" name="TablaDinámica2"/>
    <pivotTable tabId="11" name="TablaDinámica3"/>
    <pivotTable tabId="11" name="TablaDinámica4"/>
    <pivotTable tabId="11" name="TablaDinámica5"/>
    <pivotTable tabId="11" name="TablaDinámica7"/>
    <pivotTable tabId="11" name="TablaDinámica8"/>
  </pivotTables>
  <state minimalRefreshVersion="6" lastRefreshVersion="6" pivotCacheId="163385175" filterType="unknown">
    <bounds startDate="199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a.FECHA DE PRESENTACION DE DEMANDA" xr10:uid="{765FAC21-82FB-493E-9AF4-6738FE1EB28B}" cache="NativeTimeline_Data.FECHA_DE_PRESENTACION_DE_DEMANDA" caption="Data.FECHA DE PRESENTACION DE DEMANDA" level="0" selectionLevel="0" scrollPosition="2019-08-09T00:00:00" style="TimeSlicerStyleDark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printerSettings" Target="../printerSettings/printerSettings2.bin"/><Relationship Id="rId1" Type="http://schemas.openxmlformats.org/officeDocument/2006/relationships/hyperlink" Target="javascript:abrirVentana('../procesos/detalle_proceso.jsp?idProceso=600630&amp;noProceso=2019-00369&amp;despacho=JUZGADO%2013%20CIVIL%20DEL%20CIRCUITO%20%20DE%20ORALIDAD%20DE%20BOGOT%C3%81&amp;fecha=2018-08-13&amp;instancia=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7.bin"/><Relationship Id="rId1" Type="http://schemas.openxmlformats.org/officeDocument/2006/relationships/hyperlink" Target="javascript:abrirVentana('../procesos/detalle_proceso.jsp?idProceso=600630&amp;noProceso=2019-00369&amp;despacho=JUZGADO%2013%20CIVIL%20DEL%20CIRCUITO%20%20DE%20ORALIDAD%20DE%20BOGOT%C3%81&amp;fecha=2018-08-13&amp;instancia=1');"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F718-DD1A-42FF-98E6-8A2668ED107B}">
  <sheetPr codeName="Hoja1"/>
  <dimension ref="B1:AG53"/>
  <sheetViews>
    <sheetView showGridLines="0" showRowColHeaders="0" zoomScale="70" zoomScaleNormal="70" workbookViewId="0">
      <selection activeCell="AE12" sqref="AE12"/>
    </sheetView>
  </sheetViews>
  <sheetFormatPr baseColWidth="10" defaultColWidth="11.42578125" defaultRowHeight="16.5" x14ac:dyDescent="0.3"/>
  <cols>
    <col min="1" max="1" width="5.7109375" style="641" customWidth="1"/>
    <col min="2" max="2" width="1.7109375" style="641" customWidth="1"/>
    <col min="3" max="5" width="10.7109375" style="641" customWidth="1"/>
    <col min="6" max="6" width="1.7109375" style="641" customWidth="1"/>
    <col min="7" max="7" width="5.7109375" style="641" customWidth="1"/>
    <col min="8" max="12" width="11.42578125" style="641"/>
    <col min="13" max="13" width="13.28515625" style="641" customWidth="1"/>
    <col min="14" max="14" width="5.7109375" style="641" customWidth="1"/>
    <col min="15" max="17" width="11.42578125" style="641"/>
    <col min="18" max="18" width="12.28515625" style="641" customWidth="1"/>
    <col min="19" max="19" width="11.42578125" style="641"/>
    <col min="20" max="20" width="12" style="641" customWidth="1"/>
    <col min="21" max="21" width="5.7109375" style="641" customWidth="1"/>
    <col min="22" max="26" width="11.42578125" style="641"/>
    <col min="27" max="27" width="13.42578125" style="641" customWidth="1"/>
    <col min="28" max="28" width="5.7109375" style="641" customWidth="1"/>
    <col min="29" max="29" width="1.7109375" style="641" customWidth="1"/>
    <col min="30" max="32" width="10.7109375" style="641" customWidth="1"/>
    <col min="33" max="33" width="1.7109375" style="641" customWidth="1"/>
    <col min="34" max="16384" width="11.42578125" style="641"/>
  </cols>
  <sheetData>
    <row r="1" spans="2:33" s="688" customFormat="1" ht="39.950000000000003" customHeight="1" x14ac:dyDescent="0.3">
      <c r="B1" s="687" t="s">
        <v>0</v>
      </c>
      <c r="C1" s="687"/>
      <c r="AC1" s="687"/>
      <c r="AD1" s="687"/>
    </row>
    <row r="3" spans="2:33" x14ac:dyDescent="0.3">
      <c r="B3" s="686"/>
      <c r="C3" s="686"/>
      <c r="D3" s="686"/>
      <c r="E3" s="686"/>
      <c r="F3" s="686"/>
      <c r="AC3" s="686"/>
      <c r="AD3" s="686"/>
      <c r="AE3" s="686"/>
      <c r="AF3" s="686"/>
      <c r="AG3" s="686"/>
    </row>
    <row r="4" spans="2:33" x14ac:dyDescent="0.3">
      <c r="B4" s="686"/>
      <c r="C4" s="686"/>
      <c r="D4" s="686"/>
      <c r="E4" s="686"/>
      <c r="F4" s="686"/>
      <c r="AC4" s="686"/>
      <c r="AD4" s="686"/>
      <c r="AE4" s="686"/>
      <c r="AF4" s="686"/>
      <c r="AG4" s="686"/>
    </row>
    <row r="5" spans="2:33" ht="16.5" customHeight="1" x14ac:dyDescent="0.3">
      <c r="B5" s="686"/>
      <c r="C5" s="894">
        <f>Tablas!C2</f>
        <v>428</v>
      </c>
      <c r="D5" s="894"/>
      <c r="E5" s="894"/>
      <c r="F5" s="686"/>
      <c r="AC5" s="686"/>
      <c r="AD5" s="894">
        <f>SUM(Consolidado!$J:$J)</f>
        <v>3107916.2170000006</v>
      </c>
      <c r="AE5" s="894"/>
      <c r="AF5" s="894"/>
      <c r="AG5" s="686"/>
    </row>
    <row r="6" spans="2:33" ht="16.5" customHeight="1" x14ac:dyDescent="0.3">
      <c r="B6" s="686"/>
      <c r="C6" s="894"/>
      <c r="D6" s="894"/>
      <c r="E6" s="894"/>
      <c r="F6" s="686"/>
      <c r="AC6" s="686"/>
      <c r="AD6" s="894"/>
      <c r="AE6" s="894"/>
      <c r="AF6" s="894"/>
      <c r="AG6" s="686"/>
    </row>
    <row r="7" spans="2:33" ht="16.5" customHeight="1" x14ac:dyDescent="0.3">
      <c r="B7" s="686"/>
      <c r="C7" s="894"/>
      <c r="D7" s="894"/>
      <c r="E7" s="894"/>
      <c r="F7" s="686"/>
      <c r="AC7" s="686"/>
      <c r="AD7" s="894"/>
      <c r="AE7" s="894"/>
      <c r="AF7" s="894"/>
      <c r="AG7" s="686"/>
    </row>
    <row r="8" spans="2:33" ht="16.5" customHeight="1" x14ac:dyDescent="0.3">
      <c r="B8" s="686"/>
      <c r="C8" s="894"/>
      <c r="D8" s="894"/>
      <c r="E8" s="894"/>
      <c r="F8" s="686"/>
      <c r="AC8" s="686"/>
      <c r="AD8" s="894"/>
      <c r="AE8" s="894"/>
      <c r="AF8" s="894"/>
      <c r="AG8" s="686"/>
    </row>
    <row r="9" spans="2:33" x14ac:dyDescent="0.3">
      <c r="B9" s="686"/>
      <c r="C9" s="686"/>
      <c r="D9" s="686"/>
      <c r="E9" s="686"/>
      <c r="F9" s="686"/>
      <c r="AC9" s="686"/>
      <c r="AD9" s="686"/>
      <c r="AE9" s="686"/>
      <c r="AF9" s="686"/>
      <c r="AG9" s="686"/>
    </row>
    <row r="10" spans="2:33" x14ac:dyDescent="0.3">
      <c r="B10" s="686"/>
      <c r="C10" s="686"/>
      <c r="D10" s="686"/>
      <c r="E10" s="686"/>
      <c r="F10" s="686"/>
    </row>
    <row r="11" spans="2:33" ht="16.5" customHeight="1" x14ac:dyDescent="0.3">
      <c r="B11" s="686"/>
      <c r="C11" s="894">
        <f>Tablas!C3</f>
        <v>5</v>
      </c>
      <c r="D11" s="894"/>
      <c r="E11" s="894"/>
      <c r="F11" s="686"/>
      <c r="AD11" s="837"/>
      <c r="AE11" s="837"/>
      <c r="AF11" s="837"/>
    </row>
    <row r="12" spans="2:33" ht="16.5" customHeight="1" x14ac:dyDescent="0.3">
      <c r="B12" s="686"/>
      <c r="C12" s="894"/>
      <c r="D12" s="894"/>
      <c r="E12" s="894"/>
      <c r="F12" s="686"/>
      <c r="AD12" s="837"/>
      <c r="AE12" s="837"/>
      <c r="AF12" s="837"/>
    </row>
    <row r="13" spans="2:33" ht="16.5" customHeight="1" x14ac:dyDescent="0.3">
      <c r="B13" s="686"/>
      <c r="C13" s="894"/>
      <c r="D13" s="894"/>
      <c r="E13" s="894"/>
      <c r="F13" s="686"/>
      <c r="AD13" s="837"/>
      <c r="AE13" s="837"/>
      <c r="AF13" s="837"/>
    </row>
    <row r="14" spans="2:33" ht="16.5" customHeight="1" x14ac:dyDescent="0.3">
      <c r="B14" s="686"/>
      <c r="C14" s="894"/>
      <c r="D14" s="894"/>
      <c r="E14" s="894"/>
      <c r="F14" s="686"/>
      <c r="AD14" s="837"/>
      <c r="AE14" s="837"/>
      <c r="AF14" s="837"/>
    </row>
    <row r="15" spans="2:33" x14ac:dyDescent="0.3">
      <c r="B15" s="686"/>
      <c r="C15" s="686"/>
      <c r="D15" s="686"/>
      <c r="E15" s="686"/>
      <c r="F15" s="686"/>
    </row>
    <row r="16" spans="2:33" x14ac:dyDescent="0.3">
      <c r="B16" s="686"/>
      <c r="C16" s="686"/>
      <c r="D16" s="686"/>
      <c r="E16" s="686"/>
      <c r="F16" s="686"/>
    </row>
    <row r="17" spans="2:32" ht="16.5" customHeight="1" x14ac:dyDescent="0.3">
      <c r="B17" s="686"/>
      <c r="C17" s="894">
        <f>Tablas!C4</f>
        <v>1</v>
      </c>
      <c r="D17" s="894"/>
      <c r="E17" s="894"/>
      <c r="F17" s="686"/>
      <c r="AD17" s="837"/>
      <c r="AE17" s="837"/>
      <c r="AF17" s="837"/>
    </row>
    <row r="18" spans="2:32" ht="16.5" customHeight="1" x14ac:dyDescent="0.3">
      <c r="B18" s="686"/>
      <c r="C18" s="894"/>
      <c r="D18" s="894"/>
      <c r="E18" s="894"/>
      <c r="F18" s="686"/>
      <c r="AD18" s="837"/>
      <c r="AE18" s="837"/>
      <c r="AF18" s="837"/>
    </row>
    <row r="19" spans="2:32" ht="16.5" customHeight="1" x14ac:dyDescent="0.3">
      <c r="B19" s="686"/>
      <c r="C19" s="894"/>
      <c r="D19" s="894"/>
      <c r="E19" s="894"/>
      <c r="F19" s="686"/>
      <c r="AD19" s="837"/>
      <c r="AE19" s="837"/>
      <c r="AF19" s="837"/>
    </row>
    <row r="20" spans="2:32" ht="16.5" customHeight="1" x14ac:dyDescent="0.3">
      <c r="B20" s="686"/>
      <c r="C20" s="894"/>
      <c r="D20" s="894"/>
      <c r="E20" s="894"/>
      <c r="F20" s="686"/>
      <c r="AD20" s="837"/>
      <c r="AE20" s="837"/>
      <c r="AF20" s="837"/>
    </row>
    <row r="21" spans="2:32" x14ac:dyDescent="0.3">
      <c r="B21" s="686"/>
      <c r="C21" s="686"/>
      <c r="D21" s="686"/>
      <c r="E21" s="686"/>
      <c r="F21" s="686"/>
    </row>
    <row r="22" spans="2:32" x14ac:dyDescent="0.3">
      <c r="B22" s="686"/>
      <c r="C22" s="686"/>
      <c r="D22" s="686"/>
      <c r="E22" s="686"/>
      <c r="F22" s="686"/>
    </row>
    <row r="23" spans="2:32" ht="16.5" customHeight="1" x14ac:dyDescent="0.3">
      <c r="B23" s="686"/>
      <c r="C23" s="894">
        <f>Tablas!C5</f>
        <v>160</v>
      </c>
      <c r="D23" s="894"/>
      <c r="E23" s="894"/>
      <c r="F23" s="686"/>
      <c r="AD23" s="837"/>
      <c r="AE23" s="837"/>
      <c r="AF23" s="837"/>
    </row>
    <row r="24" spans="2:32" ht="16.5" customHeight="1" x14ac:dyDescent="0.3">
      <c r="B24" s="686"/>
      <c r="C24" s="894"/>
      <c r="D24" s="894"/>
      <c r="E24" s="894"/>
      <c r="F24" s="686"/>
      <c r="AD24" s="837"/>
      <c r="AE24" s="837"/>
      <c r="AF24" s="837"/>
    </row>
    <row r="25" spans="2:32" ht="16.5" customHeight="1" x14ac:dyDescent="0.3">
      <c r="B25" s="686"/>
      <c r="C25" s="894"/>
      <c r="D25" s="894"/>
      <c r="E25" s="894"/>
      <c r="F25" s="686"/>
      <c r="AD25" s="837"/>
      <c r="AE25" s="837"/>
      <c r="AF25" s="837"/>
    </row>
    <row r="26" spans="2:32" ht="16.5" customHeight="1" x14ac:dyDescent="0.3">
      <c r="B26" s="686"/>
      <c r="C26" s="894"/>
      <c r="D26" s="894"/>
      <c r="E26" s="894"/>
      <c r="F26" s="686"/>
      <c r="AD26" s="837"/>
      <c r="AE26" s="837"/>
      <c r="AF26" s="837"/>
    </row>
    <row r="27" spans="2:32" x14ac:dyDescent="0.3">
      <c r="B27" s="686"/>
      <c r="C27" s="686"/>
      <c r="D27" s="686"/>
      <c r="E27" s="686"/>
      <c r="F27" s="686"/>
    </row>
    <row r="28" spans="2:32" x14ac:dyDescent="0.3">
      <c r="B28" s="686"/>
      <c r="C28" s="686"/>
      <c r="D28" s="686"/>
      <c r="E28" s="686"/>
      <c r="F28" s="686"/>
    </row>
    <row r="29" spans="2:32" ht="16.5" customHeight="1" x14ac:dyDescent="0.3">
      <c r="B29" s="686"/>
      <c r="C29" s="894">
        <f>Tablas!C6</f>
        <v>127</v>
      </c>
      <c r="D29" s="894"/>
      <c r="E29" s="894"/>
      <c r="F29" s="686"/>
      <c r="AD29" s="837"/>
      <c r="AE29" s="837"/>
      <c r="AF29" s="837"/>
    </row>
    <row r="30" spans="2:32" ht="16.5" customHeight="1" x14ac:dyDescent="0.3">
      <c r="B30" s="686"/>
      <c r="C30" s="894"/>
      <c r="D30" s="894"/>
      <c r="E30" s="894"/>
      <c r="F30" s="686"/>
      <c r="AD30" s="837"/>
      <c r="AE30" s="837"/>
      <c r="AF30" s="837"/>
    </row>
    <row r="31" spans="2:32" ht="16.5" customHeight="1" x14ac:dyDescent="0.3">
      <c r="B31" s="686"/>
      <c r="C31" s="894"/>
      <c r="D31" s="894"/>
      <c r="E31" s="894"/>
      <c r="F31" s="686"/>
      <c r="AD31" s="837"/>
      <c r="AE31" s="837"/>
      <c r="AF31" s="837"/>
    </row>
    <row r="32" spans="2:32" ht="16.5" customHeight="1" x14ac:dyDescent="0.3">
      <c r="B32" s="686"/>
      <c r="C32" s="894"/>
      <c r="D32" s="894"/>
      <c r="E32" s="894"/>
      <c r="F32" s="686"/>
      <c r="AD32" s="837"/>
      <c r="AE32" s="837"/>
      <c r="AF32" s="837"/>
    </row>
    <row r="33" spans="2:32" x14ac:dyDescent="0.3">
      <c r="B33" s="686"/>
      <c r="C33" s="686"/>
      <c r="D33" s="686"/>
      <c r="E33" s="686"/>
      <c r="F33" s="686"/>
    </row>
    <row r="34" spans="2:32" x14ac:dyDescent="0.3">
      <c r="B34" s="686"/>
      <c r="C34" s="686"/>
      <c r="D34" s="686"/>
      <c r="E34" s="686"/>
      <c r="F34" s="686"/>
    </row>
    <row r="35" spans="2:32" ht="16.5" customHeight="1" x14ac:dyDescent="0.3">
      <c r="B35" s="686"/>
      <c r="C35" s="894">
        <f>Tablas!C7</f>
        <v>54</v>
      </c>
      <c r="D35" s="894"/>
      <c r="E35" s="894"/>
      <c r="F35" s="686"/>
      <c r="AD35" s="837"/>
      <c r="AE35" s="837"/>
      <c r="AF35" s="837"/>
    </row>
    <row r="36" spans="2:32" ht="16.5" customHeight="1" x14ac:dyDescent="0.3">
      <c r="B36" s="686"/>
      <c r="C36" s="894"/>
      <c r="D36" s="894"/>
      <c r="E36" s="894"/>
      <c r="F36" s="686"/>
      <c r="AD36" s="837"/>
      <c r="AE36" s="837"/>
      <c r="AF36" s="837"/>
    </row>
    <row r="37" spans="2:32" ht="16.5" customHeight="1" x14ac:dyDescent="0.3">
      <c r="B37" s="686"/>
      <c r="C37" s="894"/>
      <c r="D37" s="894"/>
      <c r="E37" s="894"/>
      <c r="F37" s="686"/>
      <c r="AD37" s="837"/>
      <c r="AE37" s="837"/>
      <c r="AF37" s="837"/>
    </row>
    <row r="38" spans="2:32" ht="16.5" customHeight="1" x14ac:dyDescent="0.3">
      <c r="B38" s="686"/>
      <c r="C38" s="894"/>
      <c r="D38" s="894"/>
      <c r="E38" s="894"/>
      <c r="F38" s="686"/>
      <c r="AD38" s="837"/>
      <c r="AE38" s="837"/>
      <c r="AF38" s="837"/>
    </row>
    <row r="39" spans="2:32" x14ac:dyDescent="0.3">
      <c r="B39" s="686"/>
      <c r="C39" s="686"/>
      <c r="D39" s="686"/>
      <c r="E39" s="686"/>
      <c r="F39" s="686"/>
    </row>
    <row r="40" spans="2:32" x14ac:dyDescent="0.3">
      <c r="B40" s="686"/>
      <c r="C40" s="686"/>
      <c r="D40" s="686"/>
      <c r="E40" s="686"/>
      <c r="F40" s="686"/>
    </row>
    <row r="41" spans="2:32" ht="16.5" customHeight="1" x14ac:dyDescent="0.3">
      <c r="B41" s="686"/>
      <c r="C41" s="894">
        <f>Tablas!C8</f>
        <v>81</v>
      </c>
      <c r="D41" s="894"/>
      <c r="E41" s="894"/>
      <c r="F41" s="686"/>
      <c r="AD41" s="837"/>
      <c r="AE41" s="837"/>
      <c r="AF41" s="837"/>
    </row>
    <row r="42" spans="2:32" ht="16.5" customHeight="1" x14ac:dyDescent="0.3">
      <c r="B42" s="686"/>
      <c r="C42" s="894"/>
      <c r="D42" s="894"/>
      <c r="E42" s="894"/>
      <c r="F42" s="686"/>
      <c r="AD42" s="837"/>
      <c r="AE42" s="837"/>
      <c r="AF42" s="837"/>
    </row>
    <row r="43" spans="2:32" ht="16.5" customHeight="1" x14ac:dyDescent="0.3">
      <c r="B43" s="686"/>
      <c r="C43" s="894"/>
      <c r="D43" s="894"/>
      <c r="E43" s="894"/>
      <c r="F43" s="686"/>
      <c r="AD43" s="837"/>
      <c r="AE43" s="837"/>
      <c r="AF43" s="837"/>
    </row>
    <row r="44" spans="2:32" ht="16.5" customHeight="1" x14ac:dyDescent="0.3">
      <c r="B44" s="686"/>
      <c r="C44" s="894"/>
      <c r="D44" s="894"/>
      <c r="E44" s="894"/>
      <c r="F44" s="686"/>
      <c r="AD44" s="837"/>
      <c r="AE44" s="837"/>
      <c r="AF44" s="837"/>
    </row>
    <row r="45" spans="2:32" x14ac:dyDescent="0.3">
      <c r="B45" s="686"/>
      <c r="C45" s="686"/>
      <c r="D45" s="686"/>
      <c r="E45" s="686"/>
      <c r="F45" s="686"/>
    </row>
    <row r="46" spans="2:32" x14ac:dyDescent="0.3">
      <c r="B46" s="686"/>
      <c r="C46" s="686"/>
      <c r="D46" s="686"/>
      <c r="E46" s="686"/>
      <c r="F46" s="686"/>
    </row>
    <row r="47" spans="2:32" x14ac:dyDescent="0.3">
      <c r="B47" s="686"/>
      <c r="C47" s="686"/>
      <c r="D47" s="686"/>
      <c r="E47" s="686"/>
      <c r="F47" s="686"/>
    </row>
    <row r="48" spans="2:32" x14ac:dyDescent="0.3">
      <c r="B48" s="686"/>
      <c r="C48" s="686"/>
      <c r="D48" s="686"/>
      <c r="E48" s="686"/>
      <c r="F48" s="686"/>
    </row>
    <row r="49" spans="2:6" x14ac:dyDescent="0.3">
      <c r="B49" s="686"/>
      <c r="C49" s="686"/>
      <c r="D49" s="686"/>
      <c r="E49" s="686"/>
      <c r="F49" s="686"/>
    </row>
    <row r="50" spans="2:6" x14ac:dyDescent="0.3">
      <c r="B50" s="686"/>
      <c r="C50" s="686"/>
      <c r="D50" s="686"/>
      <c r="E50" s="686"/>
      <c r="F50" s="686"/>
    </row>
    <row r="51" spans="2:6" x14ac:dyDescent="0.3">
      <c r="B51" s="686"/>
      <c r="C51" s="686"/>
      <c r="D51" s="686"/>
      <c r="E51" s="686"/>
      <c r="F51" s="686"/>
    </row>
    <row r="52" spans="2:6" x14ac:dyDescent="0.3">
      <c r="B52" s="686"/>
      <c r="C52" s="686"/>
      <c r="D52" s="686"/>
      <c r="E52" s="686"/>
      <c r="F52" s="686"/>
    </row>
    <row r="53" spans="2:6" x14ac:dyDescent="0.3">
      <c r="B53" s="686"/>
      <c r="C53" s="686"/>
      <c r="D53" s="686"/>
      <c r="E53" s="686"/>
      <c r="F53" s="686"/>
    </row>
  </sheetData>
  <mergeCells count="8">
    <mergeCell ref="AD5:AF8"/>
    <mergeCell ref="C41:E44"/>
    <mergeCell ref="C5:E8"/>
    <mergeCell ref="C11:E14"/>
    <mergeCell ref="C17:E20"/>
    <mergeCell ref="C23:E26"/>
    <mergeCell ref="C29:E32"/>
    <mergeCell ref="C35:E38"/>
  </mergeCells>
  <pageMargins left="0.7" right="0.7" top="0.75" bottom="0.75" header="0.3" footer="0.3"/>
  <pageSetup orientation="portrait" r:id="rId1"/>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D5BF1-FB3C-4585-9B33-A582153E7FA6}">
  <sheetPr codeName="Hoja3"/>
  <dimension ref="A1:K429"/>
  <sheetViews>
    <sheetView topLeftCell="A375" workbookViewId="0">
      <selection activeCell="A405" sqref="A405"/>
    </sheetView>
  </sheetViews>
  <sheetFormatPr baseColWidth="10" defaultColWidth="23.140625" defaultRowHeight="12.75" x14ac:dyDescent="0.2"/>
  <cols>
    <col min="1" max="1" width="11" bestFit="1" customWidth="1"/>
    <col min="2" max="2" width="59" bestFit="1" customWidth="1"/>
    <col min="3" max="3" width="30.7109375" bestFit="1" customWidth="1"/>
    <col min="4" max="4" width="44.5703125" bestFit="1" customWidth="1"/>
    <col min="5" max="5" width="48.140625" style="667" bestFit="1" customWidth="1"/>
    <col min="6" max="6" width="37.5703125" bestFit="1" customWidth="1"/>
    <col min="7" max="7" width="56.28515625" bestFit="1" customWidth="1"/>
    <col min="8" max="8" width="81.140625" bestFit="1" customWidth="1"/>
    <col min="9" max="9" width="29.42578125" bestFit="1" customWidth="1"/>
    <col min="10" max="10" width="61.7109375" bestFit="1" customWidth="1"/>
    <col min="11" max="11" width="32.85546875" bestFit="1" customWidth="1"/>
  </cols>
  <sheetData>
    <row r="1" spans="1:11" s="672" customFormat="1" x14ac:dyDescent="0.2">
      <c r="A1" s="672" t="s">
        <v>1</v>
      </c>
      <c r="B1" t="s">
        <v>2</v>
      </c>
      <c r="C1" s="672" t="s">
        <v>3</v>
      </c>
      <c r="D1" s="672" t="s">
        <v>4</v>
      </c>
      <c r="E1" s="677" t="s">
        <v>5</v>
      </c>
      <c r="F1" s="672" t="s">
        <v>6</v>
      </c>
      <c r="G1" t="s">
        <v>7</v>
      </c>
      <c r="H1" t="s">
        <v>8</v>
      </c>
      <c r="I1" s="672" t="s">
        <v>9</v>
      </c>
      <c r="J1" t="s">
        <v>10</v>
      </c>
      <c r="K1" s="672" t="s">
        <v>11</v>
      </c>
    </row>
    <row r="2" spans="1:11" x14ac:dyDescent="0.2">
      <c r="A2" t="s">
        <v>12</v>
      </c>
      <c r="B2">
        <v>713735</v>
      </c>
      <c r="C2" t="s">
        <v>13</v>
      </c>
      <c r="D2" t="s">
        <v>14</v>
      </c>
      <c r="E2" s="667">
        <v>44267</v>
      </c>
      <c r="F2" t="s">
        <v>15</v>
      </c>
      <c r="G2" t="s">
        <v>16</v>
      </c>
      <c r="H2" t="s">
        <v>17</v>
      </c>
      <c r="I2" t="s">
        <v>18</v>
      </c>
      <c r="J2" t="s">
        <v>17</v>
      </c>
      <c r="K2" t="s">
        <v>19</v>
      </c>
    </row>
    <row r="3" spans="1:11" x14ac:dyDescent="0.2">
      <c r="A3" t="s">
        <v>12</v>
      </c>
      <c r="B3">
        <v>722198</v>
      </c>
      <c r="C3" t="s">
        <v>13</v>
      </c>
      <c r="D3" t="s">
        <v>20</v>
      </c>
      <c r="E3" s="667">
        <v>44813</v>
      </c>
      <c r="F3" t="s">
        <v>15</v>
      </c>
      <c r="G3" t="s">
        <v>16</v>
      </c>
      <c r="H3" t="s">
        <v>13</v>
      </c>
      <c r="I3" t="s">
        <v>21</v>
      </c>
      <c r="J3" t="s">
        <v>17</v>
      </c>
      <c r="K3" t="s">
        <v>22</v>
      </c>
    </row>
    <row r="4" spans="1:11" x14ac:dyDescent="0.2">
      <c r="A4" t="s">
        <v>12</v>
      </c>
      <c r="B4">
        <v>336186</v>
      </c>
      <c r="C4" t="s">
        <v>13</v>
      </c>
      <c r="D4" t="s">
        <v>14</v>
      </c>
      <c r="E4" s="667">
        <v>40408</v>
      </c>
      <c r="F4" t="s">
        <v>15</v>
      </c>
      <c r="G4" t="s">
        <v>16</v>
      </c>
      <c r="H4" t="s">
        <v>17</v>
      </c>
      <c r="I4" t="s">
        <v>17</v>
      </c>
      <c r="J4" t="s">
        <v>23</v>
      </c>
      <c r="K4" t="s">
        <v>24</v>
      </c>
    </row>
    <row r="5" spans="1:11" x14ac:dyDescent="0.2">
      <c r="A5" t="s">
        <v>12</v>
      </c>
      <c r="B5">
        <v>540276</v>
      </c>
      <c r="C5" t="s">
        <v>13</v>
      </c>
      <c r="D5" t="s">
        <v>14</v>
      </c>
      <c r="E5" s="667">
        <v>42587</v>
      </c>
      <c r="F5" t="s">
        <v>15</v>
      </c>
      <c r="G5" t="s">
        <v>16</v>
      </c>
      <c r="H5" t="s">
        <v>17</v>
      </c>
      <c r="I5" t="s">
        <v>17</v>
      </c>
      <c r="J5" t="s">
        <v>23</v>
      </c>
      <c r="K5" t="s">
        <v>22</v>
      </c>
    </row>
    <row r="6" spans="1:11" x14ac:dyDescent="0.2">
      <c r="A6" t="s">
        <v>12</v>
      </c>
      <c r="B6" t="s">
        <v>25</v>
      </c>
      <c r="C6" t="s">
        <v>13</v>
      </c>
      <c r="D6" t="s">
        <v>14</v>
      </c>
      <c r="E6" s="667">
        <v>43893</v>
      </c>
      <c r="F6" t="s">
        <v>15</v>
      </c>
      <c r="G6" t="s">
        <v>16</v>
      </c>
      <c r="H6" t="s">
        <v>17</v>
      </c>
      <c r="I6" t="s">
        <v>17</v>
      </c>
      <c r="J6" t="s">
        <v>17</v>
      </c>
      <c r="K6" t="s">
        <v>22</v>
      </c>
    </row>
    <row r="7" spans="1:11" x14ac:dyDescent="0.2">
      <c r="A7" t="s">
        <v>26</v>
      </c>
      <c r="B7">
        <v>16170</v>
      </c>
      <c r="C7" t="s">
        <v>27</v>
      </c>
      <c r="D7" t="s">
        <v>28</v>
      </c>
      <c r="E7" s="667">
        <v>45559</v>
      </c>
      <c r="F7" t="s">
        <v>29</v>
      </c>
      <c r="G7" t="s">
        <v>16</v>
      </c>
      <c r="H7" t="s">
        <v>17</v>
      </c>
      <c r="I7" t="s">
        <v>17</v>
      </c>
      <c r="J7" t="s">
        <v>17</v>
      </c>
      <c r="K7" t="s">
        <v>19</v>
      </c>
    </row>
    <row r="8" spans="1:11" x14ac:dyDescent="0.2">
      <c r="A8" t="s">
        <v>30</v>
      </c>
      <c r="B8">
        <v>31038</v>
      </c>
      <c r="C8" t="s">
        <v>31</v>
      </c>
      <c r="D8" t="s">
        <v>32</v>
      </c>
      <c r="E8" s="667">
        <v>37222</v>
      </c>
      <c r="F8" t="s">
        <v>33</v>
      </c>
      <c r="G8" t="s">
        <v>34</v>
      </c>
      <c r="H8" t="s">
        <v>35</v>
      </c>
      <c r="I8" t="s">
        <v>18</v>
      </c>
      <c r="J8">
        <v>10445</v>
      </c>
      <c r="K8" t="s">
        <v>19</v>
      </c>
    </row>
    <row r="9" spans="1:11" x14ac:dyDescent="0.2">
      <c r="A9" t="s">
        <v>30</v>
      </c>
      <c r="B9">
        <v>167094</v>
      </c>
      <c r="C9" t="s">
        <v>31</v>
      </c>
      <c r="D9" t="s">
        <v>36</v>
      </c>
      <c r="E9" s="667">
        <v>37193</v>
      </c>
      <c r="F9" t="s">
        <v>33</v>
      </c>
      <c r="G9" t="s">
        <v>34</v>
      </c>
      <c r="H9" t="s">
        <v>37</v>
      </c>
      <c r="I9" t="s">
        <v>38</v>
      </c>
      <c r="J9">
        <v>2739</v>
      </c>
      <c r="K9" t="s">
        <v>22</v>
      </c>
    </row>
    <row r="10" spans="1:11" x14ac:dyDescent="0.2">
      <c r="A10" t="s">
        <v>30</v>
      </c>
      <c r="B10">
        <v>10886</v>
      </c>
      <c r="C10" t="s">
        <v>31</v>
      </c>
      <c r="D10" t="s">
        <v>36</v>
      </c>
      <c r="E10" s="667">
        <v>37245</v>
      </c>
      <c r="F10" t="s">
        <v>39</v>
      </c>
      <c r="G10" t="s">
        <v>34</v>
      </c>
      <c r="H10" t="s">
        <v>40</v>
      </c>
      <c r="I10" t="s">
        <v>41</v>
      </c>
      <c r="J10" t="s">
        <v>23</v>
      </c>
      <c r="K10" t="s">
        <v>22</v>
      </c>
    </row>
    <row r="11" spans="1:11" x14ac:dyDescent="0.2">
      <c r="A11" t="s">
        <v>30</v>
      </c>
      <c r="B11">
        <v>12622</v>
      </c>
      <c r="C11" t="s">
        <v>31</v>
      </c>
      <c r="D11" t="s">
        <v>36</v>
      </c>
      <c r="E11" s="667">
        <v>37672</v>
      </c>
      <c r="F11" t="s">
        <v>33</v>
      </c>
      <c r="G11" t="s">
        <v>34</v>
      </c>
      <c r="H11" t="s">
        <v>42</v>
      </c>
      <c r="I11" t="s">
        <v>43</v>
      </c>
      <c r="J11">
        <v>10465</v>
      </c>
      <c r="K11" t="s">
        <v>22</v>
      </c>
    </row>
    <row r="12" spans="1:11" x14ac:dyDescent="0.2">
      <c r="A12" t="s">
        <v>30</v>
      </c>
      <c r="B12">
        <v>54949</v>
      </c>
      <c r="C12" t="s">
        <v>31</v>
      </c>
      <c r="D12" t="s">
        <v>36</v>
      </c>
      <c r="E12" s="667">
        <v>37930</v>
      </c>
      <c r="F12" t="s">
        <v>39</v>
      </c>
      <c r="G12" t="s">
        <v>34</v>
      </c>
      <c r="H12" t="s">
        <v>44</v>
      </c>
      <c r="I12" t="s">
        <v>41</v>
      </c>
      <c r="J12">
        <v>544.55999999999995</v>
      </c>
      <c r="K12" t="s">
        <v>22</v>
      </c>
    </row>
    <row r="13" spans="1:11" x14ac:dyDescent="0.2">
      <c r="A13" t="s">
        <v>30</v>
      </c>
      <c r="B13">
        <v>10886</v>
      </c>
      <c r="C13" t="s">
        <v>31</v>
      </c>
      <c r="D13" t="s">
        <v>36</v>
      </c>
      <c r="E13" s="667">
        <v>37653</v>
      </c>
      <c r="F13" t="s">
        <v>39</v>
      </c>
      <c r="G13" t="s">
        <v>34</v>
      </c>
      <c r="H13" t="s">
        <v>45</v>
      </c>
      <c r="I13" t="s">
        <v>46</v>
      </c>
      <c r="J13" t="s">
        <v>23</v>
      </c>
      <c r="K13" t="s">
        <v>22</v>
      </c>
    </row>
    <row r="14" spans="1:11" x14ac:dyDescent="0.2">
      <c r="A14" t="s">
        <v>30</v>
      </c>
      <c r="B14">
        <v>52051</v>
      </c>
      <c r="C14" t="s">
        <v>31</v>
      </c>
      <c r="D14" t="s">
        <v>36</v>
      </c>
      <c r="E14" s="667">
        <v>38090</v>
      </c>
      <c r="F14" t="s">
        <v>33</v>
      </c>
      <c r="G14" t="s">
        <v>34</v>
      </c>
      <c r="H14" t="s">
        <v>47</v>
      </c>
      <c r="I14" t="s">
        <v>38</v>
      </c>
      <c r="J14">
        <v>1516.82</v>
      </c>
      <c r="K14" t="s">
        <v>22</v>
      </c>
    </row>
    <row r="15" spans="1:11" x14ac:dyDescent="0.2">
      <c r="A15" t="s">
        <v>30</v>
      </c>
      <c r="B15">
        <v>51123</v>
      </c>
      <c r="C15" t="s">
        <v>31</v>
      </c>
      <c r="D15" t="s">
        <v>36</v>
      </c>
      <c r="E15" s="667">
        <v>38464</v>
      </c>
      <c r="F15" t="s">
        <v>33</v>
      </c>
      <c r="G15" t="s">
        <v>34</v>
      </c>
      <c r="H15" t="s">
        <v>48</v>
      </c>
      <c r="I15" t="s">
        <v>21</v>
      </c>
      <c r="J15" t="s">
        <v>23</v>
      </c>
      <c r="K15" t="s">
        <v>22</v>
      </c>
    </row>
    <row r="16" spans="1:11" x14ac:dyDescent="0.2">
      <c r="A16" t="s">
        <v>30</v>
      </c>
      <c r="B16">
        <v>188832</v>
      </c>
      <c r="C16" t="s">
        <v>31</v>
      </c>
      <c r="D16" t="s">
        <v>36</v>
      </c>
      <c r="E16" s="667">
        <v>39020</v>
      </c>
      <c r="F16" t="s">
        <v>39</v>
      </c>
      <c r="G16" t="s">
        <v>34</v>
      </c>
      <c r="H16" t="s">
        <v>49</v>
      </c>
      <c r="I16" t="s">
        <v>50</v>
      </c>
      <c r="J16">
        <v>2380.39</v>
      </c>
      <c r="K16" t="s">
        <v>22</v>
      </c>
    </row>
    <row r="17" spans="1:11" x14ac:dyDescent="0.2">
      <c r="A17" t="s">
        <v>30</v>
      </c>
      <c r="B17">
        <v>167054</v>
      </c>
      <c r="C17" t="s">
        <v>31</v>
      </c>
      <c r="D17" t="s">
        <v>36</v>
      </c>
      <c r="E17" s="667">
        <v>38718</v>
      </c>
      <c r="F17" t="s">
        <v>33</v>
      </c>
      <c r="G17" t="s">
        <v>34</v>
      </c>
      <c r="H17" t="s">
        <v>47</v>
      </c>
      <c r="I17" t="s">
        <v>38</v>
      </c>
      <c r="J17">
        <v>6033</v>
      </c>
      <c r="K17" t="s">
        <v>22</v>
      </c>
    </row>
    <row r="18" spans="1:11" x14ac:dyDescent="0.2">
      <c r="A18" t="s">
        <v>30</v>
      </c>
      <c r="B18">
        <v>249292</v>
      </c>
      <c r="C18" t="s">
        <v>31</v>
      </c>
      <c r="D18" t="s">
        <v>36</v>
      </c>
      <c r="E18" s="667">
        <v>39468</v>
      </c>
      <c r="F18" t="s">
        <v>33</v>
      </c>
      <c r="G18" t="s">
        <v>34</v>
      </c>
      <c r="H18" t="s">
        <v>47</v>
      </c>
      <c r="I18" t="s">
        <v>51</v>
      </c>
      <c r="J18">
        <v>48728.75</v>
      </c>
      <c r="K18" t="s">
        <v>22</v>
      </c>
    </row>
    <row r="19" spans="1:11" x14ac:dyDescent="0.2">
      <c r="A19" t="s">
        <v>30</v>
      </c>
      <c r="B19">
        <v>266228</v>
      </c>
      <c r="C19" t="s">
        <v>31</v>
      </c>
      <c r="D19" t="s">
        <v>36</v>
      </c>
      <c r="E19" s="667">
        <v>39792</v>
      </c>
      <c r="F19" t="s">
        <v>52</v>
      </c>
      <c r="G19" t="s">
        <v>34</v>
      </c>
      <c r="H19" t="s">
        <v>53</v>
      </c>
      <c r="I19" t="s">
        <v>38</v>
      </c>
      <c r="J19">
        <v>4903</v>
      </c>
      <c r="K19" t="s">
        <v>22</v>
      </c>
    </row>
    <row r="20" spans="1:11" x14ac:dyDescent="0.2">
      <c r="A20" t="s">
        <v>30</v>
      </c>
      <c r="B20">
        <v>267029</v>
      </c>
      <c r="C20" t="s">
        <v>31</v>
      </c>
      <c r="D20" t="s">
        <v>36</v>
      </c>
      <c r="E20" s="667">
        <v>39814</v>
      </c>
      <c r="F20" t="s">
        <v>33</v>
      </c>
      <c r="G20" t="s">
        <v>34</v>
      </c>
      <c r="H20" t="s">
        <v>47</v>
      </c>
      <c r="I20" t="s">
        <v>38</v>
      </c>
      <c r="J20">
        <v>22321.75</v>
      </c>
      <c r="K20" t="s">
        <v>22</v>
      </c>
    </row>
    <row r="21" spans="1:11" x14ac:dyDescent="0.2">
      <c r="A21" t="s">
        <v>30</v>
      </c>
      <c r="B21">
        <v>271268</v>
      </c>
      <c r="C21" t="s">
        <v>31</v>
      </c>
      <c r="D21" t="s">
        <v>36</v>
      </c>
      <c r="E21" s="667">
        <v>39902</v>
      </c>
      <c r="F21" t="s">
        <v>39</v>
      </c>
      <c r="G21" t="s">
        <v>34</v>
      </c>
      <c r="H21" t="s">
        <v>44</v>
      </c>
      <c r="I21" t="s">
        <v>41</v>
      </c>
      <c r="J21">
        <v>647000</v>
      </c>
      <c r="K21" t="s">
        <v>19</v>
      </c>
    </row>
    <row r="22" spans="1:11" x14ac:dyDescent="0.2">
      <c r="A22" t="s">
        <v>30</v>
      </c>
      <c r="B22">
        <v>285457</v>
      </c>
      <c r="C22" t="s">
        <v>31</v>
      </c>
      <c r="D22" t="s">
        <v>36</v>
      </c>
      <c r="E22" s="667">
        <v>39814</v>
      </c>
      <c r="F22" t="s">
        <v>33</v>
      </c>
      <c r="G22" t="s">
        <v>34</v>
      </c>
      <c r="H22" t="s">
        <v>54</v>
      </c>
      <c r="I22" t="s">
        <v>38</v>
      </c>
      <c r="J22">
        <v>77857.53</v>
      </c>
      <c r="K22" t="s">
        <v>22</v>
      </c>
    </row>
    <row r="23" spans="1:11" x14ac:dyDescent="0.2">
      <c r="A23" t="s">
        <v>30</v>
      </c>
      <c r="B23">
        <v>324636</v>
      </c>
      <c r="C23" t="s">
        <v>31</v>
      </c>
      <c r="D23" t="s">
        <v>36</v>
      </c>
      <c r="E23" s="667">
        <v>40395</v>
      </c>
      <c r="F23" t="s">
        <v>39</v>
      </c>
      <c r="G23" t="s">
        <v>34</v>
      </c>
      <c r="H23" t="s">
        <v>35</v>
      </c>
      <c r="I23" t="s">
        <v>55</v>
      </c>
      <c r="J23">
        <v>131</v>
      </c>
      <c r="K23" t="s">
        <v>22</v>
      </c>
    </row>
    <row r="24" spans="1:11" x14ac:dyDescent="0.2">
      <c r="A24" t="s">
        <v>30</v>
      </c>
      <c r="B24">
        <v>332456</v>
      </c>
      <c r="C24" t="s">
        <v>31</v>
      </c>
      <c r="D24" t="s">
        <v>36</v>
      </c>
      <c r="E24" s="667">
        <v>40458</v>
      </c>
      <c r="F24" t="s">
        <v>33</v>
      </c>
      <c r="G24" t="s">
        <v>34</v>
      </c>
      <c r="H24" t="s">
        <v>56</v>
      </c>
      <c r="I24" t="s">
        <v>57</v>
      </c>
      <c r="J24">
        <v>2605.63</v>
      </c>
      <c r="K24" t="s">
        <v>22</v>
      </c>
    </row>
    <row r="25" spans="1:11" x14ac:dyDescent="0.2">
      <c r="A25" t="s">
        <v>30</v>
      </c>
      <c r="B25">
        <v>334871</v>
      </c>
      <c r="C25" t="s">
        <v>31</v>
      </c>
      <c r="D25" t="s">
        <v>36</v>
      </c>
      <c r="E25" s="667">
        <v>40499</v>
      </c>
      <c r="F25" t="s">
        <v>39</v>
      </c>
      <c r="G25" t="s">
        <v>34</v>
      </c>
      <c r="H25" t="s">
        <v>58</v>
      </c>
      <c r="I25" t="s">
        <v>59</v>
      </c>
      <c r="J25" t="s">
        <v>23</v>
      </c>
      <c r="K25" t="s">
        <v>22</v>
      </c>
    </row>
    <row r="26" spans="1:11" x14ac:dyDescent="0.2">
      <c r="A26" t="s">
        <v>30</v>
      </c>
      <c r="B26">
        <v>316655</v>
      </c>
      <c r="C26" t="s">
        <v>31</v>
      </c>
      <c r="D26" t="s">
        <v>36</v>
      </c>
      <c r="E26" s="667">
        <v>40380</v>
      </c>
      <c r="F26" t="s">
        <v>39</v>
      </c>
      <c r="G26" t="s">
        <v>34</v>
      </c>
      <c r="H26" t="s">
        <v>44</v>
      </c>
      <c r="I26" t="s">
        <v>60</v>
      </c>
      <c r="J26">
        <v>400</v>
      </c>
      <c r="K26" t="s">
        <v>22</v>
      </c>
    </row>
    <row r="27" spans="1:11" x14ac:dyDescent="0.2">
      <c r="A27" t="s">
        <v>30</v>
      </c>
      <c r="B27">
        <v>33157</v>
      </c>
      <c r="C27" t="s">
        <v>31</v>
      </c>
      <c r="D27" t="s">
        <v>36</v>
      </c>
      <c r="E27" s="667">
        <v>40491</v>
      </c>
      <c r="F27" t="s">
        <v>33</v>
      </c>
      <c r="G27" t="s">
        <v>34</v>
      </c>
      <c r="H27" t="s">
        <v>47</v>
      </c>
      <c r="I27" t="s">
        <v>38</v>
      </c>
      <c r="J27" t="s">
        <v>23</v>
      </c>
      <c r="K27" t="s">
        <v>22</v>
      </c>
    </row>
    <row r="28" spans="1:11" x14ac:dyDescent="0.2">
      <c r="A28" t="s">
        <v>30</v>
      </c>
      <c r="B28">
        <v>352556</v>
      </c>
      <c r="C28" t="s">
        <v>31</v>
      </c>
      <c r="D28" t="s">
        <v>36</v>
      </c>
      <c r="E28" s="667">
        <v>40791</v>
      </c>
      <c r="F28" t="s">
        <v>33</v>
      </c>
      <c r="G28" t="s">
        <v>34</v>
      </c>
      <c r="H28" t="s">
        <v>47</v>
      </c>
      <c r="I28" t="s">
        <v>61</v>
      </c>
      <c r="J28" t="s">
        <v>62</v>
      </c>
      <c r="K28" t="s">
        <v>22</v>
      </c>
    </row>
    <row r="29" spans="1:11" x14ac:dyDescent="0.2">
      <c r="A29" t="s">
        <v>30</v>
      </c>
      <c r="B29">
        <v>351749</v>
      </c>
      <c r="C29" t="s">
        <v>31</v>
      </c>
      <c r="D29" t="s">
        <v>36</v>
      </c>
      <c r="E29" s="667">
        <v>40560</v>
      </c>
      <c r="F29" t="s">
        <v>33</v>
      </c>
      <c r="G29" t="s">
        <v>34</v>
      </c>
      <c r="H29" t="s">
        <v>45</v>
      </c>
      <c r="I29" t="s">
        <v>38</v>
      </c>
      <c r="J29">
        <v>1311</v>
      </c>
      <c r="K29" t="s">
        <v>22</v>
      </c>
    </row>
    <row r="30" spans="1:11" x14ac:dyDescent="0.2">
      <c r="A30" t="s">
        <v>30</v>
      </c>
      <c r="B30">
        <v>359511</v>
      </c>
      <c r="C30" t="s">
        <v>31</v>
      </c>
      <c r="D30" t="s">
        <v>36</v>
      </c>
      <c r="E30" s="667">
        <v>40777</v>
      </c>
      <c r="F30" t="s">
        <v>33</v>
      </c>
      <c r="G30" t="s">
        <v>34</v>
      </c>
      <c r="H30" t="s">
        <v>63</v>
      </c>
      <c r="I30" t="s">
        <v>64</v>
      </c>
      <c r="J30" t="s">
        <v>65</v>
      </c>
      <c r="K30" t="s">
        <v>22</v>
      </c>
    </row>
    <row r="31" spans="1:11" x14ac:dyDescent="0.2">
      <c r="A31" t="s">
        <v>30</v>
      </c>
      <c r="B31">
        <v>382225</v>
      </c>
      <c r="C31" t="s">
        <v>31</v>
      </c>
      <c r="D31" t="s">
        <v>66</v>
      </c>
      <c r="E31" s="667">
        <v>41116</v>
      </c>
      <c r="F31" t="s">
        <v>33</v>
      </c>
      <c r="G31" t="s">
        <v>34</v>
      </c>
      <c r="H31" t="s">
        <v>44</v>
      </c>
      <c r="I31" t="s">
        <v>51</v>
      </c>
      <c r="J31" t="s">
        <v>23</v>
      </c>
      <c r="K31" t="s">
        <v>22</v>
      </c>
    </row>
    <row r="32" spans="1:11" x14ac:dyDescent="0.2">
      <c r="A32" t="s">
        <v>30</v>
      </c>
      <c r="B32">
        <v>346341</v>
      </c>
      <c r="C32" t="s">
        <v>31</v>
      </c>
      <c r="D32" t="s">
        <v>36</v>
      </c>
      <c r="E32" s="667">
        <v>40556</v>
      </c>
      <c r="F32" t="s">
        <v>33</v>
      </c>
      <c r="G32" t="s">
        <v>34</v>
      </c>
      <c r="H32" t="s">
        <v>44</v>
      </c>
      <c r="I32" t="s">
        <v>41</v>
      </c>
      <c r="J32">
        <v>1420</v>
      </c>
      <c r="K32" t="s">
        <v>22</v>
      </c>
    </row>
    <row r="33" spans="1:11" x14ac:dyDescent="0.2">
      <c r="A33" t="s">
        <v>30</v>
      </c>
      <c r="B33">
        <v>430013</v>
      </c>
      <c r="C33" t="s">
        <v>31</v>
      </c>
      <c r="D33" t="s">
        <v>36</v>
      </c>
      <c r="E33" s="667">
        <v>41572</v>
      </c>
      <c r="F33" t="s">
        <v>33</v>
      </c>
      <c r="G33" t="s">
        <v>34</v>
      </c>
      <c r="H33" t="s">
        <v>44</v>
      </c>
      <c r="I33" t="s">
        <v>21</v>
      </c>
      <c r="J33">
        <v>880</v>
      </c>
      <c r="K33" t="s">
        <v>22</v>
      </c>
    </row>
    <row r="34" spans="1:11" x14ac:dyDescent="0.2">
      <c r="A34" t="s">
        <v>30</v>
      </c>
      <c r="B34">
        <v>417192</v>
      </c>
      <c r="C34" t="s">
        <v>31</v>
      </c>
      <c r="D34" t="s">
        <v>36</v>
      </c>
      <c r="E34" s="667">
        <v>41337</v>
      </c>
      <c r="F34" t="s">
        <v>33</v>
      </c>
      <c r="G34" t="s">
        <v>34</v>
      </c>
      <c r="H34" t="s">
        <v>44</v>
      </c>
      <c r="I34" t="s">
        <v>21</v>
      </c>
      <c r="J34">
        <v>8061</v>
      </c>
      <c r="K34" t="s">
        <v>22</v>
      </c>
    </row>
    <row r="35" spans="1:11" x14ac:dyDescent="0.2">
      <c r="A35" t="s">
        <v>30</v>
      </c>
      <c r="B35">
        <v>454500</v>
      </c>
      <c r="C35" t="s">
        <v>31</v>
      </c>
      <c r="D35" t="s">
        <v>36</v>
      </c>
      <c r="E35" s="667">
        <v>41753</v>
      </c>
      <c r="F35" t="s">
        <v>33</v>
      </c>
      <c r="G35" t="s">
        <v>34</v>
      </c>
      <c r="H35" t="s">
        <v>45</v>
      </c>
      <c r="I35" t="s">
        <v>41</v>
      </c>
      <c r="J35">
        <v>2647.58</v>
      </c>
      <c r="K35" t="s">
        <v>22</v>
      </c>
    </row>
    <row r="36" spans="1:11" x14ac:dyDescent="0.2">
      <c r="A36" t="s">
        <v>30</v>
      </c>
      <c r="B36">
        <v>493772</v>
      </c>
      <c r="C36" t="s">
        <v>31</v>
      </c>
      <c r="D36" t="s">
        <v>36</v>
      </c>
      <c r="E36" s="667">
        <v>42250</v>
      </c>
      <c r="F36" t="s">
        <v>33</v>
      </c>
      <c r="G36" t="s">
        <v>34</v>
      </c>
      <c r="H36" t="s">
        <v>67</v>
      </c>
      <c r="I36" t="s">
        <v>61</v>
      </c>
      <c r="J36" t="s">
        <v>65</v>
      </c>
      <c r="K36" t="s">
        <v>19</v>
      </c>
    </row>
    <row r="37" spans="1:11" x14ac:dyDescent="0.2">
      <c r="A37" t="s">
        <v>30</v>
      </c>
      <c r="B37">
        <v>492279</v>
      </c>
      <c r="C37" t="s">
        <v>31</v>
      </c>
      <c r="D37" t="s">
        <v>36</v>
      </c>
      <c r="E37" s="667">
        <v>42116</v>
      </c>
      <c r="F37" t="s">
        <v>39</v>
      </c>
      <c r="G37" t="s">
        <v>34</v>
      </c>
      <c r="H37" t="s">
        <v>44</v>
      </c>
      <c r="I37" t="s">
        <v>68</v>
      </c>
      <c r="J37">
        <v>600</v>
      </c>
      <c r="K37" t="s">
        <v>22</v>
      </c>
    </row>
    <row r="38" spans="1:11" x14ac:dyDescent="0.2">
      <c r="A38" t="s">
        <v>30</v>
      </c>
      <c r="B38">
        <v>498496</v>
      </c>
      <c r="C38" t="s">
        <v>31</v>
      </c>
      <c r="D38" t="s">
        <v>36</v>
      </c>
      <c r="E38" s="667">
        <v>42118</v>
      </c>
      <c r="F38" t="s">
        <v>33</v>
      </c>
      <c r="G38" t="s">
        <v>34</v>
      </c>
      <c r="H38" t="s">
        <v>47</v>
      </c>
      <c r="I38" t="s">
        <v>69</v>
      </c>
      <c r="J38" t="s">
        <v>70</v>
      </c>
      <c r="K38" t="s">
        <v>22</v>
      </c>
    </row>
    <row r="39" spans="1:11" x14ac:dyDescent="0.2">
      <c r="A39" t="s">
        <v>30</v>
      </c>
      <c r="B39">
        <v>526651</v>
      </c>
      <c r="C39" t="s">
        <v>31</v>
      </c>
      <c r="D39" t="s">
        <v>36</v>
      </c>
      <c r="E39" s="667">
        <v>42444</v>
      </c>
      <c r="F39" t="s">
        <v>39</v>
      </c>
      <c r="G39" t="s">
        <v>34</v>
      </c>
      <c r="H39" t="s">
        <v>45</v>
      </c>
      <c r="I39" t="s">
        <v>68</v>
      </c>
      <c r="J39">
        <v>1842</v>
      </c>
      <c r="K39" t="s">
        <v>19</v>
      </c>
    </row>
    <row r="40" spans="1:11" x14ac:dyDescent="0.2">
      <c r="A40" t="s">
        <v>30</v>
      </c>
      <c r="B40">
        <v>347551</v>
      </c>
      <c r="C40" t="s">
        <v>31</v>
      </c>
      <c r="D40" t="s">
        <v>36</v>
      </c>
      <c r="E40" s="667">
        <v>40590</v>
      </c>
      <c r="F40" t="s">
        <v>33</v>
      </c>
      <c r="G40" t="s">
        <v>34</v>
      </c>
      <c r="H40" t="s">
        <v>47</v>
      </c>
      <c r="I40" t="s">
        <v>64</v>
      </c>
      <c r="J40">
        <v>1730</v>
      </c>
      <c r="K40" t="s">
        <v>19</v>
      </c>
    </row>
    <row r="41" spans="1:11" x14ac:dyDescent="0.2">
      <c r="A41" t="s">
        <v>30</v>
      </c>
      <c r="B41">
        <v>524062</v>
      </c>
      <c r="C41" t="s">
        <v>31</v>
      </c>
      <c r="D41" t="s">
        <v>36</v>
      </c>
      <c r="E41" s="667">
        <v>42412</v>
      </c>
      <c r="F41" t="s">
        <v>39</v>
      </c>
      <c r="G41" t="s">
        <v>34</v>
      </c>
      <c r="H41" t="s">
        <v>44</v>
      </c>
      <c r="I41" t="s">
        <v>51</v>
      </c>
      <c r="J41" t="s">
        <v>23</v>
      </c>
      <c r="K41" t="s">
        <v>19</v>
      </c>
    </row>
    <row r="42" spans="1:11" x14ac:dyDescent="0.2">
      <c r="A42" t="s">
        <v>30</v>
      </c>
      <c r="B42">
        <v>535702</v>
      </c>
      <c r="C42" t="s">
        <v>31</v>
      </c>
      <c r="D42" t="s">
        <v>36</v>
      </c>
      <c r="E42" s="667">
        <v>42570</v>
      </c>
      <c r="F42" t="s">
        <v>39</v>
      </c>
      <c r="G42" t="s">
        <v>71</v>
      </c>
      <c r="H42" t="s">
        <v>72</v>
      </c>
      <c r="I42" t="s">
        <v>41</v>
      </c>
      <c r="J42" t="s">
        <v>23</v>
      </c>
      <c r="K42" t="s">
        <v>19</v>
      </c>
    </row>
    <row r="43" spans="1:11" x14ac:dyDescent="0.2">
      <c r="A43" t="s">
        <v>30</v>
      </c>
      <c r="B43">
        <v>20208</v>
      </c>
      <c r="C43" t="s">
        <v>31</v>
      </c>
      <c r="D43" t="s">
        <v>36</v>
      </c>
      <c r="E43" s="667">
        <v>37622</v>
      </c>
      <c r="F43" t="s">
        <v>39</v>
      </c>
      <c r="G43" t="s">
        <v>71</v>
      </c>
      <c r="H43" t="s">
        <v>73</v>
      </c>
      <c r="I43" t="s">
        <v>74</v>
      </c>
      <c r="J43" t="s">
        <v>23</v>
      </c>
      <c r="K43" t="s">
        <v>19</v>
      </c>
    </row>
    <row r="44" spans="1:11" x14ac:dyDescent="0.2">
      <c r="A44" t="s">
        <v>30</v>
      </c>
      <c r="B44">
        <v>545764</v>
      </c>
      <c r="C44" t="s">
        <v>31</v>
      </c>
      <c r="D44" t="s">
        <v>36</v>
      </c>
      <c r="E44" s="667">
        <v>42768</v>
      </c>
      <c r="F44" t="s">
        <v>39</v>
      </c>
      <c r="G44" t="s">
        <v>71</v>
      </c>
      <c r="H44" t="s">
        <v>23</v>
      </c>
      <c r="I44" t="s">
        <v>75</v>
      </c>
      <c r="J44" t="s">
        <v>23</v>
      </c>
      <c r="K44" t="s">
        <v>19</v>
      </c>
    </row>
    <row r="45" spans="1:11" x14ac:dyDescent="0.2">
      <c r="A45" t="s">
        <v>30</v>
      </c>
      <c r="B45">
        <v>545547</v>
      </c>
      <c r="C45" t="s">
        <v>31</v>
      </c>
      <c r="D45" t="s">
        <v>36</v>
      </c>
      <c r="E45" s="667">
        <v>42783</v>
      </c>
      <c r="F45" t="s">
        <v>52</v>
      </c>
      <c r="G45" t="s">
        <v>34</v>
      </c>
      <c r="H45" t="s">
        <v>23</v>
      </c>
      <c r="I45" t="s">
        <v>76</v>
      </c>
      <c r="J45" t="s">
        <v>23</v>
      </c>
      <c r="K45" t="s">
        <v>77</v>
      </c>
    </row>
    <row r="46" spans="1:11" x14ac:dyDescent="0.2">
      <c r="A46" t="s">
        <v>30</v>
      </c>
      <c r="B46">
        <v>557203</v>
      </c>
      <c r="C46" t="s">
        <v>31</v>
      </c>
      <c r="D46" t="s">
        <v>78</v>
      </c>
      <c r="E46" s="667">
        <v>42944</v>
      </c>
      <c r="F46" t="s">
        <v>33</v>
      </c>
      <c r="G46" t="s">
        <v>34</v>
      </c>
      <c r="H46" t="s">
        <v>47</v>
      </c>
      <c r="I46" t="s">
        <v>68</v>
      </c>
      <c r="J46" t="s">
        <v>79</v>
      </c>
      <c r="K46" t="s">
        <v>19</v>
      </c>
    </row>
    <row r="47" spans="1:11" x14ac:dyDescent="0.2">
      <c r="A47" t="s">
        <v>30</v>
      </c>
      <c r="B47">
        <v>552215</v>
      </c>
      <c r="C47" t="s">
        <v>31</v>
      </c>
      <c r="D47" t="s">
        <v>32</v>
      </c>
      <c r="E47" s="667">
        <v>42880</v>
      </c>
      <c r="F47" t="s">
        <v>33</v>
      </c>
      <c r="G47" t="s">
        <v>34</v>
      </c>
      <c r="H47" t="s">
        <v>23</v>
      </c>
      <c r="I47" t="s">
        <v>23</v>
      </c>
      <c r="J47" t="s">
        <v>23</v>
      </c>
      <c r="K47" t="s">
        <v>22</v>
      </c>
    </row>
    <row r="48" spans="1:11" x14ac:dyDescent="0.2">
      <c r="A48" t="s">
        <v>30</v>
      </c>
      <c r="B48">
        <v>552770</v>
      </c>
      <c r="C48" t="s">
        <v>31</v>
      </c>
      <c r="D48" t="s">
        <v>36</v>
      </c>
      <c r="E48" s="667">
        <v>42799</v>
      </c>
      <c r="F48" t="s">
        <v>39</v>
      </c>
      <c r="G48" t="s">
        <v>34</v>
      </c>
      <c r="H48" t="s">
        <v>23</v>
      </c>
      <c r="I48" t="s">
        <v>57</v>
      </c>
      <c r="J48" t="s">
        <v>23</v>
      </c>
      <c r="K48" t="s">
        <v>77</v>
      </c>
    </row>
    <row r="49" spans="1:11" x14ac:dyDescent="0.2">
      <c r="A49" t="s">
        <v>30</v>
      </c>
      <c r="B49">
        <v>555753</v>
      </c>
      <c r="C49" t="s">
        <v>31</v>
      </c>
      <c r="D49" t="s">
        <v>36</v>
      </c>
      <c r="E49" s="667">
        <v>42909</v>
      </c>
      <c r="F49" t="s">
        <v>39</v>
      </c>
      <c r="G49" t="s">
        <v>34</v>
      </c>
      <c r="H49" t="s">
        <v>47</v>
      </c>
      <c r="I49" t="s">
        <v>61</v>
      </c>
      <c r="J49" t="s">
        <v>80</v>
      </c>
      <c r="K49" t="s">
        <v>22</v>
      </c>
    </row>
    <row r="50" spans="1:11" x14ac:dyDescent="0.2">
      <c r="A50" t="s">
        <v>30</v>
      </c>
      <c r="B50">
        <v>671001</v>
      </c>
      <c r="C50" t="s">
        <v>31</v>
      </c>
      <c r="D50" t="s">
        <v>78</v>
      </c>
      <c r="E50" s="667">
        <v>44307</v>
      </c>
      <c r="F50" t="s">
        <v>33</v>
      </c>
      <c r="G50" t="s">
        <v>34</v>
      </c>
      <c r="H50" t="s">
        <v>35</v>
      </c>
      <c r="I50" t="s">
        <v>75</v>
      </c>
      <c r="J50" t="s">
        <v>23</v>
      </c>
      <c r="K50" t="s">
        <v>22</v>
      </c>
    </row>
    <row r="51" spans="1:11" x14ac:dyDescent="0.2">
      <c r="A51" t="s">
        <v>30</v>
      </c>
      <c r="B51">
        <v>680724</v>
      </c>
      <c r="C51" t="s">
        <v>31</v>
      </c>
      <c r="D51" t="s">
        <v>36</v>
      </c>
      <c r="E51" s="667">
        <v>44435</v>
      </c>
      <c r="F51" t="s">
        <v>52</v>
      </c>
      <c r="G51" t="s">
        <v>34</v>
      </c>
      <c r="H51" t="s">
        <v>81</v>
      </c>
      <c r="I51" t="s">
        <v>23</v>
      </c>
      <c r="J51" t="s">
        <v>17</v>
      </c>
      <c r="K51" t="s">
        <v>82</v>
      </c>
    </row>
    <row r="52" spans="1:11" x14ac:dyDescent="0.2">
      <c r="A52" t="s">
        <v>30</v>
      </c>
      <c r="B52">
        <v>680477</v>
      </c>
      <c r="C52" t="s">
        <v>31</v>
      </c>
      <c r="D52" t="s">
        <v>36</v>
      </c>
      <c r="E52" s="667">
        <v>44433</v>
      </c>
      <c r="F52" t="s">
        <v>39</v>
      </c>
      <c r="G52" t="s">
        <v>34</v>
      </c>
      <c r="H52" t="s">
        <v>47</v>
      </c>
      <c r="I52" t="s">
        <v>64</v>
      </c>
      <c r="J52" t="s">
        <v>17</v>
      </c>
      <c r="K52" t="s">
        <v>22</v>
      </c>
    </row>
    <row r="53" spans="1:11" x14ac:dyDescent="0.2">
      <c r="A53" t="s">
        <v>30</v>
      </c>
      <c r="B53">
        <v>672853</v>
      </c>
      <c r="C53" t="s">
        <v>31</v>
      </c>
      <c r="D53" t="s">
        <v>36</v>
      </c>
      <c r="E53" s="667">
        <v>44329</v>
      </c>
      <c r="F53" t="s">
        <v>39</v>
      </c>
      <c r="G53" t="s">
        <v>34</v>
      </c>
      <c r="H53" t="s">
        <v>17</v>
      </c>
      <c r="I53" t="s">
        <v>83</v>
      </c>
      <c r="J53" t="s">
        <v>17</v>
      </c>
      <c r="K53" t="s">
        <v>82</v>
      </c>
    </row>
    <row r="54" spans="1:11" x14ac:dyDescent="0.2">
      <c r="A54" t="s">
        <v>30</v>
      </c>
      <c r="B54">
        <v>682046</v>
      </c>
      <c r="C54" t="s">
        <v>31</v>
      </c>
      <c r="D54" t="s">
        <v>36</v>
      </c>
      <c r="E54" s="667">
        <v>41903</v>
      </c>
      <c r="F54" t="s">
        <v>39</v>
      </c>
      <c r="G54" t="s">
        <v>34</v>
      </c>
      <c r="H54" t="s">
        <v>17</v>
      </c>
      <c r="I54" t="s">
        <v>41</v>
      </c>
      <c r="J54" t="s">
        <v>17</v>
      </c>
      <c r="K54" t="s">
        <v>22</v>
      </c>
    </row>
    <row r="55" spans="1:11" x14ac:dyDescent="0.2">
      <c r="A55" t="s">
        <v>30</v>
      </c>
      <c r="B55">
        <v>625101</v>
      </c>
      <c r="C55" t="s">
        <v>31</v>
      </c>
      <c r="D55" t="s">
        <v>36</v>
      </c>
      <c r="E55" s="667">
        <v>44452</v>
      </c>
      <c r="F55" t="s">
        <v>39</v>
      </c>
      <c r="G55" t="s">
        <v>34</v>
      </c>
      <c r="H55" t="s">
        <v>23</v>
      </c>
      <c r="I55" t="s">
        <v>57</v>
      </c>
      <c r="J55" t="s">
        <v>23</v>
      </c>
      <c r="K55" t="s">
        <v>19</v>
      </c>
    </row>
    <row r="56" spans="1:11" x14ac:dyDescent="0.2">
      <c r="A56" t="s">
        <v>30</v>
      </c>
      <c r="B56">
        <v>683323</v>
      </c>
      <c r="C56" t="s">
        <v>31</v>
      </c>
      <c r="D56" t="s">
        <v>36</v>
      </c>
      <c r="E56" s="667">
        <v>44469</v>
      </c>
      <c r="F56" t="s">
        <v>33</v>
      </c>
      <c r="G56" t="s">
        <v>34</v>
      </c>
      <c r="H56" t="s">
        <v>35</v>
      </c>
      <c r="I56" t="s">
        <v>84</v>
      </c>
      <c r="J56" t="s">
        <v>17</v>
      </c>
      <c r="K56" t="s">
        <v>19</v>
      </c>
    </row>
    <row r="57" spans="1:11" x14ac:dyDescent="0.2">
      <c r="A57" t="s">
        <v>30</v>
      </c>
      <c r="B57">
        <v>684351</v>
      </c>
      <c r="C57" t="s">
        <v>31</v>
      </c>
      <c r="D57" t="s">
        <v>36</v>
      </c>
      <c r="E57" s="667">
        <v>44511</v>
      </c>
      <c r="F57" t="s">
        <v>33</v>
      </c>
      <c r="G57" t="s">
        <v>34</v>
      </c>
      <c r="H57" t="s">
        <v>47</v>
      </c>
      <c r="I57" t="s">
        <v>85</v>
      </c>
      <c r="J57" t="s">
        <v>17</v>
      </c>
      <c r="K57" t="s">
        <v>82</v>
      </c>
    </row>
    <row r="58" spans="1:11" x14ac:dyDescent="0.2">
      <c r="A58" t="s">
        <v>30</v>
      </c>
      <c r="B58">
        <v>676177</v>
      </c>
      <c r="C58" t="s">
        <v>31</v>
      </c>
      <c r="D58" t="s">
        <v>36</v>
      </c>
      <c r="E58" s="667">
        <v>44350</v>
      </c>
      <c r="F58" t="s">
        <v>33</v>
      </c>
      <c r="G58" t="s">
        <v>34</v>
      </c>
      <c r="H58" t="s">
        <v>47</v>
      </c>
      <c r="I58" t="s">
        <v>68</v>
      </c>
      <c r="J58" t="s">
        <v>17</v>
      </c>
      <c r="K58" t="s">
        <v>19</v>
      </c>
    </row>
    <row r="59" spans="1:11" x14ac:dyDescent="0.2">
      <c r="A59" t="s">
        <v>30</v>
      </c>
      <c r="B59">
        <v>672767</v>
      </c>
      <c r="C59" t="s">
        <v>31</v>
      </c>
      <c r="D59" t="s">
        <v>36</v>
      </c>
      <c r="E59" s="667">
        <v>44329</v>
      </c>
      <c r="F59" t="s">
        <v>39</v>
      </c>
      <c r="G59" t="s">
        <v>34</v>
      </c>
      <c r="H59" t="s">
        <v>86</v>
      </c>
      <c r="I59" t="s">
        <v>38</v>
      </c>
      <c r="J59" t="s">
        <v>17</v>
      </c>
      <c r="K59" t="s">
        <v>19</v>
      </c>
    </row>
    <row r="60" spans="1:11" x14ac:dyDescent="0.2">
      <c r="A60" t="s">
        <v>30</v>
      </c>
      <c r="B60">
        <v>595786</v>
      </c>
      <c r="C60" t="s">
        <v>31</v>
      </c>
      <c r="D60" t="s">
        <v>36</v>
      </c>
      <c r="E60" s="667">
        <v>43528</v>
      </c>
      <c r="F60" t="s">
        <v>39</v>
      </c>
      <c r="G60" t="s">
        <v>34</v>
      </c>
      <c r="H60" t="s">
        <v>87</v>
      </c>
      <c r="I60" t="s">
        <v>23</v>
      </c>
      <c r="J60" t="s">
        <v>87</v>
      </c>
      <c r="K60" t="s">
        <v>82</v>
      </c>
    </row>
    <row r="61" spans="1:11" x14ac:dyDescent="0.2">
      <c r="A61" t="s">
        <v>30</v>
      </c>
      <c r="B61">
        <v>456972</v>
      </c>
      <c r="C61" t="s">
        <v>31</v>
      </c>
      <c r="D61" t="s">
        <v>36</v>
      </c>
      <c r="E61" s="667">
        <v>41799</v>
      </c>
      <c r="F61" t="s">
        <v>39</v>
      </c>
      <c r="G61" t="s">
        <v>34</v>
      </c>
      <c r="H61" t="s">
        <v>88</v>
      </c>
      <c r="I61" t="s">
        <v>41</v>
      </c>
      <c r="J61" t="s">
        <v>17</v>
      </c>
      <c r="K61" t="s">
        <v>22</v>
      </c>
    </row>
    <row r="62" spans="1:11" x14ac:dyDescent="0.2">
      <c r="A62" t="s">
        <v>30</v>
      </c>
      <c r="B62">
        <v>419829</v>
      </c>
      <c r="C62" t="s">
        <v>31</v>
      </c>
      <c r="D62" t="s">
        <v>36</v>
      </c>
      <c r="E62" s="667">
        <v>41337</v>
      </c>
      <c r="F62" t="s">
        <v>33</v>
      </c>
      <c r="G62" t="s">
        <v>34</v>
      </c>
      <c r="H62" t="s">
        <v>35</v>
      </c>
      <c r="I62" t="s">
        <v>38</v>
      </c>
      <c r="J62" t="s">
        <v>89</v>
      </c>
      <c r="K62" t="s">
        <v>22</v>
      </c>
    </row>
    <row r="63" spans="1:11" x14ac:dyDescent="0.2">
      <c r="A63" t="s">
        <v>30</v>
      </c>
      <c r="B63">
        <v>582434</v>
      </c>
      <c r="C63" t="s">
        <v>31</v>
      </c>
      <c r="D63" t="s">
        <v>36</v>
      </c>
      <c r="E63" s="667">
        <v>43357</v>
      </c>
      <c r="F63" t="s">
        <v>39</v>
      </c>
      <c r="G63" t="s">
        <v>34</v>
      </c>
      <c r="H63" t="s">
        <v>73</v>
      </c>
      <c r="I63" t="s">
        <v>38</v>
      </c>
      <c r="J63" t="s">
        <v>17</v>
      </c>
      <c r="K63" t="s">
        <v>19</v>
      </c>
    </row>
    <row r="64" spans="1:11" x14ac:dyDescent="0.2">
      <c r="A64" t="s">
        <v>30</v>
      </c>
      <c r="B64">
        <v>591702</v>
      </c>
      <c r="C64" t="s">
        <v>31</v>
      </c>
      <c r="D64" t="s">
        <v>36</v>
      </c>
      <c r="E64" s="667">
        <v>43510</v>
      </c>
      <c r="F64" t="s">
        <v>52</v>
      </c>
      <c r="G64" t="s">
        <v>34</v>
      </c>
      <c r="H64" t="s">
        <v>90</v>
      </c>
      <c r="I64" t="s">
        <v>64</v>
      </c>
      <c r="J64" t="s">
        <v>17</v>
      </c>
      <c r="K64" t="s">
        <v>19</v>
      </c>
    </row>
    <row r="65" spans="1:11" x14ac:dyDescent="0.2">
      <c r="A65" t="s">
        <v>30</v>
      </c>
      <c r="B65">
        <v>594447</v>
      </c>
      <c r="C65" t="s">
        <v>31</v>
      </c>
      <c r="D65" t="s">
        <v>36</v>
      </c>
      <c r="E65" s="667">
        <v>43543</v>
      </c>
      <c r="F65" t="s">
        <v>33</v>
      </c>
      <c r="G65" t="s">
        <v>34</v>
      </c>
      <c r="H65" t="s">
        <v>17</v>
      </c>
      <c r="I65" t="s">
        <v>64</v>
      </c>
      <c r="J65">
        <v>3534.41</v>
      </c>
      <c r="K65" t="s">
        <v>19</v>
      </c>
    </row>
    <row r="66" spans="1:11" x14ac:dyDescent="0.2">
      <c r="A66" t="s">
        <v>30</v>
      </c>
      <c r="B66">
        <v>576515</v>
      </c>
      <c r="C66" t="s">
        <v>31</v>
      </c>
      <c r="D66" t="s">
        <v>78</v>
      </c>
      <c r="E66" s="667">
        <v>43276</v>
      </c>
      <c r="F66" t="s">
        <v>33</v>
      </c>
      <c r="G66" t="s">
        <v>34</v>
      </c>
      <c r="H66" t="s">
        <v>17</v>
      </c>
      <c r="I66" t="s">
        <v>57</v>
      </c>
      <c r="J66" t="s">
        <v>17</v>
      </c>
      <c r="K66" t="s">
        <v>22</v>
      </c>
    </row>
    <row r="67" spans="1:11" x14ac:dyDescent="0.2">
      <c r="A67" t="s">
        <v>30</v>
      </c>
      <c r="B67">
        <v>591624</v>
      </c>
      <c r="C67" t="s">
        <v>31</v>
      </c>
      <c r="D67" t="s">
        <v>36</v>
      </c>
      <c r="E67" s="667">
        <v>43595</v>
      </c>
      <c r="F67" t="s">
        <v>39</v>
      </c>
      <c r="G67" t="s">
        <v>34</v>
      </c>
      <c r="H67" t="s">
        <v>81</v>
      </c>
      <c r="I67" t="s">
        <v>38</v>
      </c>
      <c r="J67" t="s">
        <v>17</v>
      </c>
      <c r="K67" t="s">
        <v>82</v>
      </c>
    </row>
    <row r="68" spans="1:11" x14ac:dyDescent="0.2">
      <c r="A68" t="s">
        <v>30</v>
      </c>
      <c r="B68">
        <v>601973</v>
      </c>
      <c r="C68" t="s">
        <v>31</v>
      </c>
      <c r="D68" t="s">
        <v>36</v>
      </c>
      <c r="E68" s="667">
        <v>43658</v>
      </c>
      <c r="F68" t="s">
        <v>39</v>
      </c>
      <c r="G68" t="s">
        <v>34</v>
      </c>
      <c r="H68" t="s">
        <v>17</v>
      </c>
      <c r="I68" t="s">
        <v>68</v>
      </c>
      <c r="J68" t="s">
        <v>17</v>
      </c>
      <c r="K68" t="s">
        <v>19</v>
      </c>
    </row>
    <row r="69" spans="1:11" x14ac:dyDescent="0.2">
      <c r="A69" t="s">
        <v>30</v>
      </c>
      <c r="B69">
        <v>602979</v>
      </c>
      <c r="C69" t="s">
        <v>31</v>
      </c>
      <c r="D69" t="s">
        <v>36</v>
      </c>
      <c r="E69" s="667">
        <v>43668</v>
      </c>
      <c r="F69" t="s">
        <v>39</v>
      </c>
      <c r="G69" t="s">
        <v>34</v>
      </c>
      <c r="H69" t="s">
        <v>81</v>
      </c>
      <c r="I69" t="s">
        <v>41</v>
      </c>
      <c r="J69" t="s">
        <v>17</v>
      </c>
      <c r="K69" t="s">
        <v>22</v>
      </c>
    </row>
    <row r="70" spans="1:11" x14ac:dyDescent="0.2">
      <c r="A70" t="s">
        <v>30</v>
      </c>
      <c r="B70">
        <v>613075</v>
      </c>
      <c r="C70" t="s">
        <v>31</v>
      </c>
      <c r="D70" t="s">
        <v>36</v>
      </c>
      <c r="E70" s="667">
        <v>43739</v>
      </c>
      <c r="F70" t="s">
        <v>52</v>
      </c>
      <c r="G70" t="s">
        <v>34</v>
      </c>
      <c r="H70" t="s">
        <v>73</v>
      </c>
      <c r="I70" t="s">
        <v>91</v>
      </c>
      <c r="J70" t="s">
        <v>17</v>
      </c>
      <c r="K70" t="s">
        <v>19</v>
      </c>
    </row>
    <row r="71" spans="1:11" x14ac:dyDescent="0.2">
      <c r="A71" t="s">
        <v>30</v>
      </c>
      <c r="B71">
        <v>613904</v>
      </c>
      <c r="C71" t="s">
        <v>31</v>
      </c>
      <c r="D71" t="s">
        <v>36</v>
      </c>
      <c r="E71" s="667">
        <v>43746</v>
      </c>
      <c r="F71" t="s">
        <v>39</v>
      </c>
      <c r="G71" t="s">
        <v>34</v>
      </c>
      <c r="H71" t="s">
        <v>92</v>
      </c>
      <c r="I71" t="s">
        <v>68</v>
      </c>
      <c r="J71" t="s">
        <v>93</v>
      </c>
      <c r="K71" t="s">
        <v>77</v>
      </c>
    </row>
    <row r="72" spans="1:11" x14ac:dyDescent="0.2">
      <c r="A72" t="s">
        <v>30</v>
      </c>
      <c r="B72">
        <v>625110</v>
      </c>
      <c r="C72" t="s">
        <v>31</v>
      </c>
      <c r="D72" t="s">
        <v>36</v>
      </c>
      <c r="E72" s="667">
        <v>43857</v>
      </c>
      <c r="F72" t="s">
        <v>39</v>
      </c>
      <c r="G72" t="s">
        <v>34</v>
      </c>
      <c r="H72" t="s">
        <v>73</v>
      </c>
      <c r="I72" t="s">
        <v>59</v>
      </c>
      <c r="J72" t="s">
        <v>17</v>
      </c>
      <c r="K72" t="s">
        <v>19</v>
      </c>
    </row>
    <row r="73" spans="1:11" x14ac:dyDescent="0.2">
      <c r="A73" t="s">
        <v>30</v>
      </c>
      <c r="B73">
        <v>702817</v>
      </c>
      <c r="C73" t="s">
        <v>31</v>
      </c>
      <c r="D73" t="s">
        <v>36</v>
      </c>
      <c r="E73" s="667">
        <v>44705</v>
      </c>
      <c r="F73" t="s">
        <v>33</v>
      </c>
      <c r="G73" t="s">
        <v>34</v>
      </c>
      <c r="H73" t="s">
        <v>35</v>
      </c>
      <c r="I73" t="s">
        <v>91</v>
      </c>
      <c r="J73" t="s">
        <v>23</v>
      </c>
      <c r="K73" t="s">
        <v>19</v>
      </c>
    </row>
    <row r="74" spans="1:11" x14ac:dyDescent="0.2">
      <c r="A74" t="s">
        <v>30</v>
      </c>
      <c r="B74">
        <v>433318</v>
      </c>
      <c r="C74" t="s">
        <v>31</v>
      </c>
      <c r="D74" t="s">
        <v>36</v>
      </c>
      <c r="E74" s="667">
        <v>41626</v>
      </c>
      <c r="F74" t="s">
        <v>33</v>
      </c>
      <c r="G74" t="s">
        <v>34</v>
      </c>
      <c r="H74" t="s">
        <v>35</v>
      </c>
      <c r="I74" t="s">
        <v>41</v>
      </c>
      <c r="J74" t="s">
        <v>23</v>
      </c>
      <c r="K74" t="s">
        <v>22</v>
      </c>
    </row>
    <row r="75" spans="1:11" x14ac:dyDescent="0.2">
      <c r="A75" t="s">
        <v>30</v>
      </c>
      <c r="B75">
        <v>681092</v>
      </c>
      <c r="C75" t="s">
        <v>31</v>
      </c>
      <c r="D75" t="s">
        <v>78</v>
      </c>
      <c r="E75" s="667">
        <v>44236</v>
      </c>
      <c r="F75" t="s">
        <v>39</v>
      </c>
      <c r="G75" t="s">
        <v>34</v>
      </c>
      <c r="H75" t="s">
        <v>35</v>
      </c>
      <c r="I75" t="s">
        <v>41</v>
      </c>
      <c r="J75" t="s">
        <v>17</v>
      </c>
      <c r="K75" t="s">
        <v>19</v>
      </c>
    </row>
    <row r="76" spans="1:11" x14ac:dyDescent="0.2">
      <c r="A76" t="s">
        <v>30</v>
      </c>
      <c r="B76">
        <v>598792</v>
      </c>
      <c r="C76" t="s">
        <v>31</v>
      </c>
      <c r="D76" t="s">
        <v>36</v>
      </c>
      <c r="E76" s="667">
        <v>43609</v>
      </c>
      <c r="F76" t="s">
        <v>52</v>
      </c>
      <c r="G76" t="s">
        <v>34</v>
      </c>
      <c r="H76" t="s">
        <v>87</v>
      </c>
      <c r="I76" t="s">
        <v>61</v>
      </c>
      <c r="J76" t="s">
        <v>94</v>
      </c>
      <c r="K76" t="s">
        <v>82</v>
      </c>
    </row>
    <row r="77" spans="1:11" x14ac:dyDescent="0.2">
      <c r="A77" t="s">
        <v>30</v>
      </c>
      <c r="B77">
        <v>598870</v>
      </c>
      <c r="C77" t="s">
        <v>31</v>
      </c>
      <c r="D77" t="s">
        <v>36</v>
      </c>
      <c r="E77" s="667">
        <v>43612</v>
      </c>
      <c r="F77" t="s">
        <v>52</v>
      </c>
      <c r="G77" t="s">
        <v>34</v>
      </c>
      <c r="H77" t="s">
        <v>35</v>
      </c>
      <c r="I77" t="s">
        <v>95</v>
      </c>
      <c r="J77" t="s">
        <v>17</v>
      </c>
      <c r="K77" t="s">
        <v>22</v>
      </c>
    </row>
    <row r="78" spans="1:11" x14ac:dyDescent="0.2">
      <c r="A78" t="s">
        <v>30</v>
      </c>
      <c r="B78">
        <v>707444</v>
      </c>
      <c r="C78" t="s">
        <v>31</v>
      </c>
      <c r="D78" t="s">
        <v>36</v>
      </c>
      <c r="E78" s="667">
        <v>44677</v>
      </c>
      <c r="F78" t="s">
        <v>39</v>
      </c>
      <c r="G78" t="s">
        <v>34</v>
      </c>
      <c r="H78" t="s">
        <v>47</v>
      </c>
      <c r="I78" t="s">
        <v>38</v>
      </c>
      <c r="J78" t="s">
        <v>17</v>
      </c>
      <c r="K78" t="s">
        <v>82</v>
      </c>
    </row>
    <row r="79" spans="1:11" x14ac:dyDescent="0.2">
      <c r="A79" t="s">
        <v>30</v>
      </c>
      <c r="B79">
        <v>569362</v>
      </c>
      <c r="C79" t="s">
        <v>31</v>
      </c>
      <c r="D79" t="s">
        <v>36</v>
      </c>
      <c r="E79" s="667">
        <v>43166</v>
      </c>
      <c r="F79" t="s">
        <v>39</v>
      </c>
      <c r="G79" t="s">
        <v>34</v>
      </c>
      <c r="H79" t="s">
        <v>96</v>
      </c>
      <c r="I79" t="s">
        <v>64</v>
      </c>
      <c r="J79">
        <v>91560</v>
      </c>
      <c r="K79" t="s">
        <v>19</v>
      </c>
    </row>
    <row r="80" spans="1:11" x14ac:dyDescent="0.2">
      <c r="A80" t="s">
        <v>30</v>
      </c>
      <c r="B80">
        <v>587856</v>
      </c>
      <c r="C80" t="s">
        <v>31</v>
      </c>
      <c r="D80" t="s">
        <v>36</v>
      </c>
      <c r="E80" s="667">
        <v>43431</v>
      </c>
      <c r="F80" t="s">
        <v>39</v>
      </c>
      <c r="G80" t="s">
        <v>34</v>
      </c>
      <c r="H80" t="s">
        <v>73</v>
      </c>
      <c r="I80" t="s">
        <v>41</v>
      </c>
      <c r="J80" t="s">
        <v>17</v>
      </c>
      <c r="K80" t="s">
        <v>19</v>
      </c>
    </row>
    <row r="81" spans="1:11" x14ac:dyDescent="0.2">
      <c r="A81" t="s">
        <v>30</v>
      </c>
      <c r="B81">
        <v>559514</v>
      </c>
      <c r="C81" t="s">
        <v>31</v>
      </c>
      <c r="D81" t="s">
        <v>36</v>
      </c>
      <c r="E81" s="667">
        <v>42940</v>
      </c>
      <c r="F81" t="s">
        <v>39</v>
      </c>
      <c r="G81" t="s">
        <v>34</v>
      </c>
      <c r="H81" t="s">
        <v>97</v>
      </c>
      <c r="I81" t="s">
        <v>41</v>
      </c>
      <c r="J81" t="s">
        <v>23</v>
      </c>
      <c r="K81" t="s">
        <v>19</v>
      </c>
    </row>
    <row r="82" spans="1:11" x14ac:dyDescent="0.2">
      <c r="A82" t="s">
        <v>30</v>
      </c>
      <c r="B82">
        <v>559514</v>
      </c>
      <c r="C82" t="s">
        <v>31</v>
      </c>
      <c r="D82" t="s">
        <v>36</v>
      </c>
      <c r="E82" s="667">
        <v>42940</v>
      </c>
      <c r="F82" t="s">
        <v>39</v>
      </c>
      <c r="G82" t="s">
        <v>34</v>
      </c>
      <c r="I82" t="s">
        <v>41</v>
      </c>
      <c r="K82" t="s">
        <v>19</v>
      </c>
    </row>
    <row r="83" spans="1:11" x14ac:dyDescent="0.2">
      <c r="A83" t="s">
        <v>30</v>
      </c>
      <c r="B83">
        <v>601973</v>
      </c>
      <c r="C83" t="s">
        <v>31</v>
      </c>
      <c r="D83" t="s">
        <v>36</v>
      </c>
      <c r="E83" s="667">
        <v>43654</v>
      </c>
      <c r="F83" t="s">
        <v>39</v>
      </c>
      <c r="G83" t="s">
        <v>71</v>
      </c>
      <c r="H83" t="s">
        <v>98</v>
      </c>
      <c r="I83" t="s">
        <v>68</v>
      </c>
      <c r="J83" t="s">
        <v>17</v>
      </c>
    </row>
    <row r="84" spans="1:11" x14ac:dyDescent="0.2">
      <c r="A84" t="s">
        <v>30</v>
      </c>
      <c r="B84" t="s">
        <v>99</v>
      </c>
      <c r="C84" t="s">
        <v>31</v>
      </c>
      <c r="D84" t="s">
        <v>78</v>
      </c>
      <c r="E84" s="667">
        <v>44760</v>
      </c>
      <c r="F84" t="s">
        <v>39</v>
      </c>
      <c r="G84" t="s">
        <v>34</v>
      </c>
      <c r="H84" t="s">
        <v>98</v>
      </c>
      <c r="I84" t="s">
        <v>64</v>
      </c>
      <c r="J84" t="s">
        <v>17</v>
      </c>
      <c r="K84" t="s">
        <v>24</v>
      </c>
    </row>
    <row r="85" spans="1:11" x14ac:dyDescent="0.2">
      <c r="A85" t="s">
        <v>30</v>
      </c>
      <c r="B85" t="s">
        <v>100</v>
      </c>
      <c r="C85" t="s">
        <v>31</v>
      </c>
      <c r="D85" t="s">
        <v>66</v>
      </c>
      <c r="E85" s="667">
        <v>44803</v>
      </c>
      <c r="F85" t="s">
        <v>39</v>
      </c>
      <c r="G85" t="s">
        <v>16</v>
      </c>
      <c r="H85" t="s">
        <v>17</v>
      </c>
      <c r="I85" t="s">
        <v>68</v>
      </c>
      <c r="J85" t="s">
        <v>17</v>
      </c>
      <c r="K85" t="s">
        <v>19</v>
      </c>
    </row>
    <row r="86" spans="1:11" x14ac:dyDescent="0.2">
      <c r="A86" t="s">
        <v>30</v>
      </c>
      <c r="B86">
        <v>712778</v>
      </c>
      <c r="C86" t="s">
        <v>31</v>
      </c>
      <c r="D86" t="s">
        <v>36</v>
      </c>
      <c r="E86" s="667">
        <v>44803</v>
      </c>
      <c r="F86" t="s">
        <v>33</v>
      </c>
      <c r="G86" t="s">
        <v>34</v>
      </c>
      <c r="H86" t="s">
        <v>47</v>
      </c>
      <c r="I86" t="s">
        <v>41</v>
      </c>
      <c r="J86" t="s">
        <v>17</v>
      </c>
      <c r="K86" t="s">
        <v>19</v>
      </c>
    </row>
    <row r="87" spans="1:11" x14ac:dyDescent="0.2">
      <c r="A87" t="s">
        <v>30</v>
      </c>
      <c r="B87">
        <v>708755</v>
      </c>
      <c r="C87" t="s">
        <v>31</v>
      </c>
      <c r="D87" t="s">
        <v>36</v>
      </c>
      <c r="E87" s="667">
        <v>44736</v>
      </c>
      <c r="F87" t="s">
        <v>52</v>
      </c>
      <c r="G87" t="s">
        <v>34</v>
      </c>
      <c r="H87" t="s">
        <v>17</v>
      </c>
      <c r="I87" t="s">
        <v>41</v>
      </c>
      <c r="J87" t="s">
        <v>17</v>
      </c>
      <c r="K87" t="s">
        <v>101</v>
      </c>
    </row>
    <row r="88" spans="1:11" x14ac:dyDescent="0.2">
      <c r="A88" t="s">
        <v>30</v>
      </c>
      <c r="B88">
        <v>799523</v>
      </c>
      <c r="C88" t="s">
        <v>31</v>
      </c>
      <c r="D88" t="s">
        <v>36</v>
      </c>
      <c r="E88" s="667">
        <v>44951</v>
      </c>
      <c r="F88" t="s">
        <v>39</v>
      </c>
      <c r="G88" t="s">
        <v>71</v>
      </c>
      <c r="H88" t="s">
        <v>17</v>
      </c>
      <c r="I88" t="s">
        <v>51</v>
      </c>
      <c r="J88" t="s">
        <v>17</v>
      </c>
      <c r="K88" t="s">
        <v>19</v>
      </c>
    </row>
    <row r="89" spans="1:11" x14ac:dyDescent="0.2">
      <c r="A89" t="s">
        <v>30</v>
      </c>
      <c r="B89">
        <v>750444</v>
      </c>
      <c r="C89" t="s">
        <v>31</v>
      </c>
      <c r="D89" t="s">
        <v>36</v>
      </c>
      <c r="E89" s="667">
        <v>45092</v>
      </c>
      <c r="F89" t="s">
        <v>33</v>
      </c>
      <c r="G89" t="s">
        <v>34</v>
      </c>
      <c r="H89" t="s">
        <v>102</v>
      </c>
      <c r="I89" t="s">
        <v>68</v>
      </c>
      <c r="J89" t="s">
        <v>17</v>
      </c>
      <c r="K89" t="s">
        <v>19</v>
      </c>
    </row>
    <row r="90" spans="1:11" x14ac:dyDescent="0.2">
      <c r="A90" t="s">
        <v>30</v>
      </c>
      <c r="B90" t="s">
        <v>103</v>
      </c>
      <c r="C90" t="s">
        <v>31</v>
      </c>
      <c r="D90" t="s">
        <v>36</v>
      </c>
      <c r="E90" s="667">
        <v>45029</v>
      </c>
      <c r="F90" t="s">
        <v>52</v>
      </c>
      <c r="G90" t="s">
        <v>34</v>
      </c>
      <c r="H90" t="s">
        <v>47</v>
      </c>
      <c r="I90" t="s">
        <v>104</v>
      </c>
      <c r="J90" t="s">
        <v>17</v>
      </c>
      <c r="K90" t="s">
        <v>24</v>
      </c>
    </row>
    <row r="91" spans="1:11" x14ac:dyDescent="0.2">
      <c r="A91" t="s">
        <v>30</v>
      </c>
      <c r="B91">
        <v>770042</v>
      </c>
      <c r="C91" t="s">
        <v>31</v>
      </c>
      <c r="D91" t="s">
        <v>36</v>
      </c>
      <c r="E91" s="667">
        <v>45212</v>
      </c>
      <c r="F91" t="s">
        <v>52</v>
      </c>
      <c r="G91" t="s">
        <v>34</v>
      </c>
      <c r="H91" t="s">
        <v>73</v>
      </c>
      <c r="I91" t="s">
        <v>46</v>
      </c>
      <c r="J91" t="s">
        <v>17</v>
      </c>
      <c r="K91" t="s">
        <v>24</v>
      </c>
    </row>
    <row r="92" spans="1:11" x14ac:dyDescent="0.2">
      <c r="A92" t="s">
        <v>30</v>
      </c>
      <c r="B92">
        <v>774718</v>
      </c>
      <c r="C92" t="s">
        <v>31</v>
      </c>
      <c r="D92" t="s">
        <v>36</v>
      </c>
      <c r="E92" s="667">
        <v>45056</v>
      </c>
      <c r="F92" t="s">
        <v>33</v>
      </c>
      <c r="G92" t="s">
        <v>34</v>
      </c>
      <c r="H92" t="s">
        <v>35</v>
      </c>
      <c r="I92" t="s">
        <v>38</v>
      </c>
      <c r="J92" t="s">
        <v>17</v>
      </c>
      <c r="K92" t="s">
        <v>24</v>
      </c>
    </row>
    <row r="93" spans="1:11" x14ac:dyDescent="0.2">
      <c r="A93" t="s">
        <v>30</v>
      </c>
      <c r="B93" t="s">
        <v>99</v>
      </c>
      <c r="C93" t="s">
        <v>31</v>
      </c>
      <c r="D93" t="s">
        <v>78</v>
      </c>
      <c r="E93" s="667">
        <v>45250</v>
      </c>
      <c r="F93" t="s">
        <v>52</v>
      </c>
      <c r="G93" t="s">
        <v>34</v>
      </c>
      <c r="H93" t="s">
        <v>105</v>
      </c>
      <c r="I93" t="s">
        <v>59</v>
      </c>
      <c r="K93" t="s">
        <v>24</v>
      </c>
    </row>
    <row r="94" spans="1:11" x14ac:dyDescent="0.2">
      <c r="A94" t="s">
        <v>30</v>
      </c>
      <c r="B94">
        <v>778590</v>
      </c>
      <c r="C94" t="s">
        <v>31</v>
      </c>
      <c r="D94" t="s">
        <v>36</v>
      </c>
      <c r="E94" s="667">
        <v>45257</v>
      </c>
      <c r="F94" t="s">
        <v>39</v>
      </c>
      <c r="G94" t="s">
        <v>34</v>
      </c>
      <c r="H94" t="s">
        <v>73</v>
      </c>
      <c r="I94" t="s">
        <v>46</v>
      </c>
      <c r="J94" t="s">
        <v>17</v>
      </c>
      <c r="K94" t="s">
        <v>24</v>
      </c>
    </row>
    <row r="95" spans="1:11" x14ac:dyDescent="0.2">
      <c r="A95" t="s">
        <v>30</v>
      </c>
      <c r="B95">
        <v>774679</v>
      </c>
      <c r="C95" t="s">
        <v>31</v>
      </c>
      <c r="D95" t="s">
        <v>36</v>
      </c>
      <c r="E95" s="667">
        <v>45212</v>
      </c>
      <c r="F95" t="s">
        <v>33</v>
      </c>
      <c r="G95" t="s">
        <v>71</v>
      </c>
      <c r="H95" t="s">
        <v>17</v>
      </c>
      <c r="I95" t="s">
        <v>57</v>
      </c>
      <c r="J95" t="s">
        <v>17</v>
      </c>
      <c r="K95" t="s">
        <v>106</v>
      </c>
    </row>
    <row r="96" spans="1:11" x14ac:dyDescent="0.2">
      <c r="A96" t="s">
        <v>30</v>
      </c>
      <c r="B96">
        <v>751037</v>
      </c>
      <c r="C96" t="s">
        <v>31</v>
      </c>
      <c r="D96" t="s">
        <v>36</v>
      </c>
      <c r="E96" s="667">
        <v>45053</v>
      </c>
      <c r="F96" t="s">
        <v>39</v>
      </c>
      <c r="G96" t="s">
        <v>34</v>
      </c>
      <c r="H96" t="s">
        <v>17</v>
      </c>
      <c r="I96" t="s">
        <v>55</v>
      </c>
      <c r="J96" t="s">
        <v>17</v>
      </c>
      <c r="K96" t="s">
        <v>24</v>
      </c>
    </row>
    <row r="97" spans="1:11" x14ac:dyDescent="0.2">
      <c r="A97" t="s">
        <v>30</v>
      </c>
      <c r="B97">
        <v>783984</v>
      </c>
      <c r="C97" t="s">
        <v>31</v>
      </c>
      <c r="D97" t="s">
        <v>36</v>
      </c>
      <c r="E97" s="667">
        <v>45310</v>
      </c>
      <c r="F97" t="s">
        <v>33</v>
      </c>
      <c r="G97" t="s">
        <v>34</v>
      </c>
      <c r="H97" t="s">
        <v>107</v>
      </c>
      <c r="I97" t="s">
        <v>41</v>
      </c>
      <c r="J97" t="s">
        <v>17</v>
      </c>
      <c r="K97" t="s">
        <v>19</v>
      </c>
    </row>
    <row r="98" spans="1:11" x14ac:dyDescent="0.2">
      <c r="A98" t="s">
        <v>30</v>
      </c>
      <c r="B98">
        <v>744883</v>
      </c>
      <c r="C98" t="s">
        <v>31</v>
      </c>
      <c r="D98" t="s">
        <v>36</v>
      </c>
      <c r="E98" s="667">
        <v>45076</v>
      </c>
      <c r="F98" t="s">
        <v>39</v>
      </c>
      <c r="G98" t="s">
        <v>34</v>
      </c>
      <c r="H98" t="s">
        <v>17</v>
      </c>
      <c r="I98" t="s">
        <v>55</v>
      </c>
      <c r="J98" t="s">
        <v>17</v>
      </c>
      <c r="K98" t="s">
        <v>24</v>
      </c>
    </row>
    <row r="99" spans="1:11" x14ac:dyDescent="0.2">
      <c r="A99" t="s">
        <v>30</v>
      </c>
      <c r="B99">
        <v>782777</v>
      </c>
      <c r="C99" t="s">
        <v>31</v>
      </c>
      <c r="D99" t="s">
        <v>36</v>
      </c>
      <c r="E99" s="667">
        <v>45253</v>
      </c>
      <c r="F99" t="s">
        <v>33</v>
      </c>
      <c r="G99" t="s">
        <v>34</v>
      </c>
      <c r="H99" t="s">
        <v>47</v>
      </c>
      <c r="I99" t="s">
        <v>60</v>
      </c>
      <c r="J99" t="s">
        <v>17</v>
      </c>
      <c r="K99" t="s">
        <v>19</v>
      </c>
    </row>
    <row r="100" spans="1:11" x14ac:dyDescent="0.2">
      <c r="A100" t="s">
        <v>30</v>
      </c>
      <c r="B100">
        <v>788115</v>
      </c>
      <c r="C100" t="s">
        <v>31</v>
      </c>
      <c r="D100" t="s">
        <v>36</v>
      </c>
      <c r="E100" s="667">
        <v>45338</v>
      </c>
      <c r="F100" t="s">
        <v>39</v>
      </c>
      <c r="G100" t="s">
        <v>34</v>
      </c>
      <c r="H100" t="s">
        <v>17</v>
      </c>
      <c r="I100" t="s">
        <v>41</v>
      </c>
      <c r="J100" t="s">
        <v>17</v>
      </c>
      <c r="K100" t="s">
        <v>19</v>
      </c>
    </row>
    <row r="101" spans="1:11" x14ac:dyDescent="0.2">
      <c r="A101" t="s">
        <v>30</v>
      </c>
      <c r="B101">
        <v>413772</v>
      </c>
      <c r="C101" t="s">
        <v>31</v>
      </c>
      <c r="D101" t="s">
        <v>36</v>
      </c>
      <c r="E101" s="667">
        <v>41479</v>
      </c>
      <c r="F101" t="s">
        <v>39</v>
      </c>
      <c r="G101" t="s">
        <v>34</v>
      </c>
      <c r="H101" t="s">
        <v>108</v>
      </c>
      <c r="I101" t="s">
        <v>85</v>
      </c>
      <c r="J101" t="s">
        <v>17</v>
      </c>
      <c r="K101" t="s">
        <v>82</v>
      </c>
    </row>
    <row r="102" spans="1:11" x14ac:dyDescent="0.2">
      <c r="A102" t="s">
        <v>30</v>
      </c>
      <c r="B102">
        <v>680724</v>
      </c>
      <c r="C102" t="s">
        <v>31</v>
      </c>
      <c r="D102" t="s">
        <v>36</v>
      </c>
      <c r="E102" s="667">
        <v>44435</v>
      </c>
      <c r="F102" t="s">
        <v>39</v>
      </c>
      <c r="G102" t="s">
        <v>34</v>
      </c>
      <c r="H102" t="s">
        <v>17</v>
      </c>
      <c r="I102" t="s">
        <v>23</v>
      </c>
      <c r="J102" t="s">
        <v>17</v>
      </c>
      <c r="K102" t="s">
        <v>82</v>
      </c>
    </row>
    <row r="103" spans="1:11" x14ac:dyDescent="0.2">
      <c r="A103" t="s">
        <v>30</v>
      </c>
      <c r="B103">
        <v>792914</v>
      </c>
      <c r="C103" t="s">
        <v>31</v>
      </c>
      <c r="D103" t="s">
        <v>36</v>
      </c>
      <c r="E103" s="667">
        <v>45294</v>
      </c>
      <c r="F103" t="s">
        <v>33</v>
      </c>
      <c r="G103" t="s">
        <v>71</v>
      </c>
      <c r="H103" t="s">
        <v>47</v>
      </c>
      <c r="I103" t="s">
        <v>38</v>
      </c>
      <c r="J103" t="s">
        <v>17</v>
      </c>
      <c r="K103" t="s">
        <v>19</v>
      </c>
    </row>
    <row r="104" spans="1:11" x14ac:dyDescent="0.2">
      <c r="A104" t="s">
        <v>30</v>
      </c>
      <c r="B104">
        <v>792838</v>
      </c>
      <c r="C104" t="s">
        <v>31</v>
      </c>
      <c r="D104" t="s">
        <v>36</v>
      </c>
      <c r="E104" s="667">
        <v>45371</v>
      </c>
      <c r="F104" t="s">
        <v>33</v>
      </c>
      <c r="G104" t="s">
        <v>34</v>
      </c>
      <c r="H104" t="s">
        <v>109</v>
      </c>
      <c r="I104" t="s">
        <v>68</v>
      </c>
      <c r="J104" t="s">
        <v>17</v>
      </c>
      <c r="K104" t="s">
        <v>82</v>
      </c>
    </row>
    <row r="105" spans="1:11" x14ac:dyDescent="0.2">
      <c r="A105" t="s">
        <v>30</v>
      </c>
      <c r="B105">
        <v>799047</v>
      </c>
      <c r="C105" t="s">
        <v>31</v>
      </c>
      <c r="D105" t="s">
        <v>36</v>
      </c>
      <c r="E105" s="667">
        <v>45418</v>
      </c>
      <c r="F105" t="s">
        <v>39</v>
      </c>
      <c r="G105" t="s">
        <v>34</v>
      </c>
      <c r="H105" t="s">
        <v>17</v>
      </c>
      <c r="I105" t="s">
        <v>68</v>
      </c>
      <c r="J105" t="s">
        <v>17</v>
      </c>
      <c r="K105">
        <v>2</v>
      </c>
    </row>
    <row r="106" spans="1:11" x14ac:dyDescent="0.2">
      <c r="A106" t="s">
        <v>30</v>
      </c>
      <c r="B106">
        <v>770042</v>
      </c>
      <c r="C106" t="s">
        <v>31</v>
      </c>
      <c r="D106" t="s">
        <v>36</v>
      </c>
      <c r="E106" s="667">
        <v>45212</v>
      </c>
      <c r="F106" t="s">
        <v>39</v>
      </c>
      <c r="G106" t="s">
        <v>34</v>
      </c>
      <c r="H106" t="s">
        <v>73</v>
      </c>
      <c r="I106" t="s">
        <v>46</v>
      </c>
      <c r="J106" t="s">
        <v>17</v>
      </c>
      <c r="K106" t="s">
        <v>22</v>
      </c>
    </row>
    <row r="107" spans="1:11" x14ac:dyDescent="0.2">
      <c r="A107" t="s">
        <v>30</v>
      </c>
      <c r="B107">
        <v>804413</v>
      </c>
      <c r="C107" t="s">
        <v>31</v>
      </c>
      <c r="D107" t="s">
        <v>36</v>
      </c>
      <c r="E107" s="667">
        <v>45462</v>
      </c>
      <c r="F107" t="s">
        <v>39</v>
      </c>
      <c r="G107" t="s">
        <v>34</v>
      </c>
      <c r="H107" t="s">
        <v>73</v>
      </c>
      <c r="I107" t="s">
        <v>41</v>
      </c>
      <c r="J107" t="s">
        <v>17</v>
      </c>
      <c r="K107" t="s">
        <v>19</v>
      </c>
    </row>
    <row r="108" spans="1:11" x14ac:dyDescent="0.2">
      <c r="A108" t="s">
        <v>30</v>
      </c>
      <c r="B108" t="s">
        <v>110</v>
      </c>
      <c r="C108" t="s">
        <v>31</v>
      </c>
      <c r="D108" t="s">
        <v>36</v>
      </c>
      <c r="E108" s="667">
        <v>45400</v>
      </c>
      <c r="F108" t="s">
        <v>39</v>
      </c>
      <c r="G108" t="s">
        <v>34</v>
      </c>
      <c r="H108" t="s">
        <v>35</v>
      </c>
      <c r="I108" t="s">
        <v>41</v>
      </c>
      <c r="J108" t="s">
        <v>17</v>
      </c>
      <c r="K108" t="s">
        <v>19</v>
      </c>
    </row>
    <row r="109" spans="1:11" x14ac:dyDescent="0.2">
      <c r="A109" t="s">
        <v>30</v>
      </c>
      <c r="B109">
        <v>355790</v>
      </c>
      <c r="C109" t="s">
        <v>31</v>
      </c>
      <c r="D109" t="s">
        <v>36</v>
      </c>
      <c r="E109" s="667">
        <v>40715</v>
      </c>
      <c r="F109" t="s">
        <v>39</v>
      </c>
      <c r="G109" t="s">
        <v>34</v>
      </c>
      <c r="H109" t="s">
        <v>35</v>
      </c>
      <c r="I109" t="s">
        <v>60</v>
      </c>
      <c r="J109" t="s">
        <v>17</v>
      </c>
      <c r="K109" t="s">
        <v>22</v>
      </c>
    </row>
    <row r="110" spans="1:11" x14ac:dyDescent="0.2">
      <c r="A110" t="s">
        <v>30</v>
      </c>
      <c r="B110">
        <v>303777</v>
      </c>
      <c r="C110" t="s">
        <v>31</v>
      </c>
      <c r="D110" t="s">
        <v>36</v>
      </c>
      <c r="E110" s="667">
        <v>38731</v>
      </c>
      <c r="F110" t="s">
        <v>52</v>
      </c>
      <c r="G110" t="s">
        <v>34</v>
      </c>
      <c r="H110" t="s">
        <v>35</v>
      </c>
      <c r="I110" t="s">
        <v>60</v>
      </c>
      <c r="J110" t="s">
        <v>89</v>
      </c>
      <c r="K110" t="s">
        <v>19</v>
      </c>
    </row>
    <row r="111" spans="1:11" x14ac:dyDescent="0.2">
      <c r="A111" t="s">
        <v>30</v>
      </c>
      <c r="B111" t="s">
        <v>111</v>
      </c>
      <c r="C111" t="s">
        <v>31</v>
      </c>
      <c r="D111" t="s">
        <v>36</v>
      </c>
      <c r="E111" s="667">
        <v>45532</v>
      </c>
      <c r="F111" t="s">
        <v>52</v>
      </c>
      <c r="G111" t="s">
        <v>34</v>
      </c>
      <c r="H111" t="s">
        <v>35</v>
      </c>
      <c r="I111" t="s">
        <v>46</v>
      </c>
      <c r="J111" t="s">
        <v>89</v>
      </c>
      <c r="K111" t="s">
        <v>24</v>
      </c>
    </row>
    <row r="112" spans="1:11" x14ac:dyDescent="0.2">
      <c r="A112" t="s">
        <v>30</v>
      </c>
      <c r="B112">
        <v>815956</v>
      </c>
      <c r="C112" t="s">
        <v>31</v>
      </c>
      <c r="D112" t="s">
        <v>36</v>
      </c>
      <c r="E112" s="667">
        <v>45554</v>
      </c>
      <c r="F112" t="s">
        <v>33</v>
      </c>
      <c r="G112" t="s">
        <v>34</v>
      </c>
      <c r="H112" t="s">
        <v>35</v>
      </c>
      <c r="I112" t="s">
        <v>112</v>
      </c>
      <c r="J112" t="s">
        <v>17</v>
      </c>
      <c r="K112" t="s">
        <v>24</v>
      </c>
    </row>
    <row r="113" spans="1:11" x14ac:dyDescent="0.2">
      <c r="A113" t="s">
        <v>30</v>
      </c>
      <c r="B113">
        <v>815997</v>
      </c>
      <c r="C113" t="s">
        <v>31</v>
      </c>
      <c r="D113" t="s">
        <v>36</v>
      </c>
      <c r="E113" s="667">
        <v>45555</v>
      </c>
      <c r="F113" t="s">
        <v>39</v>
      </c>
      <c r="G113" t="s">
        <v>34</v>
      </c>
      <c r="H113" t="s">
        <v>17</v>
      </c>
      <c r="I113" t="s">
        <v>43</v>
      </c>
      <c r="J113" t="s">
        <v>17</v>
      </c>
      <c r="K113" t="s">
        <v>19</v>
      </c>
    </row>
    <row r="114" spans="1:11" x14ac:dyDescent="0.2">
      <c r="A114" t="s">
        <v>30</v>
      </c>
      <c r="B114">
        <v>816895</v>
      </c>
      <c r="C114" t="s">
        <v>31</v>
      </c>
      <c r="D114" t="s">
        <v>36</v>
      </c>
      <c r="E114" s="667">
        <v>45561</v>
      </c>
      <c r="F114" t="s">
        <v>39</v>
      </c>
      <c r="G114" t="s">
        <v>34</v>
      </c>
      <c r="H114" t="s">
        <v>35</v>
      </c>
      <c r="I114" t="s">
        <v>51</v>
      </c>
      <c r="J114" t="s">
        <v>89</v>
      </c>
      <c r="K114" t="s">
        <v>24</v>
      </c>
    </row>
    <row r="115" spans="1:11" x14ac:dyDescent="0.2">
      <c r="A115" t="s">
        <v>30</v>
      </c>
      <c r="B115" t="s">
        <v>113</v>
      </c>
      <c r="C115" t="s">
        <v>31</v>
      </c>
      <c r="D115" t="s">
        <v>36</v>
      </c>
      <c r="E115" s="667">
        <v>45639</v>
      </c>
      <c r="F115" t="s">
        <v>33</v>
      </c>
      <c r="G115" t="s">
        <v>34</v>
      </c>
      <c r="H115" t="s">
        <v>17</v>
      </c>
      <c r="I115" t="s">
        <v>59</v>
      </c>
      <c r="J115" t="s">
        <v>17</v>
      </c>
      <c r="K115" t="s">
        <v>24</v>
      </c>
    </row>
    <row r="116" spans="1:11" x14ac:dyDescent="0.2">
      <c r="A116" t="s">
        <v>30</v>
      </c>
      <c r="B116" t="s">
        <v>114</v>
      </c>
      <c r="C116" t="s">
        <v>31</v>
      </c>
      <c r="D116" t="s">
        <v>36</v>
      </c>
      <c r="E116" s="667">
        <v>45577</v>
      </c>
      <c r="F116" t="s">
        <v>33</v>
      </c>
      <c r="G116" t="s">
        <v>34</v>
      </c>
      <c r="H116" t="s">
        <v>47</v>
      </c>
      <c r="I116" t="s">
        <v>55</v>
      </c>
      <c r="J116" t="s">
        <v>17</v>
      </c>
      <c r="K116" t="s">
        <v>24</v>
      </c>
    </row>
    <row r="117" spans="1:11" x14ac:dyDescent="0.2">
      <c r="A117" t="s">
        <v>30</v>
      </c>
      <c r="B117" t="s">
        <v>115</v>
      </c>
      <c r="C117" t="s">
        <v>31</v>
      </c>
      <c r="D117" t="s">
        <v>36</v>
      </c>
      <c r="E117" s="667">
        <v>45673</v>
      </c>
      <c r="F117" t="s">
        <v>33</v>
      </c>
      <c r="G117" t="s">
        <v>34</v>
      </c>
      <c r="H117" t="s">
        <v>47</v>
      </c>
      <c r="I117" t="s">
        <v>68</v>
      </c>
      <c r="J117" t="s">
        <v>17</v>
      </c>
      <c r="K117" t="s">
        <v>24</v>
      </c>
    </row>
    <row r="118" spans="1:11" x14ac:dyDescent="0.2">
      <c r="A118" t="s">
        <v>30</v>
      </c>
      <c r="B118">
        <v>791193</v>
      </c>
      <c r="C118" t="s">
        <v>31</v>
      </c>
      <c r="D118" t="s">
        <v>36</v>
      </c>
      <c r="E118" s="667">
        <v>43781</v>
      </c>
      <c r="F118" t="s">
        <v>39</v>
      </c>
      <c r="G118" t="s">
        <v>71</v>
      </c>
      <c r="H118" t="s">
        <v>17</v>
      </c>
      <c r="I118" t="s">
        <v>64</v>
      </c>
      <c r="J118" t="s">
        <v>17</v>
      </c>
      <c r="K118" t="s">
        <v>19</v>
      </c>
    </row>
    <row r="119" spans="1:11" x14ac:dyDescent="0.2">
      <c r="A119" t="s">
        <v>30</v>
      </c>
      <c r="B119">
        <v>729523</v>
      </c>
      <c r="C119" t="s">
        <v>31</v>
      </c>
      <c r="D119" t="s">
        <v>36</v>
      </c>
      <c r="E119" s="667">
        <v>44951</v>
      </c>
      <c r="F119" t="s">
        <v>39</v>
      </c>
      <c r="G119" t="s">
        <v>116</v>
      </c>
      <c r="H119" t="s">
        <v>35</v>
      </c>
      <c r="I119" t="s">
        <v>51</v>
      </c>
      <c r="J119" t="s">
        <v>17</v>
      </c>
      <c r="K119" t="s">
        <v>19</v>
      </c>
    </row>
    <row r="120" spans="1:11" x14ac:dyDescent="0.2">
      <c r="A120" t="s">
        <v>30</v>
      </c>
      <c r="B120">
        <v>271268</v>
      </c>
      <c r="C120" t="s">
        <v>31</v>
      </c>
      <c r="D120" t="s">
        <v>36</v>
      </c>
      <c r="E120" s="667">
        <v>39902</v>
      </c>
      <c r="F120" t="s">
        <v>39</v>
      </c>
      <c r="G120" t="s">
        <v>34</v>
      </c>
      <c r="H120" t="s">
        <v>17</v>
      </c>
      <c r="I120" t="s">
        <v>41</v>
      </c>
      <c r="J120" t="s">
        <v>117</v>
      </c>
      <c r="K120" t="s">
        <v>19</v>
      </c>
    </row>
    <row r="121" spans="1:11" x14ac:dyDescent="0.2">
      <c r="A121" t="s">
        <v>30</v>
      </c>
      <c r="B121">
        <v>707444</v>
      </c>
      <c r="C121" t="s">
        <v>31</v>
      </c>
      <c r="D121" t="s">
        <v>36</v>
      </c>
      <c r="E121" s="667">
        <v>39902</v>
      </c>
      <c r="F121" t="s">
        <v>39</v>
      </c>
      <c r="G121" t="s">
        <v>34</v>
      </c>
      <c r="H121" t="s">
        <v>17</v>
      </c>
      <c r="I121" t="s">
        <v>41</v>
      </c>
      <c r="J121" t="s">
        <v>17</v>
      </c>
      <c r="K121" t="s">
        <v>19</v>
      </c>
    </row>
    <row r="122" spans="1:11" x14ac:dyDescent="0.2">
      <c r="A122" t="s">
        <v>30</v>
      </c>
      <c r="B122">
        <v>543680</v>
      </c>
      <c r="C122" t="s">
        <v>31</v>
      </c>
      <c r="D122" t="s">
        <v>36</v>
      </c>
      <c r="E122" s="667">
        <v>42751</v>
      </c>
      <c r="F122" t="s">
        <v>39</v>
      </c>
      <c r="G122" t="s">
        <v>16</v>
      </c>
      <c r="H122" t="s">
        <v>35</v>
      </c>
      <c r="I122" t="s">
        <v>57</v>
      </c>
      <c r="J122" t="s">
        <v>17</v>
      </c>
      <c r="K122" t="s">
        <v>22</v>
      </c>
    </row>
    <row r="123" spans="1:11" x14ac:dyDescent="0.2">
      <c r="A123" t="s">
        <v>30</v>
      </c>
      <c r="B123">
        <v>563426</v>
      </c>
      <c r="C123" t="s">
        <v>31</v>
      </c>
      <c r="D123" t="s">
        <v>36</v>
      </c>
      <c r="E123" s="667">
        <v>43039</v>
      </c>
      <c r="F123" t="s">
        <v>52</v>
      </c>
      <c r="G123" t="s">
        <v>16</v>
      </c>
      <c r="H123" t="s">
        <v>96</v>
      </c>
      <c r="I123" t="s">
        <v>41</v>
      </c>
      <c r="K123" t="s">
        <v>82</v>
      </c>
    </row>
    <row r="124" spans="1:11" x14ac:dyDescent="0.2">
      <c r="A124" t="s">
        <v>30</v>
      </c>
      <c r="B124">
        <v>526574</v>
      </c>
      <c r="C124" t="s">
        <v>31</v>
      </c>
      <c r="D124" t="s">
        <v>36</v>
      </c>
      <c r="E124" s="667">
        <v>42262</v>
      </c>
      <c r="F124" t="s">
        <v>33</v>
      </c>
      <c r="G124" t="s">
        <v>16</v>
      </c>
      <c r="H124" t="s">
        <v>96</v>
      </c>
      <c r="I124" t="s">
        <v>38</v>
      </c>
      <c r="J124">
        <v>145038.70000000001</v>
      </c>
      <c r="K124" t="s">
        <v>19</v>
      </c>
    </row>
    <row r="125" spans="1:11" x14ac:dyDescent="0.2">
      <c r="A125" t="s">
        <v>30</v>
      </c>
      <c r="B125">
        <v>617610</v>
      </c>
      <c r="C125" t="s">
        <v>31</v>
      </c>
      <c r="D125" t="s">
        <v>78</v>
      </c>
      <c r="E125" s="667">
        <v>43776</v>
      </c>
      <c r="F125" t="s">
        <v>52</v>
      </c>
      <c r="G125" t="s">
        <v>16</v>
      </c>
      <c r="H125" t="s">
        <v>96</v>
      </c>
      <c r="I125" t="s">
        <v>38</v>
      </c>
      <c r="J125">
        <v>8305</v>
      </c>
      <c r="K125" t="s">
        <v>19</v>
      </c>
    </row>
    <row r="126" spans="1:11" x14ac:dyDescent="0.2">
      <c r="A126" t="s">
        <v>30</v>
      </c>
      <c r="B126">
        <v>574069</v>
      </c>
      <c r="C126" t="s">
        <v>31</v>
      </c>
      <c r="D126" t="s">
        <v>36</v>
      </c>
      <c r="E126" s="667">
        <v>43083</v>
      </c>
      <c r="F126" t="s">
        <v>39</v>
      </c>
      <c r="G126" t="s">
        <v>16</v>
      </c>
      <c r="H126" t="s">
        <v>96</v>
      </c>
      <c r="I126" t="s">
        <v>64</v>
      </c>
      <c r="J126">
        <v>33938.199999999997</v>
      </c>
      <c r="K126" t="s">
        <v>19</v>
      </c>
    </row>
    <row r="127" spans="1:11" x14ac:dyDescent="0.2">
      <c r="A127" t="s">
        <v>30</v>
      </c>
      <c r="B127">
        <v>606071</v>
      </c>
      <c r="C127" t="s">
        <v>31</v>
      </c>
      <c r="D127" t="s">
        <v>36</v>
      </c>
      <c r="E127" s="667">
        <v>43664</v>
      </c>
      <c r="F127" t="s">
        <v>33</v>
      </c>
      <c r="G127" t="s">
        <v>16</v>
      </c>
      <c r="H127" t="s">
        <v>96</v>
      </c>
      <c r="I127" t="s">
        <v>38</v>
      </c>
      <c r="J127" t="s">
        <v>118</v>
      </c>
      <c r="K127" t="s">
        <v>22</v>
      </c>
    </row>
    <row r="128" spans="1:11" x14ac:dyDescent="0.2">
      <c r="A128" t="s">
        <v>30</v>
      </c>
      <c r="B128">
        <v>617584</v>
      </c>
      <c r="C128" t="s">
        <v>31</v>
      </c>
      <c r="D128" t="s">
        <v>78</v>
      </c>
      <c r="E128" s="667">
        <v>43664</v>
      </c>
      <c r="F128" t="s">
        <v>52</v>
      </c>
      <c r="G128" t="s">
        <v>16</v>
      </c>
      <c r="H128" t="s">
        <v>96</v>
      </c>
      <c r="I128" t="s">
        <v>55</v>
      </c>
      <c r="J128">
        <v>14900</v>
      </c>
      <c r="K128" t="s">
        <v>19</v>
      </c>
    </row>
    <row r="129" spans="1:11" x14ac:dyDescent="0.2">
      <c r="A129" t="s">
        <v>30</v>
      </c>
      <c r="B129">
        <v>391844</v>
      </c>
      <c r="C129" t="s">
        <v>31</v>
      </c>
      <c r="D129" t="s">
        <v>36</v>
      </c>
      <c r="E129" s="667">
        <v>41151</v>
      </c>
      <c r="F129" t="s">
        <v>39</v>
      </c>
      <c r="G129" t="s">
        <v>16</v>
      </c>
      <c r="H129" t="s">
        <v>96</v>
      </c>
      <c r="I129" t="s">
        <v>41</v>
      </c>
      <c r="J129">
        <v>3065</v>
      </c>
      <c r="K129" t="s">
        <v>19</v>
      </c>
    </row>
    <row r="130" spans="1:11" x14ac:dyDescent="0.2">
      <c r="A130" t="s">
        <v>30</v>
      </c>
      <c r="B130">
        <v>359396</v>
      </c>
      <c r="C130" t="s">
        <v>31</v>
      </c>
      <c r="D130" t="s">
        <v>36</v>
      </c>
      <c r="E130" s="667">
        <v>40431</v>
      </c>
      <c r="F130" t="s">
        <v>33</v>
      </c>
      <c r="G130" t="s">
        <v>16</v>
      </c>
      <c r="H130" t="s">
        <v>96</v>
      </c>
      <c r="I130" t="s">
        <v>51</v>
      </c>
      <c r="J130">
        <v>41341</v>
      </c>
      <c r="K130" t="s">
        <v>22</v>
      </c>
    </row>
    <row r="131" spans="1:11" x14ac:dyDescent="0.2">
      <c r="A131" t="s">
        <v>30</v>
      </c>
      <c r="B131">
        <v>286585</v>
      </c>
      <c r="C131" t="s">
        <v>31</v>
      </c>
      <c r="D131" t="s">
        <v>36</v>
      </c>
      <c r="E131" s="667">
        <v>40029</v>
      </c>
      <c r="F131" t="s">
        <v>39</v>
      </c>
      <c r="G131" t="s">
        <v>16</v>
      </c>
      <c r="H131" t="s">
        <v>96</v>
      </c>
      <c r="I131" t="s">
        <v>59</v>
      </c>
      <c r="J131">
        <v>6804</v>
      </c>
      <c r="K131" t="s">
        <v>22</v>
      </c>
    </row>
    <row r="132" spans="1:11" x14ac:dyDescent="0.2">
      <c r="A132" t="s">
        <v>30</v>
      </c>
      <c r="B132">
        <v>672915</v>
      </c>
      <c r="C132" t="s">
        <v>31</v>
      </c>
      <c r="D132" t="s">
        <v>36</v>
      </c>
      <c r="E132" s="667">
        <v>44296</v>
      </c>
      <c r="F132" t="s">
        <v>52</v>
      </c>
      <c r="G132" t="s">
        <v>16</v>
      </c>
      <c r="H132" t="s">
        <v>96</v>
      </c>
      <c r="I132" t="s">
        <v>119</v>
      </c>
      <c r="J132" t="s">
        <v>120</v>
      </c>
      <c r="K132" t="s">
        <v>19</v>
      </c>
    </row>
    <row r="133" spans="1:11" x14ac:dyDescent="0.2">
      <c r="A133" t="s">
        <v>30</v>
      </c>
      <c r="B133">
        <v>391750</v>
      </c>
      <c r="C133" t="s">
        <v>31</v>
      </c>
      <c r="D133" t="s">
        <v>36</v>
      </c>
      <c r="E133" s="667">
        <v>40088</v>
      </c>
      <c r="F133" t="s">
        <v>39</v>
      </c>
      <c r="G133" t="s">
        <v>16</v>
      </c>
      <c r="H133" t="s">
        <v>96</v>
      </c>
      <c r="I133" t="s">
        <v>59</v>
      </c>
      <c r="J133">
        <v>56443</v>
      </c>
      <c r="K133" t="s">
        <v>22</v>
      </c>
    </row>
    <row r="134" spans="1:11" x14ac:dyDescent="0.2">
      <c r="A134" t="s">
        <v>30</v>
      </c>
      <c r="B134">
        <v>563425</v>
      </c>
      <c r="C134" t="s">
        <v>31</v>
      </c>
      <c r="D134" t="s">
        <v>36</v>
      </c>
      <c r="E134" s="667">
        <v>43039</v>
      </c>
      <c r="F134" t="s">
        <v>33</v>
      </c>
      <c r="G134" t="s">
        <v>16</v>
      </c>
      <c r="H134" t="s">
        <v>96</v>
      </c>
      <c r="I134" t="s">
        <v>41</v>
      </c>
      <c r="K134" t="s">
        <v>82</v>
      </c>
    </row>
    <row r="135" spans="1:11" x14ac:dyDescent="0.2">
      <c r="A135" t="s">
        <v>30</v>
      </c>
      <c r="B135">
        <v>419787</v>
      </c>
      <c r="C135" t="s">
        <v>31</v>
      </c>
      <c r="D135" t="s">
        <v>36</v>
      </c>
      <c r="E135" s="667">
        <v>41527</v>
      </c>
      <c r="F135" t="s">
        <v>33</v>
      </c>
      <c r="G135" t="s">
        <v>16</v>
      </c>
      <c r="H135" t="s">
        <v>96</v>
      </c>
      <c r="I135" t="s">
        <v>68</v>
      </c>
      <c r="J135">
        <v>8981</v>
      </c>
      <c r="K135" t="s">
        <v>22</v>
      </c>
    </row>
    <row r="136" spans="1:11" x14ac:dyDescent="0.2">
      <c r="A136" t="s">
        <v>30</v>
      </c>
      <c r="B136">
        <v>513957</v>
      </c>
      <c r="C136" t="s">
        <v>31</v>
      </c>
      <c r="D136" t="s">
        <v>36</v>
      </c>
      <c r="E136" s="667">
        <v>42148</v>
      </c>
      <c r="F136" t="s">
        <v>39</v>
      </c>
      <c r="G136" t="s">
        <v>16</v>
      </c>
      <c r="H136" t="s">
        <v>96</v>
      </c>
      <c r="I136" t="s">
        <v>41</v>
      </c>
      <c r="J136">
        <v>41680</v>
      </c>
      <c r="K136" t="s">
        <v>22</v>
      </c>
    </row>
    <row r="137" spans="1:11" x14ac:dyDescent="0.2">
      <c r="A137" t="s">
        <v>30</v>
      </c>
      <c r="B137">
        <v>454983</v>
      </c>
      <c r="C137" t="s">
        <v>31</v>
      </c>
      <c r="D137" t="s">
        <v>36</v>
      </c>
      <c r="E137" s="667">
        <v>41775</v>
      </c>
      <c r="F137" t="s">
        <v>39</v>
      </c>
      <c r="G137" t="s">
        <v>16</v>
      </c>
      <c r="H137" t="s">
        <v>96</v>
      </c>
      <c r="I137" t="s">
        <v>61</v>
      </c>
      <c r="J137" t="s">
        <v>121</v>
      </c>
      <c r="K137" t="s">
        <v>82</v>
      </c>
    </row>
    <row r="138" spans="1:11" x14ac:dyDescent="0.2">
      <c r="A138" t="s">
        <v>30</v>
      </c>
      <c r="B138">
        <v>417849</v>
      </c>
      <c r="C138" t="s">
        <v>31</v>
      </c>
      <c r="D138" t="s">
        <v>36</v>
      </c>
      <c r="E138" s="667">
        <v>41477</v>
      </c>
      <c r="F138" t="s">
        <v>33</v>
      </c>
      <c r="G138" t="s">
        <v>16</v>
      </c>
      <c r="H138" t="s">
        <v>96</v>
      </c>
      <c r="I138" t="s">
        <v>59</v>
      </c>
      <c r="J138">
        <v>3804.46</v>
      </c>
      <c r="K138" t="s">
        <v>19</v>
      </c>
    </row>
    <row r="139" spans="1:11" x14ac:dyDescent="0.2">
      <c r="A139" t="s">
        <v>30</v>
      </c>
      <c r="B139">
        <v>288991</v>
      </c>
      <c r="C139" t="s">
        <v>31</v>
      </c>
      <c r="D139" t="s">
        <v>36</v>
      </c>
      <c r="E139" s="667">
        <v>40031</v>
      </c>
      <c r="F139" t="s">
        <v>39</v>
      </c>
      <c r="G139" t="s">
        <v>16</v>
      </c>
      <c r="H139" t="s">
        <v>96</v>
      </c>
      <c r="I139" t="s">
        <v>68</v>
      </c>
      <c r="J139">
        <v>6804.067</v>
      </c>
      <c r="K139" t="s">
        <v>22</v>
      </c>
    </row>
    <row r="140" spans="1:11" x14ac:dyDescent="0.2">
      <c r="A140" t="s">
        <v>30</v>
      </c>
      <c r="B140">
        <v>611632</v>
      </c>
      <c r="C140" t="s">
        <v>31</v>
      </c>
      <c r="D140" t="s">
        <v>36</v>
      </c>
      <c r="E140" s="667">
        <v>42649</v>
      </c>
      <c r="F140" t="s">
        <v>33</v>
      </c>
      <c r="G140" t="s">
        <v>16</v>
      </c>
      <c r="H140" t="s">
        <v>96</v>
      </c>
      <c r="I140" t="s">
        <v>64</v>
      </c>
      <c r="J140" t="s">
        <v>17</v>
      </c>
      <c r="K140" t="s">
        <v>19</v>
      </c>
    </row>
    <row r="141" spans="1:11" x14ac:dyDescent="0.2">
      <c r="A141" t="s">
        <v>30</v>
      </c>
      <c r="B141">
        <v>334762</v>
      </c>
      <c r="C141" t="s">
        <v>31</v>
      </c>
      <c r="D141" t="s">
        <v>36</v>
      </c>
      <c r="E141" s="667">
        <v>40165</v>
      </c>
      <c r="F141" t="s">
        <v>33</v>
      </c>
      <c r="G141" t="s">
        <v>16</v>
      </c>
      <c r="H141" t="s">
        <v>96</v>
      </c>
      <c r="I141" t="s">
        <v>64</v>
      </c>
      <c r="J141">
        <v>1711.49</v>
      </c>
      <c r="K141" t="s">
        <v>22</v>
      </c>
    </row>
    <row r="142" spans="1:11" x14ac:dyDescent="0.2">
      <c r="A142" t="s">
        <v>30</v>
      </c>
      <c r="B142">
        <v>380929</v>
      </c>
      <c r="C142" t="s">
        <v>31</v>
      </c>
      <c r="D142" t="s">
        <v>36</v>
      </c>
      <c r="E142" s="667">
        <v>40193</v>
      </c>
      <c r="F142" t="s">
        <v>15</v>
      </c>
      <c r="G142" t="s">
        <v>16</v>
      </c>
      <c r="H142" t="s">
        <v>96</v>
      </c>
      <c r="I142" t="s">
        <v>64</v>
      </c>
      <c r="J142">
        <v>9000</v>
      </c>
      <c r="K142" t="s">
        <v>122</v>
      </c>
    </row>
    <row r="143" spans="1:11" x14ac:dyDescent="0.2">
      <c r="A143" t="s">
        <v>30</v>
      </c>
      <c r="B143" t="s">
        <v>123</v>
      </c>
      <c r="C143" t="s">
        <v>31</v>
      </c>
      <c r="D143" t="s">
        <v>36</v>
      </c>
      <c r="E143" s="667">
        <v>44034</v>
      </c>
      <c r="F143" t="s">
        <v>15</v>
      </c>
      <c r="G143" t="s">
        <v>16</v>
      </c>
      <c r="H143" t="s">
        <v>96</v>
      </c>
      <c r="I143" t="s">
        <v>38</v>
      </c>
      <c r="J143" t="s">
        <v>124</v>
      </c>
      <c r="K143" t="s">
        <v>19</v>
      </c>
    </row>
    <row r="144" spans="1:11" x14ac:dyDescent="0.2">
      <c r="A144" t="s">
        <v>30</v>
      </c>
      <c r="B144">
        <v>334859</v>
      </c>
      <c r="C144" t="s">
        <v>31</v>
      </c>
      <c r="D144" t="s">
        <v>36</v>
      </c>
      <c r="E144" s="667">
        <v>40165</v>
      </c>
      <c r="F144" t="s">
        <v>33</v>
      </c>
      <c r="G144" t="s">
        <v>16</v>
      </c>
      <c r="H144" t="s">
        <v>96</v>
      </c>
      <c r="I144" t="s">
        <v>59</v>
      </c>
      <c r="J144">
        <v>7030</v>
      </c>
      <c r="K144" t="s">
        <v>22</v>
      </c>
    </row>
    <row r="145" spans="1:11" x14ac:dyDescent="0.2">
      <c r="A145" t="s">
        <v>30</v>
      </c>
      <c r="B145">
        <v>529997</v>
      </c>
      <c r="C145" t="s">
        <v>31</v>
      </c>
      <c r="D145" t="s">
        <v>36</v>
      </c>
      <c r="E145" s="667">
        <v>42539</v>
      </c>
      <c r="F145" t="s">
        <v>33</v>
      </c>
      <c r="G145" t="s">
        <v>16</v>
      </c>
      <c r="H145" t="s">
        <v>96</v>
      </c>
      <c r="I145" t="s">
        <v>68</v>
      </c>
      <c r="J145">
        <v>1534</v>
      </c>
      <c r="K145" t="s">
        <v>22</v>
      </c>
    </row>
    <row r="146" spans="1:11" x14ac:dyDescent="0.2">
      <c r="A146" t="s">
        <v>30</v>
      </c>
      <c r="B146">
        <v>362094</v>
      </c>
      <c r="C146" t="s">
        <v>31</v>
      </c>
      <c r="D146" t="s">
        <v>36</v>
      </c>
      <c r="E146" s="667">
        <v>40707</v>
      </c>
      <c r="F146" t="s">
        <v>39</v>
      </c>
      <c r="G146" t="s">
        <v>16</v>
      </c>
      <c r="H146" t="s">
        <v>96</v>
      </c>
      <c r="I146" t="s">
        <v>61</v>
      </c>
      <c r="J146" t="s">
        <v>125</v>
      </c>
      <c r="K146" t="s">
        <v>77</v>
      </c>
    </row>
    <row r="147" spans="1:11" x14ac:dyDescent="0.2">
      <c r="A147" t="s">
        <v>30</v>
      </c>
      <c r="B147" t="s">
        <v>17</v>
      </c>
      <c r="C147" t="s">
        <v>31</v>
      </c>
      <c r="D147" t="s">
        <v>36</v>
      </c>
      <c r="E147" s="667">
        <v>42996</v>
      </c>
      <c r="F147" t="s">
        <v>39</v>
      </c>
      <c r="G147" t="s">
        <v>16</v>
      </c>
      <c r="H147" t="s">
        <v>17</v>
      </c>
      <c r="I147" t="s">
        <v>38</v>
      </c>
      <c r="J147" t="s">
        <v>126</v>
      </c>
      <c r="K147" t="s">
        <v>19</v>
      </c>
    </row>
    <row r="148" spans="1:11" x14ac:dyDescent="0.2">
      <c r="A148" t="s">
        <v>30</v>
      </c>
      <c r="B148">
        <v>419901</v>
      </c>
      <c r="C148" t="s">
        <v>31</v>
      </c>
      <c r="D148" t="s">
        <v>36</v>
      </c>
      <c r="E148" s="667">
        <v>40898</v>
      </c>
      <c r="F148" t="s">
        <v>33</v>
      </c>
      <c r="G148" t="s">
        <v>16</v>
      </c>
      <c r="H148" t="s">
        <v>96</v>
      </c>
      <c r="I148" t="s">
        <v>61</v>
      </c>
      <c r="J148" t="s">
        <v>127</v>
      </c>
      <c r="K148" t="s">
        <v>77</v>
      </c>
    </row>
    <row r="149" spans="1:11" x14ac:dyDescent="0.2">
      <c r="A149" t="s">
        <v>30</v>
      </c>
      <c r="B149">
        <v>741810</v>
      </c>
      <c r="C149" t="s">
        <v>31</v>
      </c>
      <c r="D149" t="s">
        <v>78</v>
      </c>
      <c r="E149" s="667">
        <v>45174</v>
      </c>
      <c r="F149" t="s">
        <v>33</v>
      </c>
      <c r="G149" t="s">
        <v>16</v>
      </c>
      <c r="H149" t="s">
        <v>96</v>
      </c>
      <c r="I149" t="s">
        <v>41</v>
      </c>
      <c r="J149" t="s">
        <v>128</v>
      </c>
      <c r="K149" t="s">
        <v>19</v>
      </c>
    </row>
    <row r="150" spans="1:11" x14ac:dyDescent="0.2">
      <c r="A150" t="s">
        <v>30</v>
      </c>
      <c r="B150">
        <v>692106</v>
      </c>
      <c r="C150" t="s">
        <v>31</v>
      </c>
      <c r="D150" t="s">
        <v>36</v>
      </c>
      <c r="E150" s="667">
        <v>44866</v>
      </c>
      <c r="F150" t="s">
        <v>52</v>
      </c>
      <c r="G150" t="s">
        <v>16</v>
      </c>
      <c r="H150" t="s">
        <v>96</v>
      </c>
      <c r="I150" t="s">
        <v>18</v>
      </c>
      <c r="J150" t="s">
        <v>129</v>
      </c>
      <c r="K150" t="s">
        <v>19</v>
      </c>
    </row>
    <row r="151" spans="1:11" x14ac:dyDescent="0.2">
      <c r="A151" t="s">
        <v>30</v>
      </c>
      <c r="B151">
        <v>527527</v>
      </c>
      <c r="C151" t="s">
        <v>31</v>
      </c>
      <c r="D151" t="s">
        <v>36</v>
      </c>
      <c r="E151" s="667">
        <v>42306</v>
      </c>
      <c r="F151" t="s">
        <v>33</v>
      </c>
      <c r="G151" t="s">
        <v>16</v>
      </c>
      <c r="H151" t="s">
        <v>96</v>
      </c>
      <c r="I151" t="s">
        <v>41</v>
      </c>
      <c r="J151">
        <v>15682</v>
      </c>
      <c r="K151" t="s">
        <v>19</v>
      </c>
    </row>
    <row r="152" spans="1:11" x14ac:dyDescent="0.2">
      <c r="A152" t="s">
        <v>30</v>
      </c>
      <c r="B152">
        <v>537078</v>
      </c>
      <c r="C152" t="s">
        <v>31</v>
      </c>
      <c r="D152" t="s">
        <v>36</v>
      </c>
      <c r="E152" s="667">
        <v>42286</v>
      </c>
      <c r="F152" t="s">
        <v>33</v>
      </c>
      <c r="G152" t="s">
        <v>16</v>
      </c>
      <c r="H152" t="s">
        <v>96</v>
      </c>
      <c r="I152" t="s">
        <v>43</v>
      </c>
      <c r="J152">
        <v>670</v>
      </c>
      <c r="K152" t="s">
        <v>19</v>
      </c>
    </row>
    <row r="153" spans="1:11" x14ac:dyDescent="0.2">
      <c r="A153" t="s">
        <v>30</v>
      </c>
      <c r="B153">
        <v>761945</v>
      </c>
      <c r="C153" t="s">
        <v>31</v>
      </c>
      <c r="D153" t="s">
        <v>36</v>
      </c>
      <c r="E153" s="667">
        <v>44484</v>
      </c>
      <c r="F153" t="s">
        <v>33</v>
      </c>
      <c r="G153" t="s">
        <v>16</v>
      </c>
      <c r="H153" t="s">
        <v>17</v>
      </c>
      <c r="I153" t="s">
        <v>64</v>
      </c>
      <c r="J153" t="s">
        <v>17</v>
      </c>
      <c r="K153" t="s">
        <v>19</v>
      </c>
    </row>
    <row r="154" spans="1:11" x14ac:dyDescent="0.2">
      <c r="A154" t="s">
        <v>30</v>
      </c>
      <c r="B154">
        <v>745899</v>
      </c>
      <c r="C154" t="s">
        <v>31</v>
      </c>
      <c r="D154" t="s">
        <v>36</v>
      </c>
      <c r="E154" s="667">
        <v>45243</v>
      </c>
      <c r="F154" t="s">
        <v>52</v>
      </c>
      <c r="G154" t="s">
        <v>16</v>
      </c>
      <c r="H154" t="s">
        <v>47</v>
      </c>
      <c r="I154" t="s">
        <v>41</v>
      </c>
      <c r="J154">
        <v>3643</v>
      </c>
      <c r="K154" t="s">
        <v>19</v>
      </c>
    </row>
    <row r="155" spans="1:11" x14ac:dyDescent="0.2">
      <c r="A155" t="s">
        <v>30</v>
      </c>
      <c r="B155">
        <v>23</v>
      </c>
      <c r="C155" t="s">
        <v>31</v>
      </c>
      <c r="D155" t="s">
        <v>36</v>
      </c>
      <c r="E155" s="667">
        <v>40165</v>
      </c>
      <c r="F155" t="s">
        <v>33</v>
      </c>
      <c r="G155" t="s">
        <v>16</v>
      </c>
      <c r="H155" t="s">
        <v>96</v>
      </c>
      <c r="I155" t="s">
        <v>41</v>
      </c>
      <c r="J155">
        <v>19353</v>
      </c>
      <c r="K155" t="s">
        <v>22</v>
      </c>
    </row>
    <row r="156" spans="1:11" x14ac:dyDescent="0.2">
      <c r="A156" t="s">
        <v>30</v>
      </c>
      <c r="B156">
        <v>684272</v>
      </c>
      <c r="C156" t="s">
        <v>31</v>
      </c>
      <c r="D156" t="s">
        <v>36</v>
      </c>
      <c r="E156" s="667">
        <v>44237</v>
      </c>
      <c r="F156" t="s">
        <v>15</v>
      </c>
      <c r="G156" t="s">
        <v>16</v>
      </c>
      <c r="H156" t="s">
        <v>47</v>
      </c>
      <c r="I156" t="s">
        <v>38</v>
      </c>
      <c r="J156" t="s">
        <v>130</v>
      </c>
      <c r="K156" t="s">
        <v>22</v>
      </c>
    </row>
    <row r="157" spans="1:11" x14ac:dyDescent="0.2">
      <c r="A157" t="s">
        <v>30</v>
      </c>
      <c r="B157">
        <v>503787</v>
      </c>
      <c r="C157" t="s">
        <v>31</v>
      </c>
      <c r="D157" t="s">
        <v>36</v>
      </c>
      <c r="E157" s="667">
        <v>42171</v>
      </c>
      <c r="F157" t="s">
        <v>33</v>
      </c>
      <c r="G157" t="s">
        <v>16</v>
      </c>
      <c r="H157" t="s">
        <v>96</v>
      </c>
      <c r="I157" t="s">
        <v>38</v>
      </c>
      <c r="J157">
        <v>5188</v>
      </c>
      <c r="K157" t="s">
        <v>22</v>
      </c>
    </row>
    <row r="158" spans="1:11" x14ac:dyDescent="0.2">
      <c r="A158" t="s">
        <v>30</v>
      </c>
      <c r="B158">
        <v>503813</v>
      </c>
      <c r="C158" t="s">
        <v>31</v>
      </c>
      <c r="D158" t="s">
        <v>36</v>
      </c>
      <c r="E158" s="667">
        <v>42170</v>
      </c>
      <c r="F158" t="s">
        <v>39</v>
      </c>
      <c r="G158" t="s">
        <v>16</v>
      </c>
      <c r="H158" t="s">
        <v>96</v>
      </c>
      <c r="I158" t="s">
        <v>41</v>
      </c>
      <c r="J158">
        <v>180274</v>
      </c>
      <c r="K158" t="s">
        <v>22</v>
      </c>
    </row>
    <row r="159" spans="1:11" x14ac:dyDescent="0.2">
      <c r="A159" t="s">
        <v>30</v>
      </c>
      <c r="B159" t="s">
        <v>17</v>
      </c>
      <c r="C159" t="s">
        <v>31</v>
      </c>
      <c r="D159" t="s">
        <v>36</v>
      </c>
      <c r="E159" s="667">
        <v>39418</v>
      </c>
      <c r="F159" t="s">
        <v>39</v>
      </c>
      <c r="G159" t="s">
        <v>16</v>
      </c>
      <c r="H159" t="s">
        <v>17</v>
      </c>
      <c r="I159" t="s">
        <v>75</v>
      </c>
      <c r="J159" t="s">
        <v>17</v>
      </c>
      <c r="K159" t="s">
        <v>19</v>
      </c>
    </row>
    <row r="160" spans="1:11" x14ac:dyDescent="0.2">
      <c r="A160" t="s">
        <v>30</v>
      </c>
      <c r="B160">
        <v>789093</v>
      </c>
      <c r="C160" t="s">
        <v>31</v>
      </c>
      <c r="D160" t="s">
        <v>36</v>
      </c>
      <c r="E160" s="667">
        <v>39456</v>
      </c>
      <c r="F160" t="s">
        <v>39</v>
      </c>
      <c r="G160" t="s">
        <v>16</v>
      </c>
      <c r="H160" t="s">
        <v>35</v>
      </c>
      <c r="I160" t="s">
        <v>21</v>
      </c>
      <c r="J160" t="s">
        <v>17</v>
      </c>
      <c r="K160" t="s">
        <v>19</v>
      </c>
    </row>
    <row r="161" spans="1:11" x14ac:dyDescent="0.2">
      <c r="A161" t="s">
        <v>30</v>
      </c>
      <c r="B161">
        <v>744430</v>
      </c>
      <c r="C161" t="s">
        <v>31</v>
      </c>
      <c r="D161" t="s">
        <v>36</v>
      </c>
      <c r="E161" s="667">
        <v>45062</v>
      </c>
      <c r="F161" t="s">
        <v>33</v>
      </c>
      <c r="G161" t="s">
        <v>16</v>
      </c>
      <c r="H161" t="s">
        <v>96</v>
      </c>
      <c r="I161" t="s">
        <v>41</v>
      </c>
      <c r="J161" t="s">
        <v>131</v>
      </c>
      <c r="K161" t="s">
        <v>19</v>
      </c>
    </row>
    <row r="162" spans="1:11" x14ac:dyDescent="0.2">
      <c r="A162" t="s">
        <v>30</v>
      </c>
      <c r="B162">
        <v>325214</v>
      </c>
      <c r="C162" t="s">
        <v>31</v>
      </c>
      <c r="D162" t="s">
        <v>36</v>
      </c>
      <c r="E162" s="667">
        <v>40112</v>
      </c>
      <c r="F162" t="s">
        <v>33</v>
      </c>
      <c r="G162" t="s">
        <v>16</v>
      </c>
      <c r="H162" t="s">
        <v>96</v>
      </c>
      <c r="I162" t="s">
        <v>59</v>
      </c>
      <c r="J162">
        <v>91676</v>
      </c>
      <c r="K162" t="s">
        <v>22</v>
      </c>
    </row>
    <row r="163" spans="1:11" x14ac:dyDescent="0.2">
      <c r="A163" t="s">
        <v>30</v>
      </c>
      <c r="B163">
        <v>531612</v>
      </c>
      <c r="C163" t="s">
        <v>31</v>
      </c>
      <c r="D163" t="s">
        <v>36</v>
      </c>
      <c r="E163" s="667">
        <v>42435</v>
      </c>
      <c r="F163" t="s">
        <v>39</v>
      </c>
      <c r="G163" t="s">
        <v>16</v>
      </c>
      <c r="H163" t="s">
        <v>96</v>
      </c>
      <c r="I163" t="s">
        <v>43</v>
      </c>
      <c r="J163" t="s">
        <v>132</v>
      </c>
      <c r="K163" t="s">
        <v>82</v>
      </c>
    </row>
    <row r="164" spans="1:11" x14ac:dyDescent="0.2">
      <c r="A164" t="s">
        <v>30</v>
      </c>
      <c r="B164">
        <v>750851</v>
      </c>
      <c r="C164" t="s">
        <v>31</v>
      </c>
      <c r="D164" t="s">
        <v>36</v>
      </c>
      <c r="E164" s="667">
        <v>45128</v>
      </c>
      <c r="F164" t="s">
        <v>33</v>
      </c>
      <c r="G164" t="s">
        <v>16</v>
      </c>
      <c r="H164" t="s">
        <v>96</v>
      </c>
      <c r="I164" t="s">
        <v>68</v>
      </c>
      <c r="J164" t="s">
        <v>133</v>
      </c>
      <c r="K164" t="s">
        <v>19</v>
      </c>
    </row>
    <row r="165" spans="1:11" x14ac:dyDescent="0.2">
      <c r="A165" t="s">
        <v>30</v>
      </c>
      <c r="B165">
        <v>765396</v>
      </c>
      <c r="C165" t="s">
        <v>31</v>
      </c>
      <c r="D165" t="s">
        <v>36</v>
      </c>
      <c r="E165" s="667">
        <v>45168</v>
      </c>
      <c r="F165" t="s">
        <v>52</v>
      </c>
      <c r="G165" t="s">
        <v>16</v>
      </c>
      <c r="H165" t="s">
        <v>35</v>
      </c>
      <c r="I165" t="s">
        <v>41</v>
      </c>
      <c r="J165" t="s">
        <v>17</v>
      </c>
      <c r="K165" t="s">
        <v>19</v>
      </c>
    </row>
    <row r="166" spans="1:11" x14ac:dyDescent="0.2">
      <c r="A166" t="s">
        <v>30</v>
      </c>
      <c r="B166">
        <v>716943</v>
      </c>
      <c r="C166" t="s">
        <v>31</v>
      </c>
      <c r="D166" t="s">
        <v>36</v>
      </c>
      <c r="E166" s="667">
        <v>44818</v>
      </c>
      <c r="F166" t="s">
        <v>33</v>
      </c>
      <c r="G166" t="s">
        <v>16</v>
      </c>
      <c r="H166" t="s">
        <v>96</v>
      </c>
      <c r="I166" t="s">
        <v>38</v>
      </c>
      <c r="J166" t="s">
        <v>17</v>
      </c>
      <c r="K166" t="s">
        <v>19</v>
      </c>
    </row>
    <row r="167" spans="1:11" x14ac:dyDescent="0.2">
      <c r="A167" t="s">
        <v>30</v>
      </c>
      <c r="B167" t="s">
        <v>134</v>
      </c>
      <c r="C167" t="s">
        <v>31</v>
      </c>
      <c r="D167" t="s">
        <v>36</v>
      </c>
      <c r="E167" s="667">
        <v>45554</v>
      </c>
      <c r="F167" t="s">
        <v>52</v>
      </c>
      <c r="G167" t="s">
        <v>16</v>
      </c>
      <c r="H167" t="s">
        <v>96</v>
      </c>
      <c r="I167" t="s">
        <v>135</v>
      </c>
      <c r="J167">
        <v>4058.57</v>
      </c>
      <c r="K167" t="s">
        <v>24</v>
      </c>
    </row>
    <row r="168" spans="1:11" x14ac:dyDescent="0.2">
      <c r="A168" t="s">
        <v>30</v>
      </c>
      <c r="B168" t="s">
        <v>136</v>
      </c>
      <c r="C168" t="s">
        <v>137</v>
      </c>
      <c r="D168" t="s">
        <v>138</v>
      </c>
      <c r="E168" s="667">
        <v>44147</v>
      </c>
      <c r="F168" t="s">
        <v>33</v>
      </c>
      <c r="G168" t="s">
        <v>34</v>
      </c>
      <c r="H168" t="s">
        <v>65</v>
      </c>
      <c r="I168" t="s">
        <v>23</v>
      </c>
      <c r="J168" t="s">
        <v>65</v>
      </c>
      <c r="K168" t="s">
        <v>82</v>
      </c>
    </row>
    <row r="169" spans="1:11" x14ac:dyDescent="0.2">
      <c r="A169" t="s">
        <v>30</v>
      </c>
      <c r="B169">
        <v>626104</v>
      </c>
      <c r="C169" t="s">
        <v>137</v>
      </c>
      <c r="D169" t="s">
        <v>139</v>
      </c>
      <c r="E169" s="667">
        <v>44014</v>
      </c>
      <c r="F169" t="s">
        <v>52</v>
      </c>
      <c r="G169" t="s">
        <v>34</v>
      </c>
      <c r="H169" t="s">
        <v>140</v>
      </c>
      <c r="I169" t="s">
        <v>23</v>
      </c>
      <c r="J169" t="s">
        <v>140</v>
      </c>
      <c r="K169" t="s">
        <v>141</v>
      </c>
    </row>
    <row r="170" spans="1:11" x14ac:dyDescent="0.2">
      <c r="A170" t="s">
        <v>142</v>
      </c>
      <c r="B170">
        <v>164816</v>
      </c>
      <c r="C170" t="s">
        <v>143</v>
      </c>
      <c r="D170" t="s">
        <v>144</v>
      </c>
      <c r="E170" s="667">
        <v>38688</v>
      </c>
      <c r="F170" t="s">
        <v>145</v>
      </c>
      <c r="G170" t="s">
        <v>16</v>
      </c>
      <c r="H170" t="s">
        <v>96</v>
      </c>
      <c r="I170" t="s">
        <v>68</v>
      </c>
      <c r="J170">
        <v>60</v>
      </c>
      <c r="K170" t="s">
        <v>19</v>
      </c>
    </row>
    <row r="171" spans="1:11" x14ac:dyDescent="0.2">
      <c r="A171" t="s">
        <v>142</v>
      </c>
      <c r="B171">
        <v>352796</v>
      </c>
      <c r="C171" t="s">
        <v>143</v>
      </c>
      <c r="D171" t="s">
        <v>146</v>
      </c>
      <c r="E171" s="667">
        <v>33120</v>
      </c>
      <c r="F171" t="s">
        <v>147</v>
      </c>
      <c r="G171" t="s">
        <v>16</v>
      </c>
      <c r="H171" t="s">
        <v>148</v>
      </c>
      <c r="I171" t="s">
        <v>74</v>
      </c>
      <c r="J171">
        <v>555.5</v>
      </c>
      <c r="K171" t="s">
        <v>22</v>
      </c>
    </row>
    <row r="172" spans="1:11" x14ac:dyDescent="0.2">
      <c r="A172" t="s">
        <v>142</v>
      </c>
      <c r="B172">
        <v>632501</v>
      </c>
      <c r="C172" t="s">
        <v>143</v>
      </c>
      <c r="D172" t="s">
        <v>149</v>
      </c>
      <c r="E172" s="667">
        <v>42331</v>
      </c>
      <c r="F172" t="s">
        <v>145</v>
      </c>
      <c r="G172" t="s">
        <v>16</v>
      </c>
      <c r="H172" t="s">
        <v>96</v>
      </c>
      <c r="I172" t="s">
        <v>41</v>
      </c>
      <c r="J172" t="s">
        <v>150</v>
      </c>
      <c r="K172" t="s">
        <v>24</v>
      </c>
    </row>
    <row r="173" spans="1:11" x14ac:dyDescent="0.2">
      <c r="A173" t="s">
        <v>142</v>
      </c>
      <c r="B173">
        <v>556925</v>
      </c>
      <c r="C173" t="s">
        <v>143</v>
      </c>
      <c r="D173" t="s">
        <v>151</v>
      </c>
      <c r="E173" s="667">
        <v>35796</v>
      </c>
      <c r="F173" t="s">
        <v>15</v>
      </c>
      <c r="G173" t="s">
        <v>16</v>
      </c>
      <c r="H173" t="s">
        <v>96</v>
      </c>
      <c r="I173" t="s">
        <v>38</v>
      </c>
      <c r="J173">
        <v>2600</v>
      </c>
      <c r="K173" t="s">
        <v>22</v>
      </c>
    </row>
    <row r="174" spans="1:11" x14ac:dyDescent="0.2">
      <c r="A174" t="s">
        <v>142</v>
      </c>
      <c r="B174">
        <v>588924</v>
      </c>
      <c r="C174" t="s">
        <v>143</v>
      </c>
      <c r="D174" t="s">
        <v>152</v>
      </c>
      <c r="E174" s="667">
        <v>36922</v>
      </c>
      <c r="F174" t="s">
        <v>147</v>
      </c>
      <c r="G174" t="s">
        <v>16</v>
      </c>
      <c r="H174" t="s">
        <v>96</v>
      </c>
      <c r="I174" t="s">
        <v>68</v>
      </c>
      <c r="J174" t="s">
        <v>153</v>
      </c>
      <c r="K174" t="s">
        <v>22</v>
      </c>
    </row>
    <row r="175" spans="1:11" x14ac:dyDescent="0.2">
      <c r="A175" t="s">
        <v>142</v>
      </c>
      <c r="B175">
        <v>597584</v>
      </c>
      <c r="C175" t="s">
        <v>143</v>
      </c>
      <c r="D175" t="s">
        <v>144</v>
      </c>
      <c r="E175" s="667">
        <v>43452</v>
      </c>
      <c r="F175" t="s">
        <v>15</v>
      </c>
      <c r="G175" t="s">
        <v>16</v>
      </c>
      <c r="H175" t="s">
        <v>96</v>
      </c>
      <c r="I175" t="s">
        <v>41</v>
      </c>
      <c r="J175">
        <v>19755</v>
      </c>
      <c r="K175" t="s">
        <v>19</v>
      </c>
    </row>
    <row r="176" spans="1:11" x14ac:dyDescent="0.2">
      <c r="A176" t="s">
        <v>142</v>
      </c>
      <c r="B176">
        <v>681651</v>
      </c>
      <c r="C176" t="s">
        <v>143</v>
      </c>
      <c r="D176" t="s">
        <v>149</v>
      </c>
      <c r="E176" s="667">
        <v>39135</v>
      </c>
      <c r="F176" t="s">
        <v>15</v>
      </c>
      <c r="G176" t="s">
        <v>16</v>
      </c>
      <c r="H176" t="s">
        <v>96</v>
      </c>
      <c r="I176" t="s">
        <v>68</v>
      </c>
      <c r="J176" t="s">
        <v>154</v>
      </c>
      <c r="K176" t="s">
        <v>22</v>
      </c>
    </row>
    <row r="177" spans="1:11" x14ac:dyDescent="0.2">
      <c r="A177" t="s">
        <v>142</v>
      </c>
      <c r="B177">
        <v>764789</v>
      </c>
      <c r="C177" t="s">
        <v>143</v>
      </c>
      <c r="D177" t="s">
        <v>144</v>
      </c>
      <c r="E177" s="667">
        <v>45243</v>
      </c>
      <c r="F177" t="s">
        <v>15</v>
      </c>
      <c r="G177" t="s">
        <v>16</v>
      </c>
      <c r="H177" t="s">
        <v>96</v>
      </c>
      <c r="I177" t="s">
        <v>38</v>
      </c>
      <c r="J177" t="s">
        <v>155</v>
      </c>
      <c r="K177" t="s">
        <v>19</v>
      </c>
    </row>
    <row r="178" spans="1:11" x14ac:dyDescent="0.2">
      <c r="A178" t="s">
        <v>142</v>
      </c>
      <c r="B178">
        <v>718471</v>
      </c>
      <c r="C178" t="s">
        <v>143</v>
      </c>
      <c r="D178" t="s">
        <v>156</v>
      </c>
      <c r="E178" s="667">
        <v>44842</v>
      </c>
      <c r="F178" t="s">
        <v>15</v>
      </c>
      <c r="G178" t="s">
        <v>16</v>
      </c>
      <c r="H178" t="s">
        <v>96</v>
      </c>
      <c r="I178" t="s">
        <v>157</v>
      </c>
      <c r="J178" t="s">
        <v>158</v>
      </c>
      <c r="K178" t="s">
        <v>19</v>
      </c>
    </row>
    <row r="179" spans="1:11" x14ac:dyDescent="0.2">
      <c r="A179" t="s">
        <v>142</v>
      </c>
      <c r="B179">
        <v>749798</v>
      </c>
      <c r="C179" t="s">
        <v>143</v>
      </c>
      <c r="D179" t="s">
        <v>149</v>
      </c>
      <c r="E179" s="667">
        <v>44988</v>
      </c>
      <c r="F179" t="s">
        <v>145</v>
      </c>
      <c r="G179" t="s">
        <v>16</v>
      </c>
      <c r="H179" t="s">
        <v>96</v>
      </c>
      <c r="I179" t="s">
        <v>75</v>
      </c>
      <c r="J179" t="s">
        <v>17</v>
      </c>
      <c r="K179" t="s">
        <v>22</v>
      </c>
    </row>
    <row r="180" spans="1:11" x14ac:dyDescent="0.2">
      <c r="A180" t="s">
        <v>142</v>
      </c>
      <c r="B180">
        <v>190121</v>
      </c>
      <c r="C180" t="s">
        <v>143</v>
      </c>
      <c r="D180" t="s">
        <v>159</v>
      </c>
      <c r="E180" s="667">
        <v>38810</v>
      </c>
      <c r="F180" t="s">
        <v>147</v>
      </c>
      <c r="G180" t="s">
        <v>16</v>
      </c>
      <c r="H180" t="s">
        <v>148</v>
      </c>
      <c r="I180" t="s">
        <v>75</v>
      </c>
      <c r="J180">
        <v>186.1</v>
      </c>
      <c r="K180" t="s">
        <v>22</v>
      </c>
    </row>
    <row r="181" spans="1:11" x14ac:dyDescent="0.2">
      <c r="A181" t="s">
        <v>142</v>
      </c>
      <c r="B181">
        <v>632510</v>
      </c>
      <c r="C181" t="s">
        <v>143</v>
      </c>
      <c r="D181" t="s">
        <v>160</v>
      </c>
      <c r="E181" s="667">
        <v>43804</v>
      </c>
      <c r="F181" t="s">
        <v>145</v>
      </c>
      <c r="G181" t="s">
        <v>16</v>
      </c>
      <c r="H181" t="s">
        <v>96</v>
      </c>
      <c r="I181" t="s">
        <v>41</v>
      </c>
      <c r="J181" t="s">
        <v>17</v>
      </c>
      <c r="K181" t="s">
        <v>19</v>
      </c>
    </row>
    <row r="182" spans="1:11" x14ac:dyDescent="0.2">
      <c r="A182" t="s">
        <v>142</v>
      </c>
      <c r="B182">
        <v>701116</v>
      </c>
      <c r="C182" t="s">
        <v>143</v>
      </c>
      <c r="D182" t="s">
        <v>149</v>
      </c>
      <c r="E182" s="667">
        <v>44477</v>
      </c>
      <c r="F182" t="s">
        <v>145</v>
      </c>
      <c r="G182" t="s">
        <v>16</v>
      </c>
      <c r="H182" t="s">
        <v>96</v>
      </c>
      <c r="I182" t="s">
        <v>74</v>
      </c>
      <c r="J182" t="s">
        <v>17</v>
      </c>
      <c r="K182" t="s">
        <v>19</v>
      </c>
    </row>
    <row r="183" spans="1:11" x14ac:dyDescent="0.2">
      <c r="A183" t="s">
        <v>142</v>
      </c>
      <c r="B183">
        <v>981906</v>
      </c>
      <c r="C183" t="s">
        <v>143</v>
      </c>
      <c r="D183" t="s">
        <v>156</v>
      </c>
      <c r="E183" s="667">
        <v>44899</v>
      </c>
      <c r="F183" t="s">
        <v>145</v>
      </c>
      <c r="G183" t="s">
        <v>16</v>
      </c>
      <c r="H183" t="s">
        <v>96</v>
      </c>
      <c r="I183" t="s">
        <v>59</v>
      </c>
      <c r="J183" t="s">
        <v>17</v>
      </c>
      <c r="K183" t="s">
        <v>19</v>
      </c>
    </row>
    <row r="184" spans="1:11" x14ac:dyDescent="0.2">
      <c r="A184" t="s">
        <v>142</v>
      </c>
      <c r="B184">
        <v>253519</v>
      </c>
      <c r="C184" t="s">
        <v>143</v>
      </c>
      <c r="D184" t="s">
        <v>159</v>
      </c>
      <c r="E184" s="667">
        <v>39476</v>
      </c>
      <c r="F184" t="s">
        <v>147</v>
      </c>
      <c r="G184" t="s">
        <v>16</v>
      </c>
      <c r="H184" t="s">
        <v>96</v>
      </c>
      <c r="I184" t="s">
        <v>43</v>
      </c>
      <c r="J184">
        <v>1235242</v>
      </c>
      <c r="K184" t="s">
        <v>19</v>
      </c>
    </row>
    <row r="185" spans="1:11" x14ac:dyDescent="0.2">
      <c r="A185" t="s">
        <v>142</v>
      </c>
      <c r="B185">
        <v>269314</v>
      </c>
      <c r="C185" t="s">
        <v>143</v>
      </c>
      <c r="D185" t="s">
        <v>149</v>
      </c>
      <c r="E185" s="667">
        <v>39304</v>
      </c>
      <c r="F185" t="s">
        <v>147</v>
      </c>
      <c r="G185" t="s">
        <v>16</v>
      </c>
      <c r="H185" t="s">
        <v>96</v>
      </c>
      <c r="I185" t="s">
        <v>68</v>
      </c>
      <c r="J185" t="s">
        <v>23</v>
      </c>
      <c r="K185" t="s">
        <v>22</v>
      </c>
    </row>
    <row r="186" spans="1:11" x14ac:dyDescent="0.2">
      <c r="A186" t="s">
        <v>142</v>
      </c>
      <c r="B186">
        <v>744472</v>
      </c>
      <c r="C186" t="s">
        <v>143</v>
      </c>
      <c r="D186" t="s">
        <v>149</v>
      </c>
      <c r="E186" s="667">
        <v>44907</v>
      </c>
      <c r="F186" t="s">
        <v>15</v>
      </c>
      <c r="G186" t="s">
        <v>16</v>
      </c>
      <c r="H186" t="s">
        <v>96</v>
      </c>
      <c r="I186" t="s">
        <v>43</v>
      </c>
      <c r="J186">
        <v>723.9</v>
      </c>
      <c r="K186" t="s">
        <v>19</v>
      </c>
    </row>
    <row r="187" spans="1:11" x14ac:dyDescent="0.2">
      <c r="A187" t="s">
        <v>142</v>
      </c>
      <c r="B187">
        <v>701108</v>
      </c>
      <c r="C187" t="s">
        <v>143</v>
      </c>
      <c r="D187" t="s">
        <v>144</v>
      </c>
      <c r="E187" s="667">
        <v>44497</v>
      </c>
      <c r="F187" t="s">
        <v>145</v>
      </c>
      <c r="G187" t="s">
        <v>16</v>
      </c>
      <c r="H187" t="s">
        <v>96</v>
      </c>
      <c r="I187" t="s">
        <v>41</v>
      </c>
      <c r="J187" t="s">
        <v>161</v>
      </c>
      <c r="K187" t="s">
        <v>19</v>
      </c>
    </row>
    <row r="188" spans="1:11" x14ac:dyDescent="0.2">
      <c r="A188" t="s">
        <v>142</v>
      </c>
      <c r="B188">
        <v>597928</v>
      </c>
      <c r="C188" t="s">
        <v>143</v>
      </c>
      <c r="D188" t="s">
        <v>144</v>
      </c>
      <c r="E188" s="667">
        <v>43333</v>
      </c>
      <c r="F188" t="s">
        <v>145</v>
      </c>
      <c r="G188" t="s">
        <v>16</v>
      </c>
      <c r="H188" t="s">
        <v>96</v>
      </c>
      <c r="I188" t="s">
        <v>41</v>
      </c>
      <c r="J188" t="s">
        <v>17</v>
      </c>
      <c r="K188" t="s">
        <v>24</v>
      </c>
    </row>
    <row r="189" spans="1:11" x14ac:dyDescent="0.2">
      <c r="A189" t="s">
        <v>142</v>
      </c>
      <c r="B189">
        <v>271844</v>
      </c>
      <c r="C189" t="s">
        <v>143</v>
      </c>
      <c r="D189" t="s">
        <v>159</v>
      </c>
      <c r="E189" s="667">
        <v>39433</v>
      </c>
      <c r="F189" t="s">
        <v>147</v>
      </c>
      <c r="G189" t="s">
        <v>16</v>
      </c>
      <c r="H189" t="s">
        <v>96</v>
      </c>
      <c r="I189" t="s">
        <v>38</v>
      </c>
      <c r="J189" t="s">
        <v>23</v>
      </c>
      <c r="K189" t="s">
        <v>19</v>
      </c>
    </row>
    <row r="190" spans="1:11" x14ac:dyDescent="0.2">
      <c r="A190" t="s">
        <v>142</v>
      </c>
      <c r="B190">
        <v>55135</v>
      </c>
      <c r="C190" t="s">
        <v>143</v>
      </c>
      <c r="D190" t="s">
        <v>149</v>
      </c>
      <c r="E190" s="667">
        <v>37575</v>
      </c>
      <c r="F190" t="s">
        <v>15</v>
      </c>
      <c r="G190" t="s">
        <v>16</v>
      </c>
      <c r="H190" t="s">
        <v>96</v>
      </c>
      <c r="I190" t="s">
        <v>59</v>
      </c>
      <c r="J190" t="s">
        <v>23</v>
      </c>
      <c r="K190" t="s">
        <v>19</v>
      </c>
    </row>
    <row r="191" spans="1:11" x14ac:dyDescent="0.2">
      <c r="A191" t="s">
        <v>142</v>
      </c>
      <c r="B191">
        <v>289508</v>
      </c>
      <c r="C191" t="s">
        <v>143</v>
      </c>
      <c r="D191" t="s">
        <v>159</v>
      </c>
      <c r="E191" s="667">
        <v>39279</v>
      </c>
      <c r="F191" t="s">
        <v>147</v>
      </c>
      <c r="G191" t="s">
        <v>16</v>
      </c>
      <c r="H191" t="s">
        <v>148</v>
      </c>
      <c r="I191" t="s">
        <v>18</v>
      </c>
      <c r="J191">
        <v>234.2</v>
      </c>
      <c r="K191" t="s">
        <v>19</v>
      </c>
    </row>
    <row r="192" spans="1:11" x14ac:dyDescent="0.2">
      <c r="A192" t="s">
        <v>142</v>
      </c>
      <c r="B192">
        <v>557345</v>
      </c>
      <c r="C192" t="s">
        <v>143</v>
      </c>
      <c r="D192" t="s">
        <v>162</v>
      </c>
      <c r="E192" s="667">
        <v>42850</v>
      </c>
      <c r="F192" t="s">
        <v>15</v>
      </c>
      <c r="G192" t="s">
        <v>16</v>
      </c>
      <c r="H192" t="s">
        <v>148</v>
      </c>
      <c r="I192" t="s">
        <v>46</v>
      </c>
      <c r="J192">
        <v>321.16000000000003</v>
      </c>
      <c r="K192" t="s">
        <v>19</v>
      </c>
    </row>
    <row r="193" spans="1:11" x14ac:dyDescent="0.2">
      <c r="A193" t="s">
        <v>142</v>
      </c>
      <c r="B193">
        <v>742520</v>
      </c>
      <c r="C193" t="s">
        <v>143</v>
      </c>
      <c r="D193" t="s">
        <v>144</v>
      </c>
      <c r="E193" s="667">
        <v>43315</v>
      </c>
      <c r="F193" t="s">
        <v>15</v>
      </c>
      <c r="G193" t="s">
        <v>16</v>
      </c>
      <c r="H193" t="s">
        <v>163</v>
      </c>
      <c r="I193" t="s">
        <v>68</v>
      </c>
      <c r="J193" t="s">
        <v>164</v>
      </c>
      <c r="K193" t="s">
        <v>19</v>
      </c>
    </row>
    <row r="194" spans="1:11" x14ac:dyDescent="0.2">
      <c r="A194" t="s">
        <v>142</v>
      </c>
      <c r="B194">
        <v>731366</v>
      </c>
      <c r="C194" t="s">
        <v>143</v>
      </c>
      <c r="D194" t="s">
        <v>144</v>
      </c>
      <c r="E194" s="667">
        <v>45231</v>
      </c>
      <c r="F194" t="s">
        <v>15</v>
      </c>
      <c r="G194" t="s">
        <v>16</v>
      </c>
      <c r="H194" t="s">
        <v>148</v>
      </c>
      <c r="I194" t="s">
        <v>68</v>
      </c>
      <c r="J194" t="s">
        <v>165</v>
      </c>
      <c r="K194" t="s">
        <v>19</v>
      </c>
    </row>
    <row r="195" spans="1:11" x14ac:dyDescent="0.2">
      <c r="A195" t="s">
        <v>142</v>
      </c>
      <c r="B195">
        <v>539060</v>
      </c>
      <c r="C195" t="s">
        <v>143</v>
      </c>
      <c r="D195" t="s">
        <v>166</v>
      </c>
      <c r="E195" s="667">
        <v>42472</v>
      </c>
      <c r="F195" t="s">
        <v>145</v>
      </c>
      <c r="G195" t="s">
        <v>16</v>
      </c>
      <c r="H195" t="s">
        <v>148</v>
      </c>
      <c r="I195" t="s">
        <v>41</v>
      </c>
      <c r="J195" t="s">
        <v>23</v>
      </c>
      <c r="K195" t="s">
        <v>19</v>
      </c>
    </row>
    <row r="196" spans="1:11" x14ac:dyDescent="0.2">
      <c r="A196" t="s">
        <v>142</v>
      </c>
      <c r="B196">
        <v>363971</v>
      </c>
      <c r="C196" t="s">
        <v>143</v>
      </c>
      <c r="D196" t="s">
        <v>166</v>
      </c>
      <c r="E196" s="667">
        <v>40647</v>
      </c>
      <c r="F196" t="s">
        <v>145</v>
      </c>
      <c r="G196" t="s">
        <v>16</v>
      </c>
      <c r="H196" t="s">
        <v>148</v>
      </c>
      <c r="I196" t="s">
        <v>167</v>
      </c>
      <c r="J196" t="s">
        <v>23</v>
      </c>
      <c r="K196" t="s">
        <v>19</v>
      </c>
    </row>
    <row r="197" spans="1:11" x14ac:dyDescent="0.2">
      <c r="A197" t="s">
        <v>142</v>
      </c>
      <c r="B197">
        <v>347764</v>
      </c>
      <c r="C197" t="s">
        <v>143</v>
      </c>
      <c r="D197" t="s">
        <v>159</v>
      </c>
      <c r="E197" s="667">
        <v>40120</v>
      </c>
      <c r="F197" t="s">
        <v>147</v>
      </c>
      <c r="G197" t="s">
        <v>16</v>
      </c>
      <c r="H197" t="s">
        <v>96</v>
      </c>
      <c r="I197" t="s">
        <v>41</v>
      </c>
      <c r="J197" t="s">
        <v>23</v>
      </c>
      <c r="K197" t="s">
        <v>22</v>
      </c>
    </row>
    <row r="198" spans="1:11" x14ac:dyDescent="0.2">
      <c r="A198" t="s">
        <v>142</v>
      </c>
      <c r="B198">
        <v>792124</v>
      </c>
      <c r="C198" t="s">
        <v>143</v>
      </c>
      <c r="D198" t="s">
        <v>144</v>
      </c>
      <c r="E198" s="667">
        <v>45348</v>
      </c>
      <c r="F198" t="s">
        <v>15</v>
      </c>
      <c r="G198" t="s">
        <v>16</v>
      </c>
      <c r="H198" t="s">
        <v>96</v>
      </c>
      <c r="I198" t="s">
        <v>46</v>
      </c>
      <c r="J198" t="s">
        <v>168</v>
      </c>
      <c r="K198" t="s">
        <v>19</v>
      </c>
    </row>
    <row r="199" spans="1:11" x14ac:dyDescent="0.2">
      <c r="A199" t="s">
        <v>142</v>
      </c>
      <c r="B199">
        <v>744464</v>
      </c>
      <c r="C199" t="s">
        <v>143</v>
      </c>
      <c r="D199" t="s">
        <v>149</v>
      </c>
      <c r="E199" s="667">
        <v>44572</v>
      </c>
      <c r="F199" t="s">
        <v>15</v>
      </c>
      <c r="G199" t="s">
        <v>16</v>
      </c>
      <c r="H199" t="s">
        <v>96</v>
      </c>
      <c r="I199" t="s">
        <v>157</v>
      </c>
      <c r="J199">
        <v>417.54</v>
      </c>
      <c r="K199" t="s">
        <v>19</v>
      </c>
    </row>
    <row r="200" spans="1:11" x14ac:dyDescent="0.2">
      <c r="A200" t="s">
        <v>142</v>
      </c>
      <c r="B200">
        <v>750162</v>
      </c>
      <c r="C200" t="s">
        <v>143</v>
      </c>
      <c r="D200" t="s">
        <v>149</v>
      </c>
      <c r="E200" s="667">
        <v>40413</v>
      </c>
      <c r="F200" t="s">
        <v>147</v>
      </c>
      <c r="G200" t="s">
        <v>16</v>
      </c>
      <c r="H200" t="s">
        <v>96</v>
      </c>
      <c r="I200" t="s">
        <v>59</v>
      </c>
      <c r="J200" t="s">
        <v>169</v>
      </c>
      <c r="K200" t="s">
        <v>19</v>
      </c>
    </row>
    <row r="201" spans="1:11" x14ac:dyDescent="0.2">
      <c r="A201" t="s">
        <v>142</v>
      </c>
      <c r="B201">
        <v>635511</v>
      </c>
      <c r="C201" t="s">
        <v>143</v>
      </c>
      <c r="D201" t="s">
        <v>166</v>
      </c>
      <c r="E201" s="667">
        <v>43795</v>
      </c>
      <c r="F201" t="s">
        <v>145</v>
      </c>
      <c r="G201" t="s">
        <v>16</v>
      </c>
      <c r="H201" t="s">
        <v>148</v>
      </c>
      <c r="I201" t="s">
        <v>170</v>
      </c>
      <c r="J201" t="s">
        <v>17</v>
      </c>
      <c r="K201" t="s">
        <v>19</v>
      </c>
    </row>
    <row r="202" spans="1:11" x14ac:dyDescent="0.2">
      <c r="A202" t="s">
        <v>142</v>
      </c>
      <c r="B202">
        <v>534654</v>
      </c>
      <c r="C202" t="s">
        <v>143</v>
      </c>
      <c r="D202" t="s">
        <v>166</v>
      </c>
      <c r="E202" s="667">
        <v>42573</v>
      </c>
      <c r="F202" t="s">
        <v>145</v>
      </c>
      <c r="G202" t="s">
        <v>16</v>
      </c>
      <c r="H202" t="s">
        <v>148</v>
      </c>
      <c r="I202" t="s">
        <v>75</v>
      </c>
      <c r="J202" t="s">
        <v>23</v>
      </c>
      <c r="K202" t="s">
        <v>19</v>
      </c>
    </row>
    <row r="203" spans="1:11" x14ac:dyDescent="0.2">
      <c r="A203" t="s">
        <v>142</v>
      </c>
      <c r="B203">
        <v>582144</v>
      </c>
      <c r="C203" t="s">
        <v>143</v>
      </c>
      <c r="D203" t="s">
        <v>166</v>
      </c>
      <c r="E203" s="667">
        <v>43347</v>
      </c>
      <c r="F203" t="s">
        <v>145</v>
      </c>
      <c r="G203" t="s">
        <v>16</v>
      </c>
      <c r="H203" t="s">
        <v>148</v>
      </c>
      <c r="I203" t="s">
        <v>51</v>
      </c>
      <c r="J203" t="s">
        <v>171</v>
      </c>
      <c r="K203" t="s">
        <v>19</v>
      </c>
    </row>
    <row r="204" spans="1:11" x14ac:dyDescent="0.2">
      <c r="A204" t="s">
        <v>142</v>
      </c>
      <c r="B204">
        <v>793476</v>
      </c>
      <c r="C204" t="s">
        <v>143</v>
      </c>
      <c r="D204" t="s">
        <v>144</v>
      </c>
      <c r="E204" s="667">
        <v>45355</v>
      </c>
      <c r="F204" t="s">
        <v>15</v>
      </c>
      <c r="G204" t="s">
        <v>16</v>
      </c>
      <c r="H204" t="s">
        <v>96</v>
      </c>
      <c r="I204" t="s">
        <v>38</v>
      </c>
      <c r="J204" t="s">
        <v>172</v>
      </c>
      <c r="K204" t="s">
        <v>19</v>
      </c>
    </row>
    <row r="205" spans="1:11" x14ac:dyDescent="0.2">
      <c r="A205" t="s">
        <v>142</v>
      </c>
      <c r="B205">
        <v>561413</v>
      </c>
      <c r="C205" t="s">
        <v>143</v>
      </c>
      <c r="D205" t="s">
        <v>173</v>
      </c>
      <c r="E205" s="667">
        <v>42613</v>
      </c>
      <c r="F205" t="s">
        <v>145</v>
      </c>
      <c r="G205" t="s">
        <v>16</v>
      </c>
      <c r="H205" t="s">
        <v>148</v>
      </c>
      <c r="I205" t="s">
        <v>174</v>
      </c>
      <c r="J205" t="s">
        <v>23</v>
      </c>
      <c r="K205" t="s">
        <v>19</v>
      </c>
    </row>
    <row r="206" spans="1:11" x14ac:dyDescent="0.2">
      <c r="A206" t="s">
        <v>142</v>
      </c>
      <c r="B206">
        <v>534677</v>
      </c>
      <c r="C206" t="s">
        <v>143</v>
      </c>
      <c r="D206" t="s">
        <v>166</v>
      </c>
      <c r="E206" s="667">
        <v>42519</v>
      </c>
      <c r="F206" t="s">
        <v>145</v>
      </c>
      <c r="G206" t="s">
        <v>16</v>
      </c>
      <c r="H206" t="s">
        <v>148</v>
      </c>
      <c r="I206" t="s">
        <v>41</v>
      </c>
      <c r="J206" t="s">
        <v>23</v>
      </c>
      <c r="K206" t="s">
        <v>19</v>
      </c>
    </row>
    <row r="207" spans="1:11" x14ac:dyDescent="0.2">
      <c r="A207" t="s">
        <v>142</v>
      </c>
      <c r="B207" t="s">
        <v>175</v>
      </c>
      <c r="C207" t="s">
        <v>143</v>
      </c>
      <c r="D207" t="s">
        <v>144</v>
      </c>
      <c r="E207" s="667">
        <v>44167</v>
      </c>
      <c r="F207" t="s">
        <v>15</v>
      </c>
      <c r="G207" t="s">
        <v>16</v>
      </c>
      <c r="H207" t="s">
        <v>148</v>
      </c>
      <c r="I207" t="s">
        <v>75</v>
      </c>
      <c r="J207" t="s">
        <v>176</v>
      </c>
      <c r="K207" t="s">
        <v>19</v>
      </c>
    </row>
    <row r="208" spans="1:11" x14ac:dyDescent="0.2">
      <c r="A208" t="s">
        <v>142</v>
      </c>
      <c r="B208">
        <v>541653</v>
      </c>
      <c r="C208" t="s">
        <v>143</v>
      </c>
      <c r="D208" t="s">
        <v>166</v>
      </c>
      <c r="E208" s="667">
        <v>42690</v>
      </c>
      <c r="F208" t="s">
        <v>145</v>
      </c>
      <c r="G208" t="s">
        <v>16</v>
      </c>
      <c r="H208" t="s">
        <v>148</v>
      </c>
      <c r="I208" t="s">
        <v>21</v>
      </c>
      <c r="J208" t="s">
        <v>23</v>
      </c>
      <c r="K208" t="s">
        <v>19</v>
      </c>
    </row>
    <row r="209" spans="1:11" x14ac:dyDescent="0.2">
      <c r="A209" t="s">
        <v>142</v>
      </c>
      <c r="B209">
        <v>534671</v>
      </c>
      <c r="C209" t="s">
        <v>143</v>
      </c>
      <c r="D209" t="s">
        <v>166</v>
      </c>
      <c r="E209" s="667">
        <v>42220</v>
      </c>
      <c r="F209" t="s">
        <v>145</v>
      </c>
      <c r="G209" t="s">
        <v>16</v>
      </c>
      <c r="H209" t="s">
        <v>148</v>
      </c>
      <c r="I209" t="s">
        <v>177</v>
      </c>
      <c r="J209" t="s">
        <v>23</v>
      </c>
      <c r="K209" t="s">
        <v>19</v>
      </c>
    </row>
    <row r="210" spans="1:11" x14ac:dyDescent="0.2">
      <c r="A210" t="s">
        <v>142</v>
      </c>
      <c r="B210">
        <v>673114</v>
      </c>
      <c r="C210" t="s">
        <v>143</v>
      </c>
      <c r="D210" t="s">
        <v>166</v>
      </c>
      <c r="E210" s="667">
        <v>43343</v>
      </c>
      <c r="F210" t="s">
        <v>145</v>
      </c>
      <c r="G210" t="s">
        <v>16</v>
      </c>
      <c r="H210" t="s">
        <v>148</v>
      </c>
      <c r="I210" t="s">
        <v>41</v>
      </c>
      <c r="J210">
        <v>476</v>
      </c>
      <c r="K210" t="s">
        <v>19</v>
      </c>
    </row>
    <row r="211" spans="1:11" x14ac:dyDescent="0.2">
      <c r="A211" t="s">
        <v>142</v>
      </c>
      <c r="B211">
        <v>692782</v>
      </c>
      <c r="C211" t="s">
        <v>143</v>
      </c>
      <c r="D211" t="s">
        <v>159</v>
      </c>
      <c r="E211" s="667">
        <v>44866</v>
      </c>
      <c r="F211" t="s">
        <v>15</v>
      </c>
      <c r="G211" t="s">
        <v>16</v>
      </c>
      <c r="H211" t="s">
        <v>148</v>
      </c>
      <c r="I211" t="s">
        <v>57</v>
      </c>
      <c r="J211">
        <v>32.06</v>
      </c>
      <c r="K211" t="s">
        <v>19</v>
      </c>
    </row>
    <row r="212" spans="1:11" x14ac:dyDescent="0.2">
      <c r="A212" t="s">
        <v>142</v>
      </c>
      <c r="B212">
        <v>679310</v>
      </c>
      <c r="C212" t="s">
        <v>143</v>
      </c>
      <c r="D212" t="s">
        <v>166</v>
      </c>
      <c r="E212" s="667">
        <v>44447</v>
      </c>
      <c r="F212" t="s">
        <v>145</v>
      </c>
      <c r="G212" t="s">
        <v>16</v>
      </c>
      <c r="H212" t="s">
        <v>148</v>
      </c>
      <c r="I212" t="s">
        <v>157</v>
      </c>
      <c r="J212" t="s">
        <v>17</v>
      </c>
      <c r="K212" t="s">
        <v>19</v>
      </c>
    </row>
    <row r="213" spans="1:11" x14ac:dyDescent="0.2">
      <c r="A213" t="s">
        <v>142</v>
      </c>
      <c r="B213">
        <v>255241</v>
      </c>
      <c r="C213" t="s">
        <v>143</v>
      </c>
      <c r="D213" t="s">
        <v>144</v>
      </c>
      <c r="E213" s="667">
        <v>39287</v>
      </c>
      <c r="F213" t="s">
        <v>145</v>
      </c>
      <c r="G213" t="s">
        <v>16</v>
      </c>
      <c r="H213" t="s">
        <v>96</v>
      </c>
      <c r="I213" t="s">
        <v>41</v>
      </c>
      <c r="J213">
        <v>60</v>
      </c>
      <c r="K213" t="s">
        <v>19</v>
      </c>
    </row>
    <row r="214" spans="1:11" x14ac:dyDescent="0.2">
      <c r="A214" t="s">
        <v>142</v>
      </c>
      <c r="B214">
        <v>683132</v>
      </c>
      <c r="C214" t="s">
        <v>143</v>
      </c>
      <c r="D214" t="s">
        <v>166</v>
      </c>
      <c r="E214" s="667">
        <v>44467</v>
      </c>
      <c r="F214" t="s">
        <v>145</v>
      </c>
      <c r="G214" t="s">
        <v>16</v>
      </c>
      <c r="H214" t="s">
        <v>148</v>
      </c>
      <c r="I214" t="s">
        <v>59</v>
      </c>
      <c r="J214" t="s">
        <v>178</v>
      </c>
      <c r="K214" t="s">
        <v>24</v>
      </c>
    </row>
    <row r="215" spans="1:11" x14ac:dyDescent="0.2">
      <c r="A215" t="s">
        <v>142</v>
      </c>
      <c r="B215">
        <v>470618</v>
      </c>
      <c r="C215" t="s">
        <v>143</v>
      </c>
      <c r="D215" t="s">
        <v>166</v>
      </c>
      <c r="E215" s="667">
        <v>41678</v>
      </c>
      <c r="F215" t="s">
        <v>145</v>
      </c>
      <c r="G215" t="s">
        <v>16</v>
      </c>
      <c r="H215" t="s">
        <v>148</v>
      </c>
      <c r="I215" t="s">
        <v>21</v>
      </c>
      <c r="J215" t="s">
        <v>23</v>
      </c>
      <c r="K215" t="s">
        <v>19</v>
      </c>
    </row>
    <row r="216" spans="1:11" x14ac:dyDescent="0.2">
      <c r="A216" t="s">
        <v>142</v>
      </c>
      <c r="B216">
        <v>668910</v>
      </c>
      <c r="C216" t="s">
        <v>143</v>
      </c>
      <c r="D216" t="s">
        <v>179</v>
      </c>
      <c r="E216" s="667">
        <v>43989</v>
      </c>
      <c r="F216" t="s">
        <v>145</v>
      </c>
      <c r="G216" t="s">
        <v>16</v>
      </c>
      <c r="H216" t="s">
        <v>148</v>
      </c>
      <c r="I216" t="s">
        <v>59</v>
      </c>
      <c r="J216" t="s">
        <v>17</v>
      </c>
      <c r="K216" t="s">
        <v>19</v>
      </c>
    </row>
    <row r="217" spans="1:11" x14ac:dyDescent="0.2">
      <c r="A217" t="s">
        <v>142</v>
      </c>
      <c r="B217">
        <v>546196</v>
      </c>
      <c r="C217" t="s">
        <v>143</v>
      </c>
      <c r="D217" t="s">
        <v>149</v>
      </c>
      <c r="E217" s="667">
        <v>40659</v>
      </c>
      <c r="F217" t="s">
        <v>147</v>
      </c>
      <c r="G217" t="s">
        <v>16</v>
      </c>
      <c r="H217" t="s">
        <v>180</v>
      </c>
      <c r="I217" t="s">
        <v>17</v>
      </c>
      <c r="J217" t="s">
        <v>23</v>
      </c>
      <c r="K217" t="s">
        <v>19</v>
      </c>
    </row>
    <row r="218" spans="1:11" x14ac:dyDescent="0.2">
      <c r="A218" t="s">
        <v>142</v>
      </c>
      <c r="B218">
        <v>701137</v>
      </c>
      <c r="C218" t="s">
        <v>143</v>
      </c>
      <c r="D218" t="s">
        <v>144</v>
      </c>
      <c r="E218" s="667">
        <v>44597</v>
      </c>
      <c r="F218" t="s">
        <v>15</v>
      </c>
      <c r="G218" t="s">
        <v>16</v>
      </c>
      <c r="H218" t="s">
        <v>96</v>
      </c>
      <c r="I218" t="s">
        <v>157</v>
      </c>
      <c r="J218" t="s">
        <v>181</v>
      </c>
      <c r="K218" t="s">
        <v>19</v>
      </c>
    </row>
    <row r="219" spans="1:11" x14ac:dyDescent="0.2">
      <c r="A219" t="s">
        <v>142</v>
      </c>
      <c r="B219">
        <v>660780</v>
      </c>
      <c r="C219" t="s">
        <v>143</v>
      </c>
      <c r="D219" t="s">
        <v>149</v>
      </c>
      <c r="E219" s="667">
        <v>41261</v>
      </c>
      <c r="F219" t="s">
        <v>147</v>
      </c>
      <c r="G219" t="s">
        <v>16</v>
      </c>
      <c r="H219" t="s">
        <v>96</v>
      </c>
      <c r="I219" t="s">
        <v>59</v>
      </c>
      <c r="J219" t="s">
        <v>182</v>
      </c>
      <c r="K219" t="s">
        <v>22</v>
      </c>
    </row>
    <row r="220" spans="1:11" x14ac:dyDescent="0.2">
      <c r="A220" t="s">
        <v>142</v>
      </c>
      <c r="B220">
        <v>650110</v>
      </c>
      <c r="C220" t="s">
        <v>143</v>
      </c>
      <c r="D220" t="s">
        <v>149</v>
      </c>
      <c r="E220" s="667">
        <v>41753</v>
      </c>
      <c r="F220" t="s">
        <v>147</v>
      </c>
      <c r="G220" t="s">
        <v>16</v>
      </c>
      <c r="H220" t="s">
        <v>96</v>
      </c>
      <c r="I220" t="s">
        <v>51</v>
      </c>
      <c r="J220" t="s">
        <v>183</v>
      </c>
      <c r="K220" t="s">
        <v>19</v>
      </c>
    </row>
    <row r="221" spans="1:11" x14ac:dyDescent="0.2">
      <c r="A221" t="s">
        <v>142</v>
      </c>
      <c r="B221">
        <v>455749</v>
      </c>
      <c r="C221" t="s">
        <v>143</v>
      </c>
      <c r="D221" t="s">
        <v>149</v>
      </c>
      <c r="E221" s="667">
        <v>41779</v>
      </c>
      <c r="F221" t="s">
        <v>147</v>
      </c>
      <c r="G221" t="s">
        <v>16</v>
      </c>
      <c r="H221" t="s">
        <v>96</v>
      </c>
      <c r="I221" t="s">
        <v>18</v>
      </c>
      <c r="J221">
        <v>5760</v>
      </c>
      <c r="K221" t="s">
        <v>19</v>
      </c>
    </row>
    <row r="222" spans="1:11" x14ac:dyDescent="0.2">
      <c r="A222" t="s">
        <v>142</v>
      </c>
      <c r="B222">
        <v>593130</v>
      </c>
      <c r="C222" t="s">
        <v>143</v>
      </c>
      <c r="D222" t="s">
        <v>159</v>
      </c>
      <c r="E222" s="667">
        <v>42914</v>
      </c>
      <c r="F222" t="s">
        <v>147</v>
      </c>
      <c r="G222" t="s">
        <v>16</v>
      </c>
      <c r="H222" t="s">
        <v>17</v>
      </c>
      <c r="I222" t="s">
        <v>17</v>
      </c>
      <c r="J222" t="s">
        <v>17</v>
      </c>
      <c r="K222" t="s">
        <v>19</v>
      </c>
    </row>
    <row r="223" spans="1:11" x14ac:dyDescent="0.2">
      <c r="A223" t="s">
        <v>142</v>
      </c>
      <c r="B223" t="s">
        <v>184</v>
      </c>
      <c r="C223" t="s">
        <v>143</v>
      </c>
      <c r="D223" t="s">
        <v>149</v>
      </c>
      <c r="E223" s="667">
        <v>43509</v>
      </c>
      <c r="F223" t="s">
        <v>145</v>
      </c>
      <c r="G223" t="s">
        <v>16</v>
      </c>
      <c r="H223" t="s">
        <v>96</v>
      </c>
      <c r="I223" t="s">
        <v>157</v>
      </c>
      <c r="J223" t="s">
        <v>17</v>
      </c>
      <c r="K223" t="s">
        <v>24</v>
      </c>
    </row>
    <row r="224" spans="1:11" x14ac:dyDescent="0.2">
      <c r="A224" t="s">
        <v>142</v>
      </c>
      <c r="B224">
        <v>651297</v>
      </c>
      <c r="C224" t="s">
        <v>143</v>
      </c>
      <c r="D224" t="s">
        <v>149</v>
      </c>
      <c r="E224" s="667">
        <v>43672</v>
      </c>
      <c r="F224" t="s">
        <v>15</v>
      </c>
      <c r="G224" t="s">
        <v>16</v>
      </c>
      <c r="H224" t="s">
        <v>185</v>
      </c>
      <c r="I224" t="s">
        <v>157</v>
      </c>
      <c r="K224" t="s">
        <v>19</v>
      </c>
    </row>
    <row r="225" spans="1:11" x14ac:dyDescent="0.2">
      <c r="A225" t="s">
        <v>142</v>
      </c>
      <c r="B225">
        <v>334329</v>
      </c>
      <c r="C225" t="s">
        <v>143</v>
      </c>
      <c r="D225" t="s">
        <v>186</v>
      </c>
      <c r="E225" s="667">
        <v>32912</v>
      </c>
      <c r="F225" t="s">
        <v>145</v>
      </c>
      <c r="G225" t="s">
        <v>16</v>
      </c>
      <c r="H225" t="s">
        <v>180</v>
      </c>
      <c r="I225" t="s">
        <v>187</v>
      </c>
      <c r="J225" t="s">
        <v>23</v>
      </c>
      <c r="K225" t="s">
        <v>188</v>
      </c>
    </row>
    <row r="226" spans="1:11" x14ac:dyDescent="0.2">
      <c r="A226" t="s">
        <v>142</v>
      </c>
      <c r="B226">
        <v>600630</v>
      </c>
      <c r="C226" t="s">
        <v>143</v>
      </c>
      <c r="D226" t="s">
        <v>189</v>
      </c>
      <c r="E226" s="667">
        <v>43609</v>
      </c>
      <c r="F226" t="s">
        <v>15</v>
      </c>
      <c r="G226" t="s">
        <v>16</v>
      </c>
      <c r="H226" t="s">
        <v>96</v>
      </c>
      <c r="I226" t="s">
        <v>85</v>
      </c>
      <c r="J226">
        <v>44650</v>
      </c>
      <c r="K226" t="s">
        <v>19</v>
      </c>
    </row>
    <row r="227" spans="1:11" x14ac:dyDescent="0.2">
      <c r="A227" t="s">
        <v>142</v>
      </c>
      <c r="B227">
        <v>664511</v>
      </c>
      <c r="C227" t="s">
        <v>143</v>
      </c>
      <c r="D227" t="s">
        <v>149</v>
      </c>
      <c r="E227" s="667">
        <v>44221</v>
      </c>
      <c r="F227" t="s">
        <v>145</v>
      </c>
      <c r="G227" t="s">
        <v>16</v>
      </c>
      <c r="H227" t="s">
        <v>96</v>
      </c>
      <c r="I227" t="s">
        <v>157</v>
      </c>
      <c r="J227" t="s">
        <v>17</v>
      </c>
      <c r="K227" t="s">
        <v>19</v>
      </c>
    </row>
    <row r="228" spans="1:11" x14ac:dyDescent="0.2">
      <c r="A228" t="s">
        <v>142</v>
      </c>
      <c r="B228">
        <v>546199</v>
      </c>
      <c r="C228" t="s">
        <v>143</v>
      </c>
      <c r="D228" t="s">
        <v>149</v>
      </c>
      <c r="E228" s="667">
        <v>42128</v>
      </c>
      <c r="F228" t="s">
        <v>147</v>
      </c>
      <c r="G228" t="s">
        <v>16</v>
      </c>
      <c r="H228" t="s">
        <v>96</v>
      </c>
      <c r="I228" t="s">
        <v>68</v>
      </c>
      <c r="J228" t="s">
        <v>190</v>
      </c>
      <c r="K228" t="s">
        <v>19</v>
      </c>
    </row>
    <row r="229" spans="1:11" x14ac:dyDescent="0.2">
      <c r="A229" t="s">
        <v>142</v>
      </c>
      <c r="B229">
        <v>561539</v>
      </c>
      <c r="C229" t="s">
        <v>143</v>
      </c>
      <c r="D229" t="s">
        <v>149</v>
      </c>
      <c r="E229" s="667">
        <v>42005</v>
      </c>
      <c r="F229" t="s">
        <v>147</v>
      </c>
      <c r="G229" t="s">
        <v>16</v>
      </c>
      <c r="H229" t="s">
        <v>96</v>
      </c>
      <c r="I229" t="s">
        <v>59</v>
      </c>
      <c r="J229">
        <v>3465</v>
      </c>
      <c r="K229" t="s">
        <v>19</v>
      </c>
    </row>
    <row r="230" spans="1:11" x14ac:dyDescent="0.2">
      <c r="A230" t="s">
        <v>142</v>
      </c>
      <c r="B230">
        <v>744079</v>
      </c>
      <c r="C230" t="s">
        <v>143</v>
      </c>
      <c r="D230" t="s">
        <v>144</v>
      </c>
      <c r="E230" s="667">
        <v>45051</v>
      </c>
      <c r="F230" t="s">
        <v>145</v>
      </c>
      <c r="G230" t="s">
        <v>16</v>
      </c>
      <c r="H230" t="s">
        <v>96</v>
      </c>
      <c r="I230" t="s">
        <v>41</v>
      </c>
      <c r="J230" t="s">
        <v>17</v>
      </c>
      <c r="K230" t="s">
        <v>19</v>
      </c>
    </row>
    <row r="231" spans="1:11" x14ac:dyDescent="0.2">
      <c r="A231" t="s">
        <v>142</v>
      </c>
      <c r="B231">
        <v>792124</v>
      </c>
      <c r="C231" t="s">
        <v>143</v>
      </c>
      <c r="D231" t="s">
        <v>144</v>
      </c>
      <c r="E231" s="667">
        <v>45061</v>
      </c>
      <c r="F231" t="s">
        <v>145</v>
      </c>
      <c r="G231" t="s">
        <v>16</v>
      </c>
      <c r="H231" t="s">
        <v>96</v>
      </c>
      <c r="I231" t="s">
        <v>41</v>
      </c>
      <c r="J231" t="s">
        <v>17</v>
      </c>
      <c r="K231" t="s">
        <v>19</v>
      </c>
    </row>
    <row r="232" spans="1:11" x14ac:dyDescent="0.2">
      <c r="A232" t="s">
        <v>142</v>
      </c>
      <c r="B232">
        <v>334865</v>
      </c>
      <c r="C232" t="s">
        <v>143</v>
      </c>
      <c r="D232" t="s">
        <v>144</v>
      </c>
      <c r="E232" s="667">
        <v>40456</v>
      </c>
      <c r="F232" t="s">
        <v>15</v>
      </c>
      <c r="G232" t="s">
        <v>16</v>
      </c>
      <c r="H232" t="s">
        <v>191</v>
      </c>
      <c r="I232" t="s">
        <v>68</v>
      </c>
      <c r="J232">
        <v>2789.44</v>
      </c>
      <c r="K232" t="s">
        <v>22</v>
      </c>
    </row>
    <row r="233" spans="1:11" x14ac:dyDescent="0.2">
      <c r="A233" t="s">
        <v>142</v>
      </c>
      <c r="B233">
        <v>565560</v>
      </c>
      <c r="C233" t="s">
        <v>143</v>
      </c>
      <c r="D233" t="s">
        <v>149</v>
      </c>
      <c r="E233" s="667">
        <v>42272</v>
      </c>
      <c r="F233" t="s">
        <v>147</v>
      </c>
      <c r="G233" t="s">
        <v>16</v>
      </c>
      <c r="H233" t="s">
        <v>96</v>
      </c>
      <c r="I233" t="s">
        <v>43</v>
      </c>
      <c r="J233" t="s">
        <v>192</v>
      </c>
      <c r="K233" t="s">
        <v>22</v>
      </c>
    </row>
    <row r="234" spans="1:11" x14ac:dyDescent="0.2">
      <c r="A234" t="s">
        <v>142</v>
      </c>
      <c r="B234">
        <v>747488</v>
      </c>
      <c r="C234" t="s">
        <v>143</v>
      </c>
      <c r="D234" t="s">
        <v>159</v>
      </c>
      <c r="E234" s="667">
        <v>42149</v>
      </c>
      <c r="F234" t="s">
        <v>147</v>
      </c>
      <c r="G234" t="s">
        <v>16</v>
      </c>
      <c r="H234" t="s">
        <v>180</v>
      </c>
      <c r="I234" t="s">
        <v>17</v>
      </c>
      <c r="J234" t="s">
        <v>23</v>
      </c>
      <c r="K234" t="s">
        <v>19</v>
      </c>
    </row>
    <row r="235" spans="1:11" x14ac:dyDescent="0.2">
      <c r="A235" t="s">
        <v>142</v>
      </c>
      <c r="B235">
        <v>530000</v>
      </c>
      <c r="C235" t="s">
        <v>143</v>
      </c>
      <c r="D235" t="s">
        <v>159</v>
      </c>
      <c r="E235" s="667">
        <v>42564</v>
      </c>
      <c r="F235" t="s">
        <v>147</v>
      </c>
      <c r="G235" t="s">
        <v>16</v>
      </c>
      <c r="H235" t="s">
        <v>148</v>
      </c>
      <c r="I235" t="s">
        <v>46</v>
      </c>
      <c r="J235">
        <v>228.74</v>
      </c>
      <c r="K235" t="s">
        <v>19</v>
      </c>
    </row>
    <row r="236" spans="1:11" x14ac:dyDescent="0.2">
      <c r="A236" t="s">
        <v>142</v>
      </c>
      <c r="B236">
        <v>682791</v>
      </c>
      <c r="C236" t="s">
        <v>143</v>
      </c>
      <c r="D236" t="s">
        <v>149</v>
      </c>
      <c r="E236" s="667">
        <v>44323</v>
      </c>
      <c r="F236" t="s">
        <v>145</v>
      </c>
      <c r="G236" t="s">
        <v>16</v>
      </c>
      <c r="H236" t="s">
        <v>96</v>
      </c>
      <c r="I236" t="s">
        <v>68</v>
      </c>
      <c r="J236" t="s">
        <v>17</v>
      </c>
      <c r="K236" t="s">
        <v>19</v>
      </c>
    </row>
    <row r="237" spans="1:11" x14ac:dyDescent="0.2">
      <c r="A237" t="s">
        <v>142</v>
      </c>
      <c r="B237">
        <v>667385</v>
      </c>
      <c r="C237" t="s">
        <v>143</v>
      </c>
      <c r="D237" t="s">
        <v>156</v>
      </c>
      <c r="E237" s="667">
        <v>44088</v>
      </c>
      <c r="F237" t="s">
        <v>145</v>
      </c>
      <c r="G237" t="s">
        <v>16</v>
      </c>
      <c r="H237" t="s">
        <v>96</v>
      </c>
      <c r="I237" t="s">
        <v>157</v>
      </c>
      <c r="J237" t="s">
        <v>193</v>
      </c>
      <c r="K237" t="s">
        <v>24</v>
      </c>
    </row>
    <row r="238" spans="1:11" x14ac:dyDescent="0.2">
      <c r="A238" t="s">
        <v>142</v>
      </c>
      <c r="B238" t="s">
        <v>194</v>
      </c>
      <c r="C238" t="s">
        <v>143</v>
      </c>
      <c r="D238" t="s">
        <v>195</v>
      </c>
      <c r="E238" s="667">
        <v>44365</v>
      </c>
      <c r="F238" t="s">
        <v>15</v>
      </c>
      <c r="G238" t="s">
        <v>16</v>
      </c>
      <c r="H238" t="s">
        <v>96</v>
      </c>
      <c r="I238" t="s">
        <v>68</v>
      </c>
      <c r="J238" t="s">
        <v>196</v>
      </c>
      <c r="K238" t="s">
        <v>19</v>
      </c>
    </row>
    <row r="239" spans="1:11" x14ac:dyDescent="0.2">
      <c r="A239" t="s">
        <v>142</v>
      </c>
      <c r="B239">
        <v>706387</v>
      </c>
      <c r="C239" t="s">
        <v>143</v>
      </c>
      <c r="D239" t="s">
        <v>144</v>
      </c>
      <c r="E239" s="667">
        <v>44568</v>
      </c>
      <c r="F239" t="s">
        <v>145</v>
      </c>
      <c r="G239" t="s">
        <v>16</v>
      </c>
      <c r="H239" t="s">
        <v>96</v>
      </c>
      <c r="I239" t="s">
        <v>41</v>
      </c>
      <c r="J239" t="s">
        <v>17</v>
      </c>
      <c r="K239" t="s">
        <v>19</v>
      </c>
    </row>
    <row r="240" spans="1:11" x14ac:dyDescent="0.2">
      <c r="A240" t="s">
        <v>142</v>
      </c>
      <c r="B240">
        <v>505455</v>
      </c>
      <c r="C240" t="s">
        <v>143</v>
      </c>
      <c r="D240" t="s">
        <v>149</v>
      </c>
      <c r="E240" s="667">
        <v>41906</v>
      </c>
      <c r="F240" t="s">
        <v>147</v>
      </c>
      <c r="G240" t="s">
        <v>16</v>
      </c>
      <c r="H240" t="s">
        <v>96</v>
      </c>
      <c r="I240" t="s">
        <v>21</v>
      </c>
      <c r="J240">
        <v>10480</v>
      </c>
      <c r="K240" t="s">
        <v>19</v>
      </c>
    </row>
    <row r="241" spans="1:11" x14ac:dyDescent="0.2">
      <c r="A241" t="s">
        <v>142</v>
      </c>
      <c r="B241">
        <v>597702</v>
      </c>
      <c r="C241" t="s">
        <v>143</v>
      </c>
      <c r="D241" t="s">
        <v>149</v>
      </c>
      <c r="E241" s="667">
        <v>43510</v>
      </c>
      <c r="F241" t="s">
        <v>145</v>
      </c>
      <c r="G241" t="s">
        <v>16</v>
      </c>
      <c r="H241" t="s">
        <v>96</v>
      </c>
      <c r="I241" t="s">
        <v>41</v>
      </c>
      <c r="J241" t="s">
        <v>17</v>
      </c>
      <c r="K241" t="s">
        <v>19</v>
      </c>
    </row>
    <row r="242" spans="1:11" x14ac:dyDescent="0.2">
      <c r="A242" t="s">
        <v>142</v>
      </c>
      <c r="B242">
        <v>716731</v>
      </c>
      <c r="C242" t="s">
        <v>143</v>
      </c>
      <c r="D242" t="s">
        <v>144</v>
      </c>
      <c r="E242" s="667">
        <v>44833</v>
      </c>
      <c r="F242" t="s">
        <v>15</v>
      </c>
      <c r="G242" t="s">
        <v>16</v>
      </c>
      <c r="H242" t="s">
        <v>96</v>
      </c>
      <c r="I242" t="s">
        <v>41</v>
      </c>
      <c r="J242" t="s">
        <v>197</v>
      </c>
      <c r="K242" t="s">
        <v>19</v>
      </c>
    </row>
    <row r="243" spans="1:11" x14ac:dyDescent="0.2">
      <c r="A243" t="s">
        <v>142</v>
      </c>
      <c r="B243">
        <v>546194</v>
      </c>
      <c r="C243" t="s">
        <v>143</v>
      </c>
      <c r="D243" t="s">
        <v>159</v>
      </c>
      <c r="E243" s="667">
        <v>42354</v>
      </c>
      <c r="F243" t="s">
        <v>147</v>
      </c>
      <c r="G243" t="s">
        <v>16</v>
      </c>
      <c r="H243" t="s">
        <v>148</v>
      </c>
      <c r="I243" t="s">
        <v>46</v>
      </c>
      <c r="J243">
        <v>321.16000000000003</v>
      </c>
      <c r="K243" t="s">
        <v>19</v>
      </c>
    </row>
    <row r="244" spans="1:11" x14ac:dyDescent="0.2">
      <c r="A244" t="s">
        <v>142</v>
      </c>
      <c r="B244">
        <v>768941</v>
      </c>
      <c r="C244" t="s">
        <v>143</v>
      </c>
      <c r="D244" t="s">
        <v>151</v>
      </c>
      <c r="E244" s="667">
        <v>42089</v>
      </c>
      <c r="F244" t="s">
        <v>15</v>
      </c>
      <c r="G244" t="s">
        <v>16</v>
      </c>
      <c r="H244" t="s">
        <v>96</v>
      </c>
      <c r="I244" t="s">
        <v>68</v>
      </c>
      <c r="J244" t="s">
        <v>23</v>
      </c>
      <c r="K244" t="s">
        <v>22</v>
      </c>
    </row>
    <row r="245" spans="1:11" x14ac:dyDescent="0.2">
      <c r="A245" t="s">
        <v>142</v>
      </c>
      <c r="B245">
        <v>653514</v>
      </c>
      <c r="C245" t="s">
        <v>143</v>
      </c>
      <c r="D245" t="s">
        <v>149</v>
      </c>
      <c r="E245" s="667">
        <v>43616</v>
      </c>
      <c r="F245" t="s">
        <v>145</v>
      </c>
      <c r="G245" t="s">
        <v>16</v>
      </c>
      <c r="H245" t="s">
        <v>96</v>
      </c>
      <c r="I245" t="s">
        <v>18</v>
      </c>
      <c r="J245" t="s">
        <v>17</v>
      </c>
      <c r="K245" t="s">
        <v>19</v>
      </c>
    </row>
    <row r="246" spans="1:11" x14ac:dyDescent="0.2">
      <c r="A246" t="s">
        <v>142</v>
      </c>
      <c r="B246">
        <v>744339</v>
      </c>
      <c r="C246" t="s">
        <v>143</v>
      </c>
      <c r="D246" t="s">
        <v>149</v>
      </c>
      <c r="E246" s="667">
        <v>44722</v>
      </c>
      <c r="F246" t="s">
        <v>15</v>
      </c>
      <c r="G246" t="s">
        <v>16</v>
      </c>
      <c r="H246" t="s">
        <v>96</v>
      </c>
      <c r="I246" t="s">
        <v>41</v>
      </c>
      <c r="J246">
        <v>438.86</v>
      </c>
      <c r="K246" t="s">
        <v>19</v>
      </c>
    </row>
    <row r="247" spans="1:11" x14ac:dyDescent="0.2">
      <c r="A247" t="s">
        <v>142</v>
      </c>
      <c r="B247">
        <v>651277</v>
      </c>
      <c r="C247" t="s">
        <v>143</v>
      </c>
      <c r="D247" t="s">
        <v>149</v>
      </c>
      <c r="E247" s="667">
        <v>43529</v>
      </c>
      <c r="F247" t="s">
        <v>15</v>
      </c>
      <c r="G247" t="s">
        <v>16</v>
      </c>
      <c r="H247" t="s">
        <v>96</v>
      </c>
      <c r="I247" t="s">
        <v>18</v>
      </c>
      <c r="J247" t="s">
        <v>198</v>
      </c>
      <c r="K247" t="s">
        <v>19</v>
      </c>
    </row>
    <row r="248" spans="1:11" x14ac:dyDescent="0.2">
      <c r="A248" t="s">
        <v>142</v>
      </c>
      <c r="B248">
        <v>749867</v>
      </c>
      <c r="C248" t="s">
        <v>143</v>
      </c>
      <c r="D248" t="s">
        <v>149</v>
      </c>
      <c r="E248" s="667">
        <v>44960</v>
      </c>
      <c r="F248" t="s">
        <v>145</v>
      </c>
      <c r="G248" t="s">
        <v>16</v>
      </c>
      <c r="H248" t="s">
        <v>96</v>
      </c>
      <c r="I248" t="s">
        <v>43</v>
      </c>
      <c r="J248" t="s">
        <v>17</v>
      </c>
      <c r="K248" t="s">
        <v>19</v>
      </c>
    </row>
    <row r="249" spans="1:11" x14ac:dyDescent="0.2">
      <c r="A249" t="s">
        <v>142</v>
      </c>
      <c r="B249">
        <v>583560</v>
      </c>
      <c r="C249" t="s">
        <v>143</v>
      </c>
      <c r="D249" t="s">
        <v>149</v>
      </c>
      <c r="E249" s="667">
        <v>42689</v>
      </c>
      <c r="F249" t="s">
        <v>147</v>
      </c>
      <c r="G249" t="s">
        <v>16</v>
      </c>
      <c r="H249" t="s">
        <v>199</v>
      </c>
      <c r="I249" t="s">
        <v>187</v>
      </c>
      <c r="J249" t="s">
        <v>200</v>
      </c>
      <c r="K249" t="s">
        <v>19</v>
      </c>
    </row>
    <row r="250" spans="1:11" x14ac:dyDescent="0.2">
      <c r="A250" t="s">
        <v>142</v>
      </c>
      <c r="B250">
        <v>762281</v>
      </c>
      <c r="C250" t="s">
        <v>143</v>
      </c>
      <c r="D250" t="s">
        <v>149</v>
      </c>
      <c r="E250" s="667">
        <v>44474</v>
      </c>
      <c r="F250" t="s">
        <v>15</v>
      </c>
      <c r="G250" t="s">
        <v>16</v>
      </c>
      <c r="H250" t="s">
        <v>96</v>
      </c>
      <c r="I250" t="s">
        <v>41</v>
      </c>
      <c r="J250">
        <v>3643</v>
      </c>
      <c r="K250" t="s">
        <v>19</v>
      </c>
    </row>
    <row r="251" spans="1:11" x14ac:dyDescent="0.2">
      <c r="A251" t="s">
        <v>142</v>
      </c>
      <c r="B251">
        <v>655612</v>
      </c>
      <c r="C251" t="s">
        <v>143</v>
      </c>
      <c r="D251" t="s">
        <v>149</v>
      </c>
      <c r="E251" s="667">
        <v>42593</v>
      </c>
      <c r="F251" t="s">
        <v>147</v>
      </c>
      <c r="G251" t="s">
        <v>16</v>
      </c>
      <c r="H251" t="s">
        <v>96</v>
      </c>
      <c r="I251" t="s">
        <v>41</v>
      </c>
      <c r="J251" t="s">
        <v>201</v>
      </c>
      <c r="K251" t="s">
        <v>19</v>
      </c>
    </row>
    <row r="252" spans="1:11" x14ac:dyDescent="0.2">
      <c r="A252" t="s">
        <v>142</v>
      </c>
      <c r="B252">
        <v>749824</v>
      </c>
      <c r="C252" t="s">
        <v>143</v>
      </c>
      <c r="D252" t="s">
        <v>149</v>
      </c>
      <c r="E252" s="667">
        <v>44945</v>
      </c>
      <c r="F252" t="s">
        <v>145</v>
      </c>
      <c r="G252" t="s">
        <v>16</v>
      </c>
      <c r="H252" t="s">
        <v>96</v>
      </c>
      <c r="I252" t="s">
        <v>18</v>
      </c>
      <c r="J252" t="s">
        <v>17</v>
      </c>
      <c r="K252" t="s">
        <v>19</v>
      </c>
    </row>
    <row r="253" spans="1:11" x14ac:dyDescent="0.2">
      <c r="A253" t="s">
        <v>142</v>
      </c>
      <c r="B253">
        <v>653337</v>
      </c>
      <c r="C253" t="s">
        <v>143</v>
      </c>
      <c r="D253" t="s">
        <v>159</v>
      </c>
      <c r="E253" s="667">
        <v>42639</v>
      </c>
      <c r="F253" t="s">
        <v>147</v>
      </c>
      <c r="G253" t="s">
        <v>16</v>
      </c>
      <c r="H253" t="s">
        <v>96</v>
      </c>
      <c r="I253" t="s">
        <v>202</v>
      </c>
      <c r="J253" t="s">
        <v>203</v>
      </c>
      <c r="K253" t="s">
        <v>19</v>
      </c>
    </row>
    <row r="254" spans="1:11" x14ac:dyDescent="0.2">
      <c r="A254" t="s">
        <v>142</v>
      </c>
      <c r="B254">
        <v>653333</v>
      </c>
      <c r="C254" t="s">
        <v>143</v>
      </c>
      <c r="D254" t="s">
        <v>149</v>
      </c>
      <c r="E254" s="667">
        <v>42612</v>
      </c>
      <c r="F254" t="s">
        <v>147</v>
      </c>
      <c r="G254" t="s">
        <v>16</v>
      </c>
      <c r="H254" t="s">
        <v>17</v>
      </c>
      <c r="I254" t="s">
        <v>202</v>
      </c>
      <c r="J254" t="s">
        <v>183</v>
      </c>
      <c r="K254" t="s">
        <v>19</v>
      </c>
    </row>
    <row r="255" spans="1:11" x14ac:dyDescent="0.2">
      <c r="A255" t="s">
        <v>142</v>
      </c>
      <c r="B255">
        <v>550502</v>
      </c>
      <c r="C255" t="s">
        <v>143</v>
      </c>
      <c r="D255" t="s">
        <v>159</v>
      </c>
      <c r="E255" s="667">
        <v>42678</v>
      </c>
      <c r="F255" t="s">
        <v>147</v>
      </c>
      <c r="G255" t="s">
        <v>16</v>
      </c>
      <c r="H255" t="s">
        <v>96</v>
      </c>
      <c r="I255" t="s">
        <v>55</v>
      </c>
      <c r="J255" t="s">
        <v>23</v>
      </c>
      <c r="K255" t="s">
        <v>19</v>
      </c>
    </row>
    <row r="256" spans="1:11" x14ac:dyDescent="0.2">
      <c r="A256" t="s">
        <v>142</v>
      </c>
      <c r="B256">
        <v>744119</v>
      </c>
      <c r="C256" t="s">
        <v>143</v>
      </c>
      <c r="D256" t="s">
        <v>149</v>
      </c>
      <c r="E256" s="667">
        <v>44768</v>
      </c>
      <c r="F256" t="s">
        <v>15</v>
      </c>
      <c r="G256" t="s">
        <v>16</v>
      </c>
      <c r="H256" t="s">
        <v>96</v>
      </c>
      <c r="I256" t="s">
        <v>55</v>
      </c>
      <c r="J256">
        <v>359.55</v>
      </c>
      <c r="K256" t="s">
        <v>19</v>
      </c>
    </row>
    <row r="257" spans="1:11" x14ac:dyDescent="0.2">
      <c r="A257" t="s">
        <v>142</v>
      </c>
      <c r="B257">
        <v>711752</v>
      </c>
      <c r="C257" t="s">
        <v>143</v>
      </c>
      <c r="D257" t="s">
        <v>159</v>
      </c>
      <c r="E257" s="667">
        <v>43103</v>
      </c>
      <c r="F257" t="s">
        <v>147</v>
      </c>
      <c r="G257" t="s">
        <v>16</v>
      </c>
      <c r="H257" t="s">
        <v>180</v>
      </c>
      <c r="I257" t="s">
        <v>38</v>
      </c>
      <c r="J257" t="s">
        <v>23</v>
      </c>
      <c r="K257" t="s">
        <v>19</v>
      </c>
    </row>
    <row r="258" spans="1:11" x14ac:dyDescent="0.2">
      <c r="A258" t="s">
        <v>142</v>
      </c>
      <c r="B258">
        <v>774792</v>
      </c>
      <c r="C258" t="s">
        <v>143</v>
      </c>
      <c r="D258" t="s">
        <v>204</v>
      </c>
      <c r="E258" s="667">
        <v>45243</v>
      </c>
      <c r="F258" t="s">
        <v>15</v>
      </c>
      <c r="G258" t="s">
        <v>16</v>
      </c>
      <c r="H258" t="s">
        <v>17</v>
      </c>
      <c r="I258" t="s">
        <v>17</v>
      </c>
      <c r="J258" t="s">
        <v>17</v>
      </c>
      <c r="K258" t="s">
        <v>19</v>
      </c>
    </row>
    <row r="259" spans="1:11" x14ac:dyDescent="0.2">
      <c r="A259" t="s">
        <v>142</v>
      </c>
      <c r="B259">
        <v>650108</v>
      </c>
      <c r="C259" t="s">
        <v>143</v>
      </c>
      <c r="D259" t="s">
        <v>149</v>
      </c>
      <c r="E259" s="667">
        <v>43724</v>
      </c>
      <c r="F259" t="s">
        <v>147</v>
      </c>
      <c r="G259" t="s">
        <v>16</v>
      </c>
      <c r="H259" t="s">
        <v>96</v>
      </c>
      <c r="I259" t="s">
        <v>51</v>
      </c>
      <c r="J259">
        <v>135</v>
      </c>
      <c r="K259" t="s">
        <v>19</v>
      </c>
    </row>
    <row r="260" spans="1:11" x14ac:dyDescent="0.2">
      <c r="A260" t="s">
        <v>142</v>
      </c>
      <c r="B260">
        <v>587999</v>
      </c>
      <c r="C260" t="s">
        <v>143</v>
      </c>
      <c r="D260" t="s">
        <v>159</v>
      </c>
      <c r="E260" s="667">
        <v>43238</v>
      </c>
      <c r="F260" t="s">
        <v>147</v>
      </c>
      <c r="G260" t="s">
        <v>16</v>
      </c>
      <c r="H260" t="s">
        <v>96</v>
      </c>
      <c r="I260" t="s">
        <v>41</v>
      </c>
      <c r="K260" t="s">
        <v>22</v>
      </c>
    </row>
    <row r="261" spans="1:11" x14ac:dyDescent="0.2">
      <c r="A261" t="s">
        <v>142</v>
      </c>
      <c r="B261">
        <v>675674</v>
      </c>
      <c r="C261" t="s">
        <v>143</v>
      </c>
      <c r="D261" t="s">
        <v>156</v>
      </c>
      <c r="E261" s="667">
        <v>44306</v>
      </c>
      <c r="F261" t="s">
        <v>145</v>
      </c>
      <c r="G261" t="s">
        <v>16</v>
      </c>
      <c r="H261" t="s">
        <v>17</v>
      </c>
      <c r="I261" t="s">
        <v>17</v>
      </c>
      <c r="J261" t="s">
        <v>23</v>
      </c>
      <c r="K261" t="s">
        <v>19</v>
      </c>
    </row>
    <row r="262" spans="1:11" x14ac:dyDescent="0.2">
      <c r="A262" t="s">
        <v>142</v>
      </c>
      <c r="B262">
        <v>684782</v>
      </c>
      <c r="C262" t="s">
        <v>143</v>
      </c>
      <c r="D262" t="s">
        <v>156</v>
      </c>
      <c r="E262" s="667">
        <v>44489</v>
      </c>
      <c r="F262" t="s">
        <v>145</v>
      </c>
      <c r="G262" t="s">
        <v>16</v>
      </c>
      <c r="H262" t="s">
        <v>96</v>
      </c>
      <c r="I262" t="s">
        <v>17</v>
      </c>
      <c r="J262" t="s">
        <v>17</v>
      </c>
      <c r="K262" t="s">
        <v>19</v>
      </c>
    </row>
    <row r="263" spans="1:11" x14ac:dyDescent="0.2">
      <c r="A263" t="s">
        <v>142</v>
      </c>
      <c r="B263">
        <v>15834</v>
      </c>
      <c r="C263" t="s">
        <v>143</v>
      </c>
      <c r="D263" t="s">
        <v>166</v>
      </c>
      <c r="E263" s="667">
        <v>33940</v>
      </c>
      <c r="F263" t="s">
        <v>145</v>
      </c>
      <c r="G263" t="s">
        <v>16</v>
      </c>
      <c r="H263" t="s">
        <v>180</v>
      </c>
      <c r="I263" t="s">
        <v>187</v>
      </c>
      <c r="J263" t="s">
        <v>23</v>
      </c>
      <c r="K263" t="s">
        <v>188</v>
      </c>
    </row>
    <row r="264" spans="1:11" x14ac:dyDescent="0.2">
      <c r="A264" t="s">
        <v>142</v>
      </c>
      <c r="B264">
        <v>617495</v>
      </c>
      <c r="C264" t="s">
        <v>143</v>
      </c>
      <c r="D264" t="s">
        <v>189</v>
      </c>
      <c r="E264" s="667">
        <v>43322</v>
      </c>
      <c r="F264" t="s">
        <v>147</v>
      </c>
      <c r="G264" t="s">
        <v>16</v>
      </c>
      <c r="H264" t="s">
        <v>96</v>
      </c>
      <c r="I264" t="s">
        <v>59</v>
      </c>
      <c r="J264" t="s">
        <v>205</v>
      </c>
      <c r="K264" t="s">
        <v>19</v>
      </c>
    </row>
    <row r="265" spans="1:11" x14ac:dyDescent="0.2">
      <c r="A265" t="s">
        <v>142</v>
      </c>
      <c r="B265">
        <v>723131</v>
      </c>
      <c r="C265" t="s">
        <v>143</v>
      </c>
      <c r="D265" t="s">
        <v>151</v>
      </c>
      <c r="E265" s="667">
        <v>44600</v>
      </c>
      <c r="F265" t="s">
        <v>15</v>
      </c>
      <c r="G265" t="s">
        <v>16</v>
      </c>
      <c r="H265" t="s">
        <v>163</v>
      </c>
      <c r="I265" t="s">
        <v>38</v>
      </c>
      <c r="J265" t="s">
        <v>206</v>
      </c>
      <c r="K265" t="s">
        <v>19</v>
      </c>
    </row>
    <row r="266" spans="1:11" x14ac:dyDescent="0.2">
      <c r="A266" t="s">
        <v>142</v>
      </c>
      <c r="B266">
        <v>750157</v>
      </c>
      <c r="C266" t="s">
        <v>143</v>
      </c>
      <c r="D266" t="s">
        <v>159</v>
      </c>
      <c r="E266" s="667">
        <v>43383</v>
      </c>
      <c r="F266" t="s">
        <v>147</v>
      </c>
      <c r="G266" t="s">
        <v>16</v>
      </c>
      <c r="H266" t="s">
        <v>163</v>
      </c>
      <c r="I266" t="s">
        <v>43</v>
      </c>
      <c r="J266" t="s">
        <v>23</v>
      </c>
      <c r="K266" t="s">
        <v>19</v>
      </c>
    </row>
    <row r="267" spans="1:11" x14ac:dyDescent="0.2">
      <c r="A267" t="s">
        <v>142</v>
      </c>
      <c r="B267">
        <v>622600</v>
      </c>
      <c r="C267" t="s">
        <v>143</v>
      </c>
      <c r="D267" t="s">
        <v>144</v>
      </c>
      <c r="E267" s="667">
        <v>43783</v>
      </c>
      <c r="F267" t="s">
        <v>145</v>
      </c>
      <c r="G267" t="s">
        <v>16</v>
      </c>
      <c r="H267" t="s">
        <v>96</v>
      </c>
      <c r="I267" t="s">
        <v>157</v>
      </c>
      <c r="J267" t="s">
        <v>17</v>
      </c>
      <c r="K267" t="s">
        <v>19</v>
      </c>
    </row>
    <row r="268" spans="1:11" x14ac:dyDescent="0.2">
      <c r="A268" t="s">
        <v>142</v>
      </c>
      <c r="B268" t="s">
        <v>207</v>
      </c>
      <c r="C268" t="s">
        <v>143</v>
      </c>
      <c r="D268" t="s">
        <v>204</v>
      </c>
      <c r="E268" s="667">
        <v>43783</v>
      </c>
      <c r="F268" t="s">
        <v>145</v>
      </c>
      <c r="G268" t="s">
        <v>16</v>
      </c>
      <c r="H268" t="s">
        <v>96</v>
      </c>
      <c r="I268" t="s">
        <v>21</v>
      </c>
      <c r="J268" t="s">
        <v>17</v>
      </c>
      <c r="K268" t="s">
        <v>19</v>
      </c>
    </row>
    <row r="269" spans="1:11" x14ac:dyDescent="0.2">
      <c r="A269" t="s">
        <v>142</v>
      </c>
      <c r="B269">
        <v>653345</v>
      </c>
      <c r="C269" t="s">
        <v>143</v>
      </c>
      <c r="D269" t="s">
        <v>149</v>
      </c>
      <c r="E269" s="667">
        <v>43524</v>
      </c>
      <c r="F269" t="s">
        <v>147</v>
      </c>
      <c r="G269" t="s">
        <v>16</v>
      </c>
      <c r="H269" t="s">
        <v>96</v>
      </c>
      <c r="I269" t="s">
        <v>157</v>
      </c>
      <c r="J269" t="s">
        <v>208</v>
      </c>
      <c r="K269" t="s">
        <v>19</v>
      </c>
    </row>
    <row r="270" spans="1:11" x14ac:dyDescent="0.2">
      <c r="A270" t="s">
        <v>142</v>
      </c>
      <c r="B270">
        <v>653348</v>
      </c>
      <c r="C270" t="s">
        <v>143</v>
      </c>
      <c r="D270" t="s">
        <v>149</v>
      </c>
      <c r="E270" s="667">
        <v>43538</v>
      </c>
      <c r="F270" t="s">
        <v>147</v>
      </c>
      <c r="G270" t="s">
        <v>16</v>
      </c>
      <c r="H270" t="s">
        <v>96</v>
      </c>
      <c r="I270" t="s">
        <v>157</v>
      </c>
      <c r="J270" t="s">
        <v>209</v>
      </c>
      <c r="K270" t="s">
        <v>19</v>
      </c>
    </row>
    <row r="271" spans="1:11" x14ac:dyDescent="0.2">
      <c r="A271" t="s">
        <v>142</v>
      </c>
      <c r="B271">
        <v>610364</v>
      </c>
      <c r="C271" t="s">
        <v>143</v>
      </c>
      <c r="D271" t="s">
        <v>189</v>
      </c>
      <c r="E271" s="667">
        <v>43698</v>
      </c>
      <c r="F271" t="s">
        <v>147</v>
      </c>
      <c r="G271" t="s">
        <v>16</v>
      </c>
      <c r="H271" t="s">
        <v>148</v>
      </c>
      <c r="I271" t="s">
        <v>43</v>
      </c>
      <c r="J271" t="s">
        <v>17</v>
      </c>
      <c r="K271" t="s">
        <v>24</v>
      </c>
    </row>
    <row r="272" spans="1:11" x14ac:dyDescent="0.2">
      <c r="A272" t="s">
        <v>142</v>
      </c>
      <c r="B272">
        <v>622464</v>
      </c>
      <c r="C272" t="s">
        <v>143</v>
      </c>
      <c r="D272" t="s">
        <v>149</v>
      </c>
      <c r="E272" s="667">
        <v>43776</v>
      </c>
      <c r="F272" t="s">
        <v>15</v>
      </c>
      <c r="G272" t="s">
        <v>16</v>
      </c>
      <c r="H272" t="s">
        <v>17</v>
      </c>
      <c r="I272" t="s">
        <v>18</v>
      </c>
      <c r="J272">
        <v>17387</v>
      </c>
      <c r="K272" t="s">
        <v>19</v>
      </c>
    </row>
    <row r="273" spans="1:11" x14ac:dyDescent="0.2">
      <c r="A273" t="s">
        <v>142</v>
      </c>
      <c r="B273">
        <v>681919</v>
      </c>
      <c r="C273" t="s">
        <v>143</v>
      </c>
      <c r="D273" t="s">
        <v>159</v>
      </c>
      <c r="E273" s="667">
        <v>44439</v>
      </c>
      <c r="F273" t="s">
        <v>15</v>
      </c>
      <c r="G273" t="s">
        <v>16</v>
      </c>
      <c r="H273" t="s">
        <v>148</v>
      </c>
      <c r="I273" t="s">
        <v>46</v>
      </c>
      <c r="J273" t="s">
        <v>210</v>
      </c>
      <c r="K273" t="s">
        <v>19</v>
      </c>
    </row>
    <row r="274" spans="1:11" x14ac:dyDescent="0.2">
      <c r="A274" t="s">
        <v>142</v>
      </c>
      <c r="B274">
        <v>651225</v>
      </c>
      <c r="C274" t="s">
        <v>143</v>
      </c>
      <c r="D274" t="s">
        <v>149</v>
      </c>
      <c r="E274" s="667">
        <v>42354</v>
      </c>
      <c r="F274" t="s">
        <v>15</v>
      </c>
      <c r="G274" t="s">
        <v>16</v>
      </c>
      <c r="H274" t="s">
        <v>211</v>
      </c>
      <c r="I274" t="s">
        <v>157</v>
      </c>
      <c r="K274" t="s">
        <v>19</v>
      </c>
    </row>
    <row r="275" spans="1:11" x14ac:dyDescent="0.2">
      <c r="A275" t="s">
        <v>142</v>
      </c>
      <c r="B275">
        <v>670186</v>
      </c>
      <c r="C275" t="s">
        <v>143</v>
      </c>
      <c r="D275" t="s">
        <v>149</v>
      </c>
      <c r="E275" s="667">
        <v>43524</v>
      </c>
      <c r="F275" t="s">
        <v>147</v>
      </c>
      <c r="G275" t="s">
        <v>16</v>
      </c>
      <c r="H275" t="s">
        <v>96</v>
      </c>
      <c r="I275" t="s">
        <v>85</v>
      </c>
      <c r="J275" t="s">
        <v>183</v>
      </c>
      <c r="K275" t="s">
        <v>19</v>
      </c>
    </row>
    <row r="276" spans="1:11" x14ac:dyDescent="0.2">
      <c r="A276" t="s">
        <v>142</v>
      </c>
      <c r="B276">
        <v>653354</v>
      </c>
      <c r="C276" t="s">
        <v>143</v>
      </c>
      <c r="D276" t="s">
        <v>149</v>
      </c>
      <c r="E276" s="667">
        <v>43685</v>
      </c>
      <c r="F276" t="s">
        <v>147</v>
      </c>
      <c r="G276" t="s">
        <v>16</v>
      </c>
      <c r="H276" t="s">
        <v>96</v>
      </c>
      <c r="I276" t="s">
        <v>212</v>
      </c>
      <c r="J276" t="s">
        <v>213</v>
      </c>
      <c r="K276" t="s">
        <v>19</v>
      </c>
    </row>
    <row r="277" spans="1:11" x14ac:dyDescent="0.2">
      <c r="A277" t="s">
        <v>142</v>
      </c>
      <c r="B277">
        <v>653363</v>
      </c>
      <c r="C277" t="s">
        <v>143</v>
      </c>
      <c r="D277" t="s">
        <v>149</v>
      </c>
      <c r="E277" s="667">
        <v>43712</v>
      </c>
      <c r="F277" t="s">
        <v>147</v>
      </c>
      <c r="G277" t="s">
        <v>16</v>
      </c>
      <c r="H277" t="s">
        <v>96</v>
      </c>
      <c r="I277" t="s">
        <v>55</v>
      </c>
      <c r="J277" t="s">
        <v>214</v>
      </c>
      <c r="K277" t="s">
        <v>19</v>
      </c>
    </row>
    <row r="278" spans="1:11" x14ac:dyDescent="0.2">
      <c r="A278" t="s">
        <v>142</v>
      </c>
      <c r="B278">
        <v>651244</v>
      </c>
      <c r="C278" t="s">
        <v>143</v>
      </c>
      <c r="D278" t="s">
        <v>149</v>
      </c>
      <c r="E278" s="667">
        <v>42940</v>
      </c>
      <c r="F278" t="s">
        <v>15</v>
      </c>
      <c r="G278" t="s">
        <v>16</v>
      </c>
      <c r="H278" t="s">
        <v>185</v>
      </c>
      <c r="I278" t="s">
        <v>157</v>
      </c>
      <c r="K278" t="s">
        <v>19</v>
      </c>
    </row>
    <row r="279" spans="1:11" x14ac:dyDescent="0.2">
      <c r="A279" t="s">
        <v>142</v>
      </c>
      <c r="B279">
        <v>802138</v>
      </c>
      <c r="C279" t="s">
        <v>143</v>
      </c>
      <c r="D279" t="s">
        <v>149</v>
      </c>
      <c r="E279" s="667">
        <v>44392</v>
      </c>
      <c r="F279" t="s">
        <v>147</v>
      </c>
      <c r="G279" t="s">
        <v>16</v>
      </c>
      <c r="H279" t="s">
        <v>163</v>
      </c>
      <c r="I279" t="s">
        <v>212</v>
      </c>
      <c r="J279" t="s">
        <v>215</v>
      </c>
      <c r="K279" t="s">
        <v>19</v>
      </c>
    </row>
    <row r="280" spans="1:11" x14ac:dyDescent="0.2">
      <c r="A280" t="s">
        <v>142</v>
      </c>
      <c r="B280">
        <v>651298</v>
      </c>
      <c r="C280" t="s">
        <v>143</v>
      </c>
      <c r="D280" t="s">
        <v>149</v>
      </c>
      <c r="E280" s="667">
        <v>43703</v>
      </c>
      <c r="F280" t="s">
        <v>15</v>
      </c>
      <c r="G280" t="s">
        <v>16</v>
      </c>
      <c r="H280" t="s">
        <v>185</v>
      </c>
      <c r="I280" t="s">
        <v>212</v>
      </c>
      <c r="J280" t="s">
        <v>216</v>
      </c>
      <c r="K280" t="s">
        <v>24</v>
      </c>
    </row>
    <row r="281" spans="1:11" x14ac:dyDescent="0.2">
      <c r="A281" t="s">
        <v>142</v>
      </c>
      <c r="B281">
        <v>681132</v>
      </c>
      <c r="C281" t="s">
        <v>143</v>
      </c>
      <c r="D281" t="s">
        <v>189</v>
      </c>
      <c r="E281" s="667">
        <v>43614</v>
      </c>
      <c r="F281" t="s">
        <v>15</v>
      </c>
      <c r="G281" t="s">
        <v>16</v>
      </c>
      <c r="H281" t="s">
        <v>185</v>
      </c>
      <c r="I281" t="s">
        <v>157</v>
      </c>
      <c r="J281" t="s">
        <v>217</v>
      </c>
      <c r="K281" t="s">
        <v>19</v>
      </c>
    </row>
    <row r="282" spans="1:11" x14ac:dyDescent="0.2">
      <c r="A282" t="s">
        <v>142</v>
      </c>
      <c r="B282">
        <v>789394</v>
      </c>
      <c r="C282" t="s">
        <v>143</v>
      </c>
      <c r="D282" t="s">
        <v>189</v>
      </c>
      <c r="E282" s="667">
        <v>44574</v>
      </c>
      <c r="F282" t="s">
        <v>147</v>
      </c>
      <c r="G282" t="s">
        <v>16</v>
      </c>
      <c r="H282" t="s">
        <v>96</v>
      </c>
      <c r="I282" t="s">
        <v>38</v>
      </c>
      <c r="J282" t="s">
        <v>218</v>
      </c>
      <c r="K282" t="s">
        <v>82</v>
      </c>
    </row>
    <row r="283" spans="1:11" x14ac:dyDescent="0.2">
      <c r="A283" t="s">
        <v>142</v>
      </c>
      <c r="B283" t="s">
        <v>219</v>
      </c>
      <c r="C283" t="s">
        <v>143</v>
      </c>
      <c r="D283" t="s">
        <v>144</v>
      </c>
      <c r="E283" s="667">
        <v>45309</v>
      </c>
      <c r="F283" t="s">
        <v>145</v>
      </c>
      <c r="G283" t="s">
        <v>16</v>
      </c>
      <c r="H283" t="s">
        <v>96</v>
      </c>
      <c r="I283" t="s">
        <v>38</v>
      </c>
      <c r="J283" t="s">
        <v>17</v>
      </c>
      <c r="K283" t="s">
        <v>19</v>
      </c>
    </row>
    <row r="284" spans="1:11" x14ac:dyDescent="0.2">
      <c r="A284" t="s">
        <v>142</v>
      </c>
      <c r="B284">
        <v>727718</v>
      </c>
      <c r="C284" t="s">
        <v>143</v>
      </c>
      <c r="D284" t="s">
        <v>144</v>
      </c>
      <c r="E284" s="667">
        <v>44804</v>
      </c>
      <c r="F284" t="s">
        <v>147</v>
      </c>
      <c r="G284" t="s">
        <v>16</v>
      </c>
      <c r="H284" t="s">
        <v>163</v>
      </c>
      <c r="I284" t="s">
        <v>59</v>
      </c>
      <c r="J284" t="s">
        <v>220</v>
      </c>
      <c r="K284" t="s">
        <v>19</v>
      </c>
    </row>
    <row r="285" spans="1:11" x14ac:dyDescent="0.2">
      <c r="A285" t="s">
        <v>142</v>
      </c>
      <c r="B285">
        <v>800982</v>
      </c>
      <c r="C285" t="s">
        <v>143</v>
      </c>
      <c r="D285" t="s">
        <v>149</v>
      </c>
      <c r="E285" s="667">
        <v>45037</v>
      </c>
      <c r="F285" t="s">
        <v>145</v>
      </c>
      <c r="G285" t="s">
        <v>16</v>
      </c>
      <c r="H285" t="s">
        <v>96</v>
      </c>
      <c r="I285" t="s">
        <v>38</v>
      </c>
      <c r="J285" t="s">
        <v>17</v>
      </c>
      <c r="K285" t="s">
        <v>19</v>
      </c>
    </row>
    <row r="286" spans="1:11" x14ac:dyDescent="0.2">
      <c r="A286" t="s">
        <v>142</v>
      </c>
      <c r="B286" t="s">
        <v>221</v>
      </c>
      <c r="C286" t="s">
        <v>143</v>
      </c>
      <c r="D286" t="s">
        <v>149</v>
      </c>
      <c r="E286" s="667">
        <v>45253</v>
      </c>
      <c r="F286" t="s">
        <v>145</v>
      </c>
      <c r="G286" t="s">
        <v>16</v>
      </c>
      <c r="H286" t="s">
        <v>96</v>
      </c>
      <c r="I286" t="s">
        <v>68</v>
      </c>
      <c r="J286" t="s">
        <v>17</v>
      </c>
      <c r="K286" t="s">
        <v>19</v>
      </c>
    </row>
    <row r="287" spans="1:11" x14ac:dyDescent="0.2">
      <c r="A287" t="s">
        <v>142</v>
      </c>
      <c r="B287">
        <v>810864</v>
      </c>
      <c r="C287" t="s">
        <v>143</v>
      </c>
      <c r="D287" t="s">
        <v>166</v>
      </c>
      <c r="E287" s="667">
        <v>45630</v>
      </c>
      <c r="F287" t="s">
        <v>145</v>
      </c>
      <c r="G287" t="s">
        <v>16</v>
      </c>
      <c r="H287" t="s">
        <v>148</v>
      </c>
      <c r="I287" t="s">
        <v>59</v>
      </c>
      <c r="J287" t="s">
        <v>17</v>
      </c>
      <c r="K287" t="s">
        <v>19</v>
      </c>
    </row>
    <row r="288" spans="1:11" x14ac:dyDescent="0.2">
      <c r="A288" t="s">
        <v>142</v>
      </c>
      <c r="B288" t="s">
        <v>222</v>
      </c>
      <c r="C288" t="s">
        <v>143</v>
      </c>
      <c r="D288" t="s">
        <v>166</v>
      </c>
      <c r="E288" s="667">
        <v>45407</v>
      </c>
      <c r="F288" t="s">
        <v>145</v>
      </c>
      <c r="G288" t="s">
        <v>16</v>
      </c>
      <c r="H288" t="s">
        <v>148</v>
      </c>
      <c r="I288" t="s">
        <v>157</v>
      </c>
      <c r="J288" t="s">
        <v>17</v>
      </c>
      <c r="K288" t="s">
        <v>19</v>
      </c>
    </row>
    <row r="289" spans="1:11" x14ac:dyDescent="0.2">
      <c r="A289" t="s">
        <v>142</v>
      </c>
      <c r="B289" t="s">
        <v>222</v>
      </c>
      <c r="C289" t="s">
        <v>143</v>
      </c>
      <c r="D289" t="s">
        <v>166</v>
      </c>
      <c r="E289" s="667">
        <v>45405</v>
      </c>
      <c r="F289" t="s">
        <v>145</v>
      </c>
      <c r="G289" t="s">
        <v>16</v>
      </c>
      <c r="H289" t="s">
        <v>148</v>
      </c>
      <c r="I289" t="s">
        <v>223</v>
      </c>
      <c r="J289" t="s">
        <v>17</v>
      </c>
      <c r="K289" t="s">
        <v>19</v>
      </c>
    </row>
    <row r="290" spans="1:11" x14ac:dyDescent="0.2">
      <c r="A290" t="s">
        <v>142</v>
      </c>
      <c r="B290">
        <v>801141</v>
      </c>
      <c r="C290" t="s">
        <v>143</v>
      </c>
      <c r="D290" t="s">
        <v>149</v>
      </c>
      <c r="E290" s="667">
        <v>45253</v>
      </c>
      <c r="F290" t="s">
        <v>15</v>
      </c>
      <c r="G290" t="s">
        <v>16</v>
      </c>
      <c r="H290" t="s">
        <v>96</v>
      </c>
      <c r="I290" t="s">
        <v>38</v>
      </c>
      <c r="J290" t="s">
        <v>17</v>
      </c>
      <c r="K290" t="s">
        <v>19</v>
      </c>
    </row>
    <row r="291" spans="1:11" x14ac:dyDescent="0.2">
      <c r="A291" t="s">
        <v>142</v>
      </c>
      <c r="B291">
        <v>801038</v>
      </c>
      <c r="C291" t="s">
        <v>143</v>
      </c>
      <c r="D291" t="s">
        <v>149</v>
      </c>
      <c r="E291" s="667">
        <v>44941</v>
      </c>
      <c r="F291" t="s">
        <v>15</v>
      </c>
      <c r="G291" t="s">
        <v>16</v>
      </c>
      <c r="H291" t="s">
        <v>96</v>
      </c>
      <c r="I291" t="s">
        <v>18</v>
      </c>
      <c r="J291" t="s">
        <v>17</v>
      </c>
      <c r="K291" t="s">
        <v>19</v>
      </c>
    </row>
    <row r="292" spans="1:11" x14ac:dyDescent="0.2">
      <c r="A292" t="s">
        <v>142</v>
      </c>
      <c r="B292" t="s">
        <v>224</v>
      </c>
      <c r="C292" t="s">
        <v>143</v>
      </c>
      <c r="D292" t="s">
        <v>156</v>
      </c>
      <c r="E292" s="667">
        <v>38487</v>
      </c>
      <c r="F292" t="s">
        <v>145</v>
      </c>
      <c r="G292" t="s">
        <v>16</v>
      </c>
      <c r="H292" t="s">
        <v>163</v>
      </c>
      <c r="I292" t="s">
        <v>46</v>
      </c>
      <c r="J292" t="s">
        <v>17</v>
      </c>
      <c r="K292" t="s">
        <v>19</v>
      </c>
    </row>
    <row r="293" spans="1:11" x14ac:dyDescent="0.2">
      <c r="A293" t="s">
        <v>142</v>
      </c>
      <c r="B293" t="s">
        <v>222</v>
      </c>
      <c r="C293" t="s">
        <v>143</v>
      </c>
      <c r="D293" t="s">
        <v>166</v>
      </c>
      <c r="E293" s="667">
        <v>45388</v>
      </c>
      <c r="F293" t="s">
        <v>145</v>
      </c>
      <c r="G293" t="s">
        <v>16</v>
      </c>
      <c r="H293" t="s">
        <v>148</v>
      </c>
      <c r="I293" t="s">
        <v>59</v>
      </c>
      <c r="J293" t="s">
        <v>17</v>
      </c>
      <c r="K293" t="s">
        <v>19</v>
      </c>
    </row>
    <row r="294" spans="1:11" x14ac:dyDescent="0.2">
      <c r="A294" t="s">
        <v>142</v>
      </c>
      <c r="B294" t="s">
        <v>222</v>
      </c>
      <c r="C294" t="s">
        <v>143</v>
      </c>
      <c r="D294" t="s">
        <v>225</v>
      </c>
      <c r="E294" s="667">
        <v>45418</v>
      </c>
      <c r="F294" t="s">
        <v>145</v>
      </c>
      <c r="G294" t="s">
        <v>16</v>
      </c>
      <c r="H294" t="s">
        <v>96</v>
      </c>
      <c r="I294" t="s">
        <v>41</v>
      </c>
      <c r="J294" t="s">
        <v>17</v>
      </c>
      <c r="K294" t="s">
        <v>19</v>
      </c>
    </row>
    <row r="295" spans="1:11" x14ac:dyDescent="0.2">
      <c r="A295" t="s">
        <v>142</v>
      </c>
      <c r="B295">
        <v>802175</v>
      </c>
      <c r="C295" t="s">
        <v>143</v>
      </c>
      <c r="D295" t="s">
        <v>149</v>
      </c>
      <c r="E295" s="667">
        <v>44769</v>
      </c>
      <c r="F295" t="s">
        <v>147</v>
      </c>
      <c r="G295" t="s">
        <v>16</v>
      </c>
      <c r="H295" t="s">
        <v>163</v>
      </c>
      <c r="I295" t="s">
        <v>17</v>
      </c>
      <c r="J295">
        <v>1372</v>
      </c>
      <c r="K295" t="s">
        <v>19</v>
      </c>
    </row>
    <row r="296" spans="1:11" x14ac:dyDescent="0.2">
      <c r="A296" t="s">
        <v>142</v>
      </c>
      <c r="B296">
        <v>750170</v>
      </c>
      <c r="C296" t="s">
        <v>143</v>
      </c>
      <c r="D296" t="s">
        <v>149</v>
      </c>
      <c r="E296" s="667">
        <v>44887</v>
      </c>
      <c r="F296" t="s">
        <v>147</v>
      </c>
      <c r="G296" t="s">
        <v>16</v>
      </c>
      <c r="H296" t="s">
        <v>180</v>
      </c>
      <c r="I296" t="s">
        <v>212</v>
      </c>
      <c r="J296" t="s">
        <v>183</v>
      </c>
      <c r="K296" t="s">
        <v>19</v>
      </c>
    </row>
    <row r="297" spans="1:11" x14ac:dyDescent="0.2">
      <c r="A297" t="s">
        <v>226</v>
      </c>
      <c r="B297">
        <v>715785</v>
      </c>
      <c r="C297" t="s">
        <v>227</v>
      </c>
      <c r="D297" t="s">
        <v>228</v>
      </c>
      <c r="E297" s="667">
        <v>44568</v>
      </c>
      <c r="F297" t="s">
        <v>229</v>
      </c>
      <c r="G297" t="s">
        <v>16</v>
      </c>
      <c r="H297" t="s">
        <v>96</v>
      </c>
      <c r="I297" t="s">
        <v>157</v>
      </c>
      <c r="J297" t="s">
        <v>17</v>
      </c>
      <c r="K297" t="s">
        <v>19</v>
      </c>
    </row>
    <row r="298" spans="1:11" x14ac:dyDescent="0.2">
      <c r="A298" t="s">
        <v>226</v>
      </c>
      <c r="B298">
        <v>432549</v>
      </c>
      <c r="C298" t="s">
        <v>227</v>
      </c>
      <c r="D298" t="s">
        <v>228</v>
      </c>
      <c r="E298" s="667">
        <v>39708</v>
      </c>
      <c r="F298" t="s">
        <v>229</v>
      </c>
      <c r="G298" t="s">
        <v>16</v>
      </c>
      <c r="H298" t="s">
        <v>96</v>
      </c>
      <c r="I298" t="s">
        <v>75</v>
      </c>
      <c r="J298" t="s">
        <v>23</v>
      </c>
      <c r="K298" t="s">
        <v>19</v>
      </c>
    </row>
    <row r="299" spans="1:11" x14ac:dyDescent="0.2">
      <c r="A299" t="s">
        <v>226</v>
      </c>
      <c r="B299">
        <v>705577</v>
      </c>
      <c r="C299" t="s">
        <v>227</v>
      </c>
      <c r="D299" t="s">
        <v>228</v>
      </c>
      <c r="E299" s="667">
        <v>44807</v>
      </c>
      <c r="F299" t="s">
        <v>229</v>
      </c>
      <c r="G299" t="s">
        <v>16</v>
      </c>
      <c r="H299" t="s">
        <v>17</v>
      </c>
      <c r="I299" t="s">
        <v>157</v>
      </c>
      <c r="J299" t="s">
        <v>17</v>
      </c>
      <c r="K299" t="s">
        <v>19</v>
      </c>
    </row>
    <row r="300" spans="1:11" x14ac:dyDescent="0.2">
      <c r="A300" t="s">
        <v>226</v>
      </c>
      <c r="B300">
        <v>674820</v>
      </c>
      <c r="C300" t="s">
        <v>227</v>
      </c>
      <c r="D300" t="s">
        <v>227</v>
      </c>
      <c r="E300" s="667">
        <v>44347</v>
      </c>
      <c r="F300" t="s">
        <v>229</v>
      </c>
      <c r="G300" t="s">
        <v>16</v>
      </c>
      <c r="H300" t="s">
        <v>148</v>
      </c>
      <c r="I300" t="s">
        <v>75</v>
      </c>
      <c r="J300" t="s">
        <v>17</v>
      </c>
      <c r="K300" t="s">
        <v>19</v>
      </c>
    </row>
    <row r="301" spans="1:11" x14ac:dyDescent="0.2">
      <c r="A301" t="s">
        <v>226</v>
      </c>
      <c r="B301">
        <v>336200</v>
      </c>
      <c r="C301" t="s">
        <v>227</v>
      </c>
      <c r="D301" t="s">
        <v>228</v>
      </c>
      <c r="E301" s="667">
        <v>39406</v>
      </c>
      <c r="F301" t="s">
        <v>229</v>
      </c>
      <c r="G301" t="s">
        <v>16</v>
      </c>
      <c r="H301" t="s">
        <v>96</v>
      </c>
      <c r="I301" t="s">
        <v>59</v>
      </c>
      <c r="J301" t="s">
        <v>23</v>
      </c>
      <c r="K301" t="s">
        <v>19</v>
      </c>
    </row>
    <row r="302" spans="1:11" x14ac:dyDescent="0.2">
      <c r="A302" t="s">
        <v>226</v>
      </c>
      <c r="B302">
        <v>523266</v>
      </c>
      <c r="C302" t="s">
        <v>227</v>
      </c>
      <c r="D302" t="s">
        <v>228</v>
      </c>
      <c r="E302" s="667">
        <v>42188</v>
      </c>
      <c r="F302" t="s">
        <v>229</v>
      </c>
      <c r="G302" t="s">
        <v>16</v>
      </c>
      <c r="H302" t="s">
        <v>148</v>
      </c>
      <c r="I302" t="s">
        <v>38</v>
      </c>
      <c r="J302" t="s">
        <v>23</v>
      </c>
      <c r="K302" t="s">
        <v>19</v>
      </c>
    </row>
    <row r="303" spans="1:11" x14ac:dyDescent="0.2">
      <c r="A303" t="s">
        <v>226</v>
      </c>
      <c r="B303">
        <v>478069</v>
      </c>
      <c r="C303" t="s">
        <v>227</v>
      </c>
      <c r="D303" t="s">
        <v>228</v>
      </c>
      <c r="E303" s="667">
        <v>41892</v>
      </c>
      <c r="F303" t="s">
        <v>229</v>
      </c>
      <c r="G303" t="s">
        <v>16</v>
      </c>
      <c r="H303" t="s">
        <v>163</v>
      </c>
      <c r="I303" t="s">
        <v>68</v>
      </c>
      <c r="J303" t="s">
        <v>23</v>
      </c>
      <c r="K303" t="s">
        <v>19</v>
      </c>
    </row>
    <row r="304" spans="1:11" x14ac:dyDescent="0.2">
      <c r="A304" t="s">
        <v>226</v>
      </c>
      <c r="B304">
        <v>539716</v>
      </c>
      <c r="C304" t="s">
        <v>227</v>
      </c>
      <c r="D304" t="s">
        <v>228</v>
      </c>
      <c r="E304" s="667">
        <v>42644</v>
      </c>
      <c r="F304" t="s">
        <v>229</v>
      </c>
      <c r="G304" t="s">
        <v>16</v>
      </c>
      <c r="H304" t="s">
        <v>163</v>
      </c>
      <c r="I304" t="s">
        <v>43</v>
      </c>
      <c r="J304" t="s">
        <v>23</v>
      </c>
      <c r="K304" t="s">
        <v>19</v>
      </c>
    </row>
    <row r="305" spans="1:11" x14ac:dyDescent="0.2">
      <c r="A305" t="s">
        <v>226</v>
      </c>
      <c r="B305">
        <v>539715</v>
      </c>
      <c r="C305" t="s">
        <v>227</v>
      </c>
      <c r="D305" t="s">
        <v>228</v>
      </c>
      <c r="E305" s="667">
        <v>42625</v>
      </c>
      <c r="F305" t="s">
        <v>229</v>
      </c>
      <c r="G305" t="s">
        <v>16</v>
      </c>
      <c r="H305" t="s">
        <v>163</v>
      </c>
      <c r="I305" t="s">
        <v>38</v>
      </c>
      <c r="J305" t="s">
        <v>23</v>
      </c>
      <c r="K305" t="s">
        <v>19</v>
      </c>
    </row>
    <row r="306" spans="1:11" x14ac:dyDescent="0.2">
      <c r="A306" t="s">
        <v>226</v>
      </c>
      <c r="B306">
        <v>523930</v>
      </c>
      <c r="C306" t="s">
        <v>227</v>
      </c>
      <c r="D306" t="s">
        <v>228</v>
      </c>
      <c r="E306" s="667">
        <v>42389</v>
      </c>
      <c r="F306" t="s">
        <v>229</v>
      </c>
      <c r="G306" t="s">
        <v>16</v>
      </c>
      <c r="H306" t="s">
        <v>96</v>
      </c>
      <c r="I306" t="s">
        <v>43</v>
      </c>
      <c r="J306" t="s">
        <v>23</v>
      </c>
      <c r="K306" t="s">
        <v>22</v>
      </c>
    </row>
    <row r="307" spans="1:11" x14ac:dyDescent="0.2">
      <c r="A307" t="s">
        <v>226</v>
      </c>
      <c r="B307">
        <v>479932</v>
      </c>
      <c r="C307" t="s">
        <v>227</v>
      </c>
      <c r="D307" t="s">
        <v>228</v>
      </c>
      <c r="E307" s="667">
        <v>41885</v>
      </c>
      <c r="F307" t="s">
        <v>229</v>
      </c>
      <c r="G307" t="s">
        <v>16</v>
      </c>
      <c r="H307" t="s">
        <v>96</v>
      </c>
      <c r="I307" t="s">
        <v>68</v>
      </c>
      <c r="J307" t="s">
        <v>23</v>
      </c>
      <c r="K307" t="s">
        <v>19</v>
      </c>
    </row>
    <row r="308" spans="1:11" x14ac:dyDescent="0.2">
      <c r="A308" t="s">
        <v>226</v>
      </c>
      <c r="B308">
        <v>607901</v>
      </c>
      <c r="C308" t="s">
        <v>227</v>
      </c>
      <c r="D308" t="s">
        <v>228</v>
      </c>
      <c r="E308" s="667">
        <v>43670</v>
      </c>
      <c r="F308" t="s">
        <v>229</v>
      </c>
      <c r="G308" t="s">
        <v>16</v>
      </c>
      <c r="H308" t="s">
        <v>17</v>
      </c>
      <c r="I308" t="s">
        <v>21</v>
      </c>
      <c r="J308" t="s">
        <v>17</v>
      </c>
      <c r="K308" t="s">
        <v>19</v>
      </c>
    </row>
    <row r="309" spans="1:11" x14ac:dyDescent="0.2">
      <c r="A309" t="s">
        <v>226</v>
      </c>
      <c r="B309">
        <v>462173</v>
      </c>
      <c r="C309" t="s">
        <v>227</v>
      </c>
      <c r="D309" t="s">
        <v>228</v>
      </c>
      <c r="E309" s="667">
        <v>41648</v>
      </c>
      <c r="F309" t="s">
        <v>229</v>
      </c>
      <c r="G309" t="s">
        <v>16</v>
      </c>
      <c r="H309" t="s">
        <v>96</v>
      </c>
      <c r="I309" t="s">
        <v>41</v>
      </c>
      <c r="J309" t="s">
        <v>23</v>
      </c>
      <c r="K309" t="s">
        <v>19</v>
      </c>
    </row>
    <row r="310" spans="1:11" x14ac:dyDescent="0.2">
      <c r="A310" t="s">
        <v>226</v>
      </c>
      <c r="B310">
        <v>538181</v>
      </c>
      <c r="C310" t="s">
        <v>227</v>
      </c>
      <c r="D310" t="s">
        <v>228</v>
      </c>
      <c r="E310" s="667">
        <v>42628</v>
      </c>
      <c r="F310" t="s">
        <v>229</v>
      </c>
      <c r="G310" t="s">
        <v>16</v>
      </c>
      <c r="H310" t="s">
        <v>148</v>
      </c>
      <c r="I310" t="s">
        <v>46</v>
      </c>
      <c r="J310" t="s">
        <v>23</v>
      </c>
      <c r="K310" t="s">
        <v>19</v>
      </c>
    </row>
    <row r="311" spans="1:11" x14ac:dyDescent="0.2">
      <c r="A311" t="s">
        <v>226</v>
      </c>
      <c r="B311" t="s">
        <v>230</v>
      </c>
      <c r="C311" t="s">
        <v>227</v>
      </c>
      <c r="D311" t="s">
        <v>228</v>
      </c>
      <c r="E311" s="667">
        <v>44994</v>
      </c>
      <c r="F311" t="s">
        <v>229</v>
      </c>
      <c r="G311" t="s">
        <v>16</v>
      </c>
      <c r="H311" t="s">
        <v>17</v>
      </c>
      <c r="I311" t="s">
        <v>17</v>
      </c>
      <c r="J311" t="s">
        <v>17</v>
      </c>
      <c r="K311" t="s">
        <v>19</v>
      </c>
    </row>
    <row r="312" spans="1:11" x14ac:dyDescent="0.2">
      <c r="A312" t="s">
        <v>226</v>
      </c>
      <c r="B312">
        <v>336196</v>
      </c>
      <c r="C312" t="s">
        <v>227</v>
      </c>
      <c r="D312" t="s">
        <v>228</v>
      </c>
      <c r="E312" s="667">
        <v>40235</v>
      </c>
      <c r="F312" t="s">
        <v>229</v>
      </c>
      <c r="G312" t="s">
        <v>16</v>
      </c>
      <c r="H312" t="s">
        <v>96</v>
      </c>
      <c r="I312" t="s">
        <v>68</v>
      </c>
      <c r="J312" t="s">
        <v>23</v>
      </c>
      <c r="K312" t="s">
        <v>19</v>
      </c>
    </row>
    <row r="313" spans="1:11" x14ac:dyDescent="0.2">
      <c r="A313" t="s">
        <v>226</v>
      </c>
      <c r="B313">
        <v>447619</v>
      </c>
      <c r="C313" t="s">
        <v>227</v>
      </c>
      <c r="D313" t="s">
        <v>228</v>
      </c>
      <c r="E313" s="667">
        <v>41705</v>
      </c>
      <c r="F313" t="s">
        <v>229</v>
      </c>
      <c r="G313" t="s">
        <v>16</v>
      </c>
      <c r="H313" t="s">
        <v>96</v>
      </c>
      <c r="I313" t="s">
        <v>41</v>
      </c>
      <c r="J313" t="s">
        <v>23</v>
      </c>
      <c r="K313" t="s">
        <v>19</v>
      </c>
    </row>
    <row r="314" spans="1:11" x14ac:dyDescent="0.2">
      <c r="A314" t="s">
        <v>226</v>
      </c>
      <c r="B314">
        <v>523281</v>
      </c>
      <c r="C314" t="s">
        <v>227</v>
      </c>
      <c r="D314" t="s">
        <v>228</v>
      </c>
      <c r="E314" s="667">
        <v>42005</v>
      </c>
      <c r="F314" t="s">
        <v>229</v>
      </c>
      <c r="G314" t="s">
        <v>16</v>
      </c>
      <c r="H314" t="s">
        <v>17</v>
      </c>
      <c r="I314" t="s">
        <v>38</v>
      </c>
      <c r="J314" t="s">
        <v>23</v>
      </c>
      <c r="K314" t="s">
        <v>19</v>
      </c>
    </row>
    <row r="315" spans="1:11" x14ac:dyDescent="0.2">
      <c r="A315" t="s">
        <v>226</v>
      </c>
      <c r="B315">
        <v>520242</v>
      </c>
      <c r="C315" t="s">
        <v>227</v>
      </c>
      <c r="D315" t="s">
        <v>228</v>
      </c>
      <c r="E315" s="667">
        <v>42213</v>
      </c>
      <c r="F315" t="s">
        <v>229</v>
      </c>
      <c r="G315" t="s">
        <v>16</v>
      </c>
      <c r="H315" t="s">
        <v>148</v>
      </c>
      <c r="I315" t="s">
        <v>38</v>
      </c>
      <c r="J315" t="s">
        <v>23</v>
      </c>
      <c r="K315" t="s">
        <v>19</v>
      </c>
    </row>
    <row r="316" spans="1:11" x14ac:dyDescent="0.2">
      <c r="A316" t="s">
        <v>226</v>
      </c>
      <c r="B316">
        <v>523035</v>
      </c>
      <c r="C316" t="s">
        <v>227</v>
      </c>
      <c r="D316" t="s">
        <v>228</v>
      </c>
      <c r="E316" s="667">
        <v>41653</v>
      </c>
      <c r="F316" t="s">
        <v>229</v>
      </c>
      <c r="G316" t="s">
        <v>16</v>
      </c>
      <c r="H316" t="s">
        <v>96</v>
      </c>
      <c r="I316" t="s">
        <v>38</v>
      </c>
      <c r="J316" t="s">
        <v>23</v>
      </c>
      <c r="K316" t="s">
        <v>19</v>
      </c>
    </row>
    <row r="317" spans="1:11" x14ac:dyDescent="0.2">
      <c r="A317" t="s">
        <v>226</v>
      </c>
      <c r="B317">
        <v>621623</v>
      </c>
      <c r="C317" t="s">
        <v>227</v>
      </c>
      <c r="D317" t="s">
        <v>228</v>
      </c>
      <c r="E317" s="667">
        <v>43781</v>
      </c>
      <c r="F317" t="s">
        <v>229</v>
      </c>
      <c r="G317" t="s">
        <v>16</v>
      </c>
      <c r="H317" t="s">
        <v>148</v>
      </c>
      <c r="I317" t="s">
        <v>46</v>
      </c>
      <c r="J317" t="s">
        <v>17</v>
      </c>
      <c r="K317" t="s">
        <v>19</v>
      </c>
    </row>
    <row r="318" spans="1:11" x14ac:dyDescent="0.2">
      <c r="A318" t="s">
        <v>226</v>
      </c>
      <c r="B318">
        <v>600990</v>
      </c>
      <c r="C318" t="s">
        <v>227</v>
      </c>
      <c r="D318" t="s">
        <v>228</v>
      </c>
      <c r="E318" s="667">
        <v>43453</v>
      </c>
      <c r="F318" t="s">
        <v>229</v>
      </c>
      <c r="G318" t="s">
        <v>16</v>
      </c>
      <c r="H318" t="s">
        <v>148</v>
      </c>
      <c r="I318" t="s">
        <v>55</v>
      </c>
      <c r="J318">
        <v>1326</v>
      </c>
      <c r="K318" t="s">
        <v>19</v>
      </c>
    </row>
    <row r="319" spans="1:11" x14ac:dyDescent="0.2">
      <c r="A319" t="s">
        <v>226</v>
      </c>
      <c r="B319" t="s">
        <v>231</v>
      </c>
      <c r="C319" t="s">
        <v>227</v>
      </c>
      <c r="D319" t="s">
        <v>228</v>
      </c>
      <c r="E319" s="667">
        <v>44813</v>
      </c>
      <c r="F319" t="s">
        <v>229</v>
      </c>
      <c r="G319" t="s">
        <v>16</v>
      </c>
      <c r="H319" t="s">
        <v>96</v>
      </c>
      <c r="I319" t="s">
        <v>41</v>
      </c>
      <c r="J319">
        <v>2126.66</v>
      </c>
      <c r="K319" t="s">
        <v>19</v>
      </c>
    </row>
    <row r="320" spans="1:11" x14ac:dyDescent="0.2">
      <c r="A320" t="s">
        <v>226</v>
      </c>
      <c r="B320">
        <v>559550</v>
      </c>
      <c r="C320" t="s">
        <v>227</v>
      </c>
      <c r="D320" t="s">
        <v>228</v>
      </c>
      <c r="E320" s="667">
        <v>42974</v>
      </c>
      <c r="F320" t="s">
        <v>229</v>
      </c>
      <c r="G320" t="s">
        <v>16</v>
      </c>
      <c r="H320" t="s">
        <v>17</v>
      </c>
      <c r="I320" t="s">
        <v>41</v>
      </c>
      <c r="J320" t="s">
        <v>23</v>
      </c>
      <c r="K320" t="s">
        <v>19</v>
      </c>
    </row>
    <row r="321" spans="1:11" x14ac:dyDescent="0.2">
      <c r="A321" t="s">
        <v>226</v>
      </c>
      <c r="B321">
        <v>402289</v>
      </c>
      <c r="C321" t="s">
        <v>227</v>
      </c>
      <c r="D321" t="s">
        <v>228</v>
      </c>
      <c r="E321" s="667">
        <v>41276</v>
      </c>
      <c r="F321" t="s">
        <v>229</v>
      </c>
      <c r="G321" t="s">
        <v>16</v>
      </c>
      <c r="H321" t="s">
        <v>96</v>
      </c>
      <c r="I321" t="s">
        <v>21</v>
      </c>
      <c r="J321" t="s">
        <v>23</v>
      </c>
      <c r="K321" t="s">
        <v>19</v>
      </c>
    </row>
    <row r="322" spans="1:11" x14ac:dyDescent="0.2">
      <c r="A322" t="s">
        <v>226</v>
      </c>
      <c r="B322">
        <v>432751</v>
      </c>
      <c r="C322" t="s">
        <v>227</v>
      </c>
      <c r="D322" t="s">
        <v>228</v>
      </c>
      <c r="E322" s="667">
        <v>41627</v>
      </c>
      <c r="F322" t="s">
        <v>229</v>
      </c>
      <c r="G322" t="s">
        <v>16</v>
      </c>
      <c r="H322" t="s">
        <v>96</v>
      </c>
      <c r="I322" t="s">
        <v>41</v>
      </c>
      <c r="J322" t="s">
        <v>23</v>
      </c>
      <c r="K322" t="s">
        <v>19</v>
      </c>
    </row>
    <row r="323" spans="1:11" x14ac:dyDescent="0.2">
      <c r="A323" t="s">
        <v>226</v>
      </c>
      <c r="B323">
        <v>708936</v>
      </c>
      <c r="C323" t="s">
        <v>227</v>
      </c>
      <c r="D323" t="s">
        <v>227</v>
      </c>
      <c r="E323" s="667">
        <v>44568</v>
      </c>
      <c r="F323" t="s">
        <v>229</v>
      </c>
      <c r="G323" t="s">
        <v>16</v>
      </c>
      <c r="H323" t="s">
        <v>17</v>
      </c>
      <c r="I323" t="s">
        <v>17</v>
      </c>
      <c r="J323" t="s">
        <v>17</v>
      </c>
      <c r="K323" t="s">
        <v>24</v>
      </c>
    </row>
    <row r="324" spans="1:11" x14ac:dyDescent="0.2">
      <c r="A324" t="s">
        <v>226</v>
      </c>
      <c r="B324">
        <v>705583</v>
      </c>
      <c r="C324" t="s">
        <v>227</v>
      </c>
      <c r="D324" t="s">
        <v>228</v>
      </c>
      <c r="E324" s="667">
        <v>43576</v>
      </c>
      <c r="F324" t="s">
        <v>229</v>
      </c>
      <c r="G324" t="s">
        <v>16</v>
      </c>
      <c r="H324" t="s">
        <v>96</v>
      </c>
      <c r="I324" t="s">
        <v>21</v>
      </c>
      <c r="J324">
        <v>8612.58</v>
      </c>
      <c r="K324" t="s">
        <v>19</v>
      </c>
    </row>
    <row r="325" spans="1:11" x14ac:dyDescent="0.2">
      <c r="A325" t="s">
        <v>226</v>
      </c>
      <c r="B325">
        <v>581364</v>
      </c>
      <c r="C325" t="s">
        <v>227</v>
      </c>
      <c r="D325" t="s">
        <v>228</v>
      </c>
      <c r="E325" s="667">
        <v>43297</v>
      </c>
      <c r="F325" t="s">
        <v>229</v>
      </c>
      <c r="G325" t="s">
        <v>16</v>
      </c>
      <c r="H325" t="s">
        <v>17</v>
      </c>
      <c r="I325" t="s">
        <v>85</v>
      </c>
      <c r="J325" t="s">
        <v>17</v>
      </c>
      <c r="K325" t="s">
        <v>19</v>
      </c>
    </row>
    <row r="326" spans="1:11" x14ac:dyDescent="0.2">
      <c r="A326" t="s">
        <v>226</v>
      </c>
      <c r="B326" t="s">
        <v>232</v>
      </c>
      <c r="C326" t="s">
        <v>227</v>
      </c>
      <c r="D326" t="s">
        <v>228</v>
      </c>
      <c r="E326" s="667">
        <v>43903</v>
      </c>
      <c r="F326" t="s">
        <v>229</v>
      </c>
      <c r="G326" t="s">
        <v>16</v>
      </c>
      <c r="H326" t="s">
        <v>96</v>
      </c>
      <c r="I326" t="s">
        <v>17</v>
      </c>
      <c r="J326" t="s">
        <v>17</v>
      </c>
      <c r="K326" t="s">
        <v>19</v>
      </c>
    </row>
    <row r="327" spans="1:11" x14ac:dyDescent="0.2">
      <c r="A327" t="s">
        <v>226</v>
      </c>
      <c r="B327">
        <v>436884</v>
      </c>
      <c r="C327" t="s">
        <v>227</v>
      </c>
      <c r="D327" t="s">
        <v>228</v>
      </c>
      <c r="E327" s="667">
        <v>41660</v>
      </c>
      <c r="F327" t="s">
        <v>229</v>
      </c>
      <c r="G327" t="s">
        <v>16</v>
      </c>
      <c r="H327" t="s">
        <v>96</v>
      </c>
      <c r="I327" t="s">
        <v>38</v>
      </c>
      <c r="J327" t="s">
        <v>23</v>
      </c>
      <c r="K327" t="s">
        <v>19</v>
      </c>
    </row>
    <row r="328" spans="1:11" x14ac:dyDescent="0.2">
      <c r="A328" t="s">
        <v>226</v>
      </c>
      <c r="B328">
        <v>594281</v>
      </c>
      <c r="C328" t="s">
        <v>227</v>
      </c>
      <c r="D328" t="s">
        <v>228</v>
      </c>
      <c r="E328" s="667">
        <v>43076</v>
      </c>
      <c r="F328" t="s">
        <v>229</v>
      </c>
      <c r="G328" t="s">
        <v>16</v>
      </c>
      <c r="H328" t="s">
        <v>96</v>
      </c>
      <c r="I328" t="s">
        <v>38</v>
      </c>
      <c r="J328" t="s">
        <v>233</v>
      </c>
      <c r="K328" t="s">
        <v>19</v>
      </c>
    </row>
    <row r="329" spans="1:11" x14ac:dyDescent="0.2">
      <c r="A329" t="s">
        <v>226</v>
      </c>
      <c r="B329">
        <v>659008</v>
      </c>
      <c r="C329" t="s">
        <v>227</v>
      </c>
      <c r="D329" t="s">
        <v>228</v>
      </c>
      <c r="E329" s="667">
        <v>44151</v>
      </c>
      <c r="F329" t="s">
        <v>229</v>
      </c>
      <c r="G329" t="s">
        <v>16</v>
      </c>
      <c r="H329" t="s">
        <v>96</v>
      </c>
      <c r="I329" t="s">
        <v>59</v>
      </c>
      <c r="J329" t="s">
        <v>234</v>
      </c>
      <c r="K329" t="s">
        <v>19</v>
      </c>
    </row>
    <row r="330" spans="1:11" x14ac:dyDescent="0.2">
      <c r="A330" t="s">
        <v>226</v>
      </c>
      <c r="B330">
        <v>706375</v>
      </c>
      <c r="C330" t="s">
        <v>227</v>
      </c>
      <c r="D330" t="s">
        <v>228</v>
      </c>
      <c r="E330" s="667">
        <v>44729</v>
      </c>
      <c r="F330" t="s">
        <v>229</v>
      </c>
      <c r="G330" t="s">
        <v>16</v>
      </c>
      <c r="H330" t="s">
        <v>17</v>
      </c>
      <c r="J330" t="s">
        <v>17</v>
      </c>
      <c r="K330" t="s">
        <v>19</v>
      </c>
    </row>
    <row r="331" spans="1:11" x14ac:dyDescent="0.2">
      <c r="A331" t="s">
        <v>226</v>
      </c>
      <c r="B331">
        <v>624731</v>
      </c>
      <c r="C331" t="s">
        <v>227</v>
      </c>
      <c r="D331" t="s">
        <v>228</v>
      </c>
      <c r="E331" s="667">
        <v>43101</v>
      </c>
      <c r="F331" t="s">
        <v>229</v>
      </c>
      <c r="G331" t="s">
        <v>16</v>
      </c>
      <c r="H331" t="s">
        <v>17</v>
      </c>
      <c r="I331" t="s">
        <v>17</v>
      </c>
      <c r="J331" t="s">
        <v>17</v>
      </c>
      <c r="K331" t="s">
        <v>19</v>
      </c>
    </row>
    <row r="332" spans="1:11" x14ac:dyDescent="0.2">
      <c r="A332" t="s">
        <v>226</v>
      </c>
      <c r="B332">
        <v>58873</v>
      </c>
      <c r="C332" t="s">
        <v>227</v>
      </c>
      <c r="D332" t="s">
        <v>228</v>
      </c>
      <c r="E332" s="667">
        <v>43329</v>
      </c>
      <c r="F332" t="s">
        <v>229</v>
      </c>
      <c r="G332" t="s">
        <v>16</v>
      </c>
      <c r="H332" t="s">
        <v>96</v>
      </c>
      <c r="I332" t="s">
        <v>38</v>
      </c>
      <c r="J332" t="s">
        <v>17</v>
      </c>
      <c r="K332" t="s">
        <v>19</v>
      </c>
    </row>
    <row r="333" spans="1:11" x14ac:dyDescent="0.2">
      <c r="A333" t="s">
        <v>226</v>
      </c>
      <c r="B333">
        <v>629935</v>
      </c>
      <c r="C333" t="s">
        <v>227</v>
      </c>
      <c r="D333" t="s">
        <v>228</v>
      </c>
      <c r="E333" s="667">
        <v>44138</v>
      </c>
      <c r="F333" t="s">
        <v>229</v>
      </c>
      <c r="G333" t="s">
        <v>16</v>
      </c>
      <c r="H333" t="s">
        <v>17</v>
      </c>
      <c r="I333" t="s">
        <v>17</v>
      </c>
      <c r="J333" t="s">
        <v>17</v>
      </c>
      <c r="K333" t="s">
        <v>19</v>
      </c>
    </row>
    <row r="334" spans="1:11" x14ac:dyDescent="0.2">
      <c r="A334" t="s">
        <v>226</v>
      </c>
      <c r="B334">
        <v>644600</v>
      </c>
      <c r="C334" t="s">
        <v>227</v>
      </c>
      <c r="D334" t="s">
        <v>228</v>
      </c>
      <c r="E334" s="667">
        <v>43942</v>
      </c>
      <c r="F334" t="s">
        <v>229</v>
      </c>
      <c r="G334" t="s">
        <v>16</v>
      </c>
      <c r="H334" t="s">
        <v>17</v>
      </c>
      <c r="I334" t="s">
        <v>17</v>
      </c>
      <c r="J334" t="s">
        <v>17</v>
      </c>
      <c r="K334" t="s">
        <v>19</v>
      </c>
    </row>
    <row r="335" spans="1:11" x14ac:dyDescent="0.2">
      <c r="A335" t="s">
        <v>226</v>
      </c>
      <c r="B335">
        <v>708778</v>
      </c>
      <c r="C335" t="s">
        <v>227</v>
      </c>
      <c r="D335" t="s">
        <v>228</v>
      </c>
      <c r="E335" s="667">
        <v>44542</v>
      </c>
      <c r="F335" t="s">
        <v>229</v>
      </c>
      <c r="G335" t="s">
        <v>16</v>
      </c>
      <c r="H335" t="s">
        <v>17</v>
      </c>
      <c r="I335" t="s">
        <v>85</v>
      </c>
      <c r="J335" t="s">
        <v>17</v>
      </c>
      <c r="K335" t="s">
        <v>19</v>
      </c>
    </row>
    <row r="336" spans="1:11" x14ac:dyDescent="0.2">
      <c r="A336" t="s">
        <v>226</v>
      </c>
      <c r="B336">
        <v>687911</v>
      </c>
      <c r="C336" t="s">
        <v>227</v>
      </c>
      <c r="D336" t="s">
        <v>228</v>
      </c>
      <c r="E336" s="667">
        <v>44467</v>
      </c>
      <c r="F336" t="s">
        <v>229</v>
      </c>
      <c r="G336" t="s">
        <v>16</v>
      </c>
      <c r="H336" t="s">
        <v>17</v>
      </c>
      <c r="I336" t="s">
        <v>17</v>
      </c>
      <c r="J336" t="s">
        <v>17</v>
      </c>
      <c r="K336" t="s">
        <v>19</v>
      </c>
    </row>
    <row r="337" spans="1:11" x14ac:dyDescent="0.2">
      <c r="A337" t="s">
        <v>226</v>
      </c>
      <c r="B337">
        <v>698633</v>
      </c>
      <c r="C337" t="s">
        <v>227</v>
      </c>
      <c r="D337" t="s">
        <v>228</v>
      </c>
      <c r="E337" s="667">
        <v>44297</v>
      </c>
      <c r="F337" t="s">
        <v>229</v>
      </c>
      <c r="G337" t="s">
        <v>16</v>
      </c>
      <c r="H337" t="s">
        <v>96</v>
      </c>
      <c r="I337" t="s">
        <v>68</v>
      </c>
      <c r="K337" t="s">
        <v>19</v>
      </c>
    </row>
    <row r="338" spans="1:11" x14ac:dyDescent="0.2">
      <c r="A338" t="s">
        <v>226</v>
      </c>
      <c r="B338">
        <v>706373</v>
      </c>
      <c r="C338" t="s">
        <v>227</v>
      </c>
      <c r="D338" t="s">
        <v>228</v>
      </c>
      <c r="E338" s="667">
        <v>44617</v>
      </c>
      <c r="F338" t="s">
        <v>229</v>
      </c>
      <c r="G338" t="s">
        <v>16</v>
      </c>
      <c r="H338" t="s">
        <v>17</v>
      </c>
      <c r="I338" t="s">
        <v>17</v>
      </c>
      <c r="J338" t="s">
        <v>17</v>
      </c>
      <c r="K338" t="s">
        <v>19</v>
      </c>
    </row>
    <row r="339" spans="1:11" x14ac:dyDescent="0.2">
      <c r="A339" t="s">
        <v>226</v>
      </c>
      <c r="B339" t="s">
        <v>235</v>
      </c>
      <c r="C339" t="s">
        <v>227</v>
      </c>
      <c r="D339" t="s">
        <v>228</v>
      </c>
      <c r="E339" s="667">
        <v>44803</v>
      </c>
      <c r="F339" t="s">
        <v>229</v>
      </c>
      <c r="G339" t="s">
        <v>16</v>
      </c>
      <c r="H339" t="s">
        <v>17</v>
      </c>
      <c r="I339" t="s">
        <v>41</v>
      </c>
      <c r="J339" t="s">
        <v>17</v>
      </c>
      <c r="K339" t="s">
        <v>24</v>
      </c>
    </row>
    <row r="340" spans="1:11" x14ac:dyDescent="0.2">
      <c r="A340" t="s">
        <v>226</v>
      </c>
      <c r="B340" t="s">
        <v>236</v>
      </c>
      <c r="C340" t="s">
        <v>227</v>
      </c>
      <c r="D340" t="s">
        <v>228</v>
      </c>
      <c r="E340" s="667">
        <v>44858</v>
      </c>
      <c r="F340" t="s">
        <v>229</v>
      </c>
      <c r="G340" t="s">
        <v>16</v>
      </c>
      <c r="H340" t="s">
        <v>17</v>
      </c>
      <c r="I340" t="s">
        <v>75</v>
      </c>
      <c r="J340" t="s">
        <v>17</v>
      </c>
      <c r="K340" t="s">
        <v>19</v>
      </c>
    </row>
    <row r="341" spans="1:11" x14ac:dyDescent="0.2">
      <c r="A341" t="s">
        <v>226</v>
      </c>
      <c r="B341" t="s">
        <v>237</v>
      </c>
      <c r="C341" t="s">
        <v>227</v>
      </c>
      <c r="D341" t="s">
        <v>228</v>
      </c>
      <c r="E341" s="667">
        <v>44672</v>
      </c>
      <c r="F341" t="s">
        <v>229</v>
      </c>
      <c r="G341" t="s">
        <v>16</v>
      </c>
      <c r="H341" t="s">
        <v>17</v>
      </c>
      <c r="I341" t="s">
        <v>17</v>
      </c>
      <c r="J341" t="s">
        <v>17</v>
      </c>
      <c r="K341" t="s">
        <v>19</v>
      </c>
    </row>
    <row r="342" spans="1:11" x14ac:dyDescent="0.2">
      <c r="A342" t="s">
        <v>226</v>
      </c>
      <c r="B342">
        <v>564777</v>
      </c>
      <c r="C342" t="s">
        <v>227</v>
      </c>
      <c r="D342" t="s">
        <v>228</v>
      </c>
      <c r="E342" s="667">
        <v>43080</v>
      </c>
      <c r="F342" t="s">
        <v>229</v>
      </c>
      <c r="G342" t="s">
        <v>16</v>
      </c>
      <c r="H342" t="s">
        <v>163</v>
      </c>
      <c r="I342" t="s">
        <v>18</v>
      </c>
      <c r="J342" t="s">
        <v>23</v>
      </c>
      <c r="K342" t="s">
        <v>19</v>
      </c>
    </row>
    <row r="343" spans="1:11" x14ac:dyDescent="0.2">
      <c r="A343" t="s">
        <v>226</v>
      </c>
      <c r="B343">
        <v>795756</v>
      </c>
      <c r="C343" t="s">
        <v>227</v>
      </c>
      <c r="D343" t="s">
        <v>227</v>
      </c>
      <c r="E343" s="667">
        <v>45507</v>
      </c>
      <c r="F343" t="s">
        <v>229</v>
      </c>
      <c r="G343" t="s">
        <v>16</v>
      </c>
      <c r="H343" t="s">
        <v>238</v>
      </c>
      <c r="I343" t="s">
        <v>43</v>
      </c>
      <c r="J343" t="s">
        <v>17</v>
      </c>
      <c r="K343" t="s">
        <v>19</v>
      </c>
    </row>
    <row r="344" spans="1:11" x14ac:dyDescent="0.2">
      <c r="A344" t="s">
        <v>226</v>
      </c>
      <c r="B344">
        <v>791255</v>
      </c>
      <c r="C344" t="s">
        <v>227</v>
      </c>
      <c r="D344" t="s">
        <v>227</v>
      </c>
      <c r="E344" s="667">
        <v>44097</v>
      </c>
      <c r="F344" t="s">
        <v>229</v>
      </c>
      <c r="G344" t="s">
        <v>16</v>
      </c>
      <c r="H344" t="s">
        <v>17</v>
      </c>
      <c r="I344" t="s">
        <v>68</v>
      </c>
      <c r="J344" t="s">
        <v>17</v>
      </c>
      <c r="K344" t="s">
        <v>24</v>
      </c>
    </row>
    <row r="345" spans="1:11" x14ac:dyDescent="0.2">
      <c r="A345" t="s">
        <v>226</v>
      </c>
      <c r="B345">
        <v>518787</v>
      </c>
      <c r="C345" t="s">
        <v>227</v>
      </c>
      <c r="D345" t="s">
        <v>227</v>
      </c>
      <c r="E345" s="667">
        <v>42076</v>
      </c>
      <c r="F345" t="s">
        <v>229</v>
      </c>
      <c r="G345" t="s">
        <v>16</v>
      </c>
      <c r="H345" t="s">
        <v>17</v>
      </c>
      <c r="I345" t="s">
        <v>17</v>
      </c>
      <c r="K345" t="s">
        <v>24</v>
      </c>
    </row>
    <row r="346" spans="1:11" x14ac:dyDescent="0.2">
      <c r="A346" t="s">
        <v>226</v>
      </c>
      <c r="B346">
        <v>807588</v>
      </c>
      <c r="C346" t="s">
        <v>227</v>
      </c>
      <c r="D346" t="s">
        <v>227</v>
      </c>
      <c r="E346" s="667">
        <v>44847</v>
      </c>
      <c r="F346" t="s">
        <v>229</v>
      </c>
      <c r="G346" t="s">
        <v>16</v>
      </c>
      <c r="H346" t="s">
        <v>17</v>
      </c>
      <c r="I346" t="s">
        <v>17</v>
      </c>
      <c r="K346" t="s">
        <v>24</v>
      </c>
    </row>
    <row r="347" spans="1:11" x14ac:dyDescent="0.2">
      <c r="A347" t="s">
        <v>226</v>
      </c>
      <c r="B347">
        <v>827510</v>
      </c>
      <c r="C347" t="s">
        <v>227</v>
      </c>
      <c r="D347" t="s">
        <v>227</v>
      </c>
      <c r="E347" s="667">
        <v>45394</v>
      </c>
      <c r="F347" t="s">
        <v>229</v>
      </c>
      <c r="G347" t="s">
        <v>16</v>
      </c>
      <c r="H347" t="s">
        <v>17</v>
      </c>
      <c r="I347" t="s">
        <v>17</v>
      </c>
      <c r="K347" t="s">
        <v>24</v>
      </c>
    </row>
    <row r="348" spans="1:11" x14ac:dyDescent="0.2">
      <c r="A348" t="s">
        <v>226</v>
      </c>
      <c r="B348">
        <v>827513</v>
      </c>
      <c r="C348" t="s">
        <v>227</v>
      </c>
      <c r="D348" t="s">
        <v>227</v>
      </c>
      <c r="E348" s="667">
        <v>45608</v>
      </c>
      <c r="F348" t="s">
        <v>229</v>
      </c>
      <c r="G348" t="s">
        <v>16</v>
      </c>
      <c r="H348" t="s">
        <v>17</v>
      </c>
      <c r="I348" t="s">
        <v>17</v>
      </c>
      <c r="K348" t="s">
        <v>24</v>
      </c>
    </row>
    <row r="349" spans="1:11" x14ac:dyDescent="0.2">
      <c r="A349" t="s">
        <v>226</v>
      </c>
      <c r="B349">
        <v>816403</v>
      </c>
      <c r="C349" t="s">
        <v>227</v>
      </c>
      <c r="D349" t="s">
        <v>227</v>
      </c>
      <c r="E349" s="667">
        <v>45023</v>
      </c>
      <c r="F349" t="s">
        <v>229</v>
      </c>
      <c r="G349" t="s">
        <v>16</v>
      </c>
      <c r="H349" t="s">
        <v>17</v>
      </c>
      <c r="I349" t="s">
        <v>17</v>
      </c>
      <c r="K349" t="s">
        <v>19</v>
      </c>
    </row>
    <row r="350" spans="1:11" x14ac:dyDescent="0.2">
      <c r="A350" t="s">
        <v>226</v>
      </c>
      <c r="B350">
        <v>807575</v>
      </c>
      <c r="C350" t="s">
        <v>227</v>
      </c>
      <c r="D350" t="s">
        <v>228</v>
      </c>
      <c r="E350" s="667">
        <v>45329</v>
      </c>
      <c r="F350" t="s">
        <v>229</v>
      </c>
      <c r="G350" t="s">
        <v>16</v>
      </c>
      <c r="H350" t="s">
        <v>163</v>
      </c>
      <c r="I350" t="s">
        <v>21</v>
      </c>
      <c r="J350" t="s">
        <v>23</v>
      </c>
      <c r="K350" t="s">
        <v>19</v>
      </c>
    </row>
    <row r="351" spans="1:11" x14ac:dyDescent="0.2">
      <c r="A351" t="s">
        <v>239</v>
      </c>
      <c r="B351" t="s">
        <v>240</v>
      </c>
      <c r="C351" t="s">
        <v>137</v>
      </c>
      <c r="D351" t="s">
        <v>139</v>
      </c>
      <c r="E351" s="667">
        <v>41598</v>
      </c>
      <c r="F351" t="s">
        <v>29</v>
      </c>
      <c r="G351" t="s">
        <v>16</v>
      </c>
      <c r="H351" t="s">
        <v>96</v>
      </c>
      <c r="I351" t="s">
        <v>21</v>
      </c>
      <c r="J351">
        <v>1850</v>
      </c>
      <c r="K351" t="s">
        <v>19</v>
      </c>
    </row>
    <row r="352" spans="1:11" x14ac:dyDescent="0.2">
      <c r="A352" t="s">
        <v>239</v>
      </c>
      <c r="B352">
        <v>416638</v>
      </c>
      <c r="C352" t="s">
        <v>137</v>
      </c>
      <c r="D352" t="s">
        <v>139</v>
      </c>
      <c r="E352" s="667">
        <v>41438</v>
      </c>
      <c r="F352" t="s">
        <v>29</v>
      </c>
      <c r="G352" t="s">
        <v>16</v>
      </c>
      <c r="H352" t="s">
        <v>96</v>
      </c>
      <c r="I352" t="s">
        <v>43</v>
      </c>
      <c r="J352" t="s">
        <v>23</v>
      </c>
      <c r="K352" t="s">
        <v>19</v>
      </c>
    </row>
    <row r="353" spans="1:11" x14ac:dyDescent="0.2">
      <c r="A353" t="s">
        <v>239</v>
      </c>
      <c r="B353">
        <v>164016</v>
      </c>
      <c r="C353" t="s">
        <v>137</v>
      </c>
      <c r="D353" t="s">
        <v>151</v>
      </c>
      <c r="E353" s="667">
        <v>38580</v>
      </c>
      <c r="F353" t="s">
        <v>147</v>
      </c>
      <c r="G353" t="s">
        <v>16</v>
      </c>
      <c r="H353" t="s">
        <v>163</v>
      </c>
      <c r="I353" t="s">
        <v>57</v>
      </c>
      <c r="J353" t="s">
        <v>23</v>
      </c>
      <c r="K353" t="s">
        <v>19</v>
      </c>
    </row>
    <row r="354" spans="1:11" x14ac:dyDescent="0.2">
      <c r="A354" t="s">
        <v>239</v>
      </c>
      <c r="B354">
        <v>163864</v>
      </c>
      <c r="C354" t="s">
        <v>137</v>
      </c>
      <c r="D354" t="s">
        <v>151</v>
      </c>
      <c r="E354" s="667">
        <v>38502</v>
      </c>
      <c r="F354" t="s">
        <v>145</v>
      </c>
      <c r="G354" t="s">
        <v>16</v>
      </c>
      <c r="H354" t="s">
        <v>148</v>
      </c>
      <c r="I354" t="s">
        <v>46</v>
      </c>
      <c r="J354" t="s">
        <v>23</v>
      </c>
      <c r="K354" t="s">
        <v>22</v>
      </c>
    </row>
    <row r="355" spans="1:11" x14ac:dyDescent="0.2">
      <c r="A355" t="s">
        <v>239</v>
      </c>
      <c r="B355">
        <v>255193</v>
      </c>
      <c r="C355" t="s">
        <v>137</v>
      </c>
      <c r="D355" t="s">
        <v>151</v>
      </c>
      <c r="E355" s="667">
        <v>38985</v>
      </c>
      <c r="F355" t="s">
        <v>15</v>
      </c>
      <c r="G355" t="s">
        <v>16</v>
      </c>
      <c r="H355" t="s">
        <v>148</v>
      </c>
      <c r="I355" t="s">
        <v>46</v>
      </c>
      <c r="J355" t="s">
        <v>23</v>
      </c>
      <c r="K355" t="s">
        <v>22</v>
      </c>
    </row>
    <row r="356" spans="1:11" x14ac:dyDescent="0.2">
      <c r="A356" t="s">
        <v>239</v>
      </c>
      <c r="B356">
        <v>255007</v>
      </c>
      <c r="C356" t="s">
        <v>137</v>
      </c>
      <c r="D356" t="s">
        <v>151</v>
      </c>
      <c r="E356" s="667">
        <v>39028</v>
      </c>
      <c r="F356" t="s">
        <v>15</v>
      </c>
      <c r="G356" t="s">
        <v>16</v>
      </c>
      <c r="H356" t="s">
        <v>148</v>
      </c>
      <c r="I356" t="s">
        <v>46</v>
      </c>
      <c r="J356" t="s">
        <v>23</v>
      </c>
      <c r="K356" t="s">
        <v>22</v>
      </c>
    </row>
    <row r="357" spans="1:11" x14ac:dyDescent="0.2">
      <c r="A357" t="s">
        <v>239</v>
      </c>
      <c r="B357" t="s">
        <v>241</v>
      </c>
      <c r="C357" t="s">
        <v>137</v>
      </c>
      <c r="D357" t="s">
        <v>151</v>
      </c>
      <c r="E357" s="667">
        <v>38580</v>
      </c>
      <c r="F357" t="s">
        <v>147</v>
      </c>
      <c r="G357" t="s">
        <v>16</v>
      </c>
      <c r="H357" t="s">
        <v>148</v>
      </c>
      <c r="I357" t="s">
        <v>46</v>
      </c>
      <c r="J357" t="s">
        <v>23</v>
      </c>
      <c r="K357" t="s">
        <v>19</v>
      </c>
    </row>
    <row r="358" spans="1:11" x14ac:dyDescent="0.2">
      <c r="A358" t="s">
        <v>239</v>
      </c>
      <c r="B358">
        <v>558364</v>
      </c>
      <c r="C358" t="s">
        <v>137</v>
      </c>
      <c r="D358" t="s">
        <v>242</v>
      </c>
      <c r="E358" s="667">
        <v>42970</v>
      </c>
      <c r="F358" t="s">
        <v>29</v>
      </c>
      <c r="G358" t="s">
        <v>16</v>
      </c>
      <c r="H358" t="s">
        <v>96</v>
      </c>
      <c r="I358" t="s">
        <v>157</v>
      </c>
      <c r="J358">
        <v>472.82</v>
      </c>
      <c r="K358" t="s">
        <v>24</v>
      </c>
    </row>
    <row r="359" spans="1:11" x14ac:dyDescent="0.2">
      <c r="A359" t="s">
        <v>239</v>
      </c>
      <c r="B359">
        <v>407780</v>
      </c>
      <c r="C359" t="s">
        <v>137</v>
      </c>
      <c r="D359" t="s">
        <v>243</v>
      </c>
      <c r="E359" s="667">
        <v>41399</v>
      </c>
      <c r="F359" t="s">
        <v>29</v>
      </c>
      <c r="G359" t="s">
        <v>16</v>
      </c>
      <c r="H359" t="s">
        <v>191</v>
      </c>
      <c r="I359" t="s">
        <v>68</v>
      </c>
      <c r="J359" t="s">
        <v>23</v>
      </c>
      <c r="K359" t="s">
        <v>19</v>
      </c>
    </row>
    <row r="360" spans="1:11" x14ac:dyDescent="0.2">
      <c r="A360" t="s">
        <v>239</v>
      </c>
      <c r="B360">
        <v>163873</v>
      </c>
      <c r="C360" t="s">
        <v>137</v>
      </c>
      <c r="D360" t="s">
        <v>151</v>
      </c>
      <c r="E360" s="667">
        <v>38502</v>
      </c>
      <c r="F360" t="s">
        <v>147</v>
      </c>
      <c r="G360" t="s">
        <v>16</v>
      </c>
      <c r="H360" t="s">
        <v>148</v>
      </c>
      <c r="I360" t="s">
        <v>46</v>
      </c>
      <c r="J360" t="s">
        <v>23</v>
      </c>
      <c r="K360" t="s">
        <v>19</v>
      </c>
    </row>
    <row r="361" spans="1:11" x14ac:dyDescent="0.2">
      <c r="A361" t="s">
        <v>239</v>
      </c>
      <c r="B361">
        <v>541723</v>
      </c>
      <c r="C361" t="s">
        <v>137</v>
      </c>
      <c r="D361" t="s">
        <v>139</v>
      </c>
      <c r="E361" s="667">
        <v>43133</v>
      </c>
      <c r="F361" t="s">
        <v>29</v>
      </c>
      <c r="G361" t="s">
        <v>16</v>
      </c>
      <c r="H361" t="s">
        <v>244</v>
      </c>
      <c r="I361" t="s">
        <v>38</v>
      </c>
      <c r="J361" t="s">
        <v>245</v>
      </c>
      <c r="K361" t="s">
        <v>24</v>
      </c>
    </row>
    <row r="362" spans="1:11" x14ac:dyDescent="0.2">
      <c r="A362" t="s">
        <v>239</v>
      </c>
      <c r="B362">
        <v>390260</v>
      </c>
      <c r="C362" t="s">
        <v>137</v>
      </c>
      <c r="D362" t="s">
        <v>242</v>
      </c>
      <c r="E362" s="667">
        <v>41172</v>
      </c>
      <c r="F362" t="s">
        <v>29</v>
      </c>
      <c r="G362" t="s">
        <v>16</v>
      </c>
      <c r="H362" t="s">
        <v>96</v>
      </c>
      <c r="I362" t="s">
        <v>212</v>
      </c>
      <c r="J362" t="s">
        <v>23</v>
      </c>
      <c r="K362" t="s">
        <v>22</v>
      </c>
    </row>
    <row r="363" spans="1:11" x14ac:dyDescent="0.2">
      <c r="A363" t="s">
        <v>239</v>
      </c>
      <c r="B363">
        <v>255133</v>
      </c>
      <c r="C363" t="s">
        <v>137</v>
      </c>
      <c r="D363" t="s">
        <v>151</v>
      </c>
      <c r="E363" s="667">
        <v>39204</v>
      </c>
      <c r="F363" t="s">
        <v>147</v>
      </c>
      <c r="G363" t="s">
        <v>16</v>
      </c>
      <c r="H363" t="s">
        <v>148</v>
      </c>
      <c r="I363" t="s">
        <v>46</v>
      </c>
      <c r="J363" t="s">
        <v>23</v>
      </c>
      <c r="K363" t="s">
        <v>19</v>
      </c>
    </row>
    <row r="364" spans="1:11" x14ac:dyDescent="0.2">
      <c r="A364" t="s">
        <v>239</v>
      </c>
      <c r="B364">
        <v>514409</v>
      </c>
      <c r="C364" t="s">
        <v>137</v>
      </c>
      <c r="D364" t="s">
        <v>242</v>
      </c>
      <c r="E364" s="667">
        <v>42240</v>
      </c>
      <c r="F364" t="s">
        <v>29</v>
      </c>
      <c r="G364" t="s">
        <v>16</v>
      </c>
      <c r="H364" t="s">
        <v>246</v>
      </c>
      <c r="I364" t="s">
        <v>43</v>
      </c>
      <c r="J364" t="s">
        <v>23</v>
      </c>
      <c r="K364" t="s">
        <v>247</v>
      </c>
    </row>
    <row r="365" spans="1:11" x14ac:dyDescent="0.2">
      <c r="A365" t="s">
        <v>239</v>
      </c>
      <c r="B365">
        <v>516361</v>
      </c>
      <c r="C365" t="s">
        <v>137</v>
      </c>
      <c r="D365" t="s">
        <v>146</v>
      </c>
      <c r="E365" s="667">
        <v>42284</v>
      </c>
      <c r="F365" t="s">
        <v>15</v>
      </c>
      <c r="G365" t="s">
        <v>16</v>
      </c>
      <c r="H365" t="s">
        <v>96</v>
      </c>
      <c r="I365" t="s">
        <v>46</v>
      </c>
      <c r="J365">
        <v>410.16</v>
      </c>
      <c r="K365" t="s">
        <v>19</v>
      </c>
    </row>
    <row r="366" spans="1:11" x14ac:dyDescent="0.2">
      <c r="A366" t="s">
        <v>239</v>
      </c>
      <c r="B366">
        <v>617718</v>
      </c>
      <c r="C366" t="s">
        <v>137</v>
      </c>
      <c r="D366" t="s">
        <v>139</v>
      </c>
      <c r="E366" s="667">
        <v>43687</v>
      </c>
      <c r="F366" t="s">
        <v>29</v>
      </c>
      <c r="G366" t="s">
        <v>16</v>
      </c>
      <c r="H366" t="s">
        <v>17</v>
      </c>
      <c r="I366" t="s">
        <v>17</v>
      </c>
      <c r="J366" t="s">
        <v>17</v>
      </c>
      <c r="K366" t="s">
        <v>82</v>
      </c>
    </row>
    <row r="367" spans="1:11" x14ac:dyDescent="0.2">
      <c r="A367" t="s">
        <v>239</v>
      </c>
      <c r="B367">
        <v>768030</v>
      </c>
      <c r="C367" t="s">
        <v>137</v>
      </c>
      <c r="D367" t="s">
        <v>248</v>
      </c>
      <c r="E367" s="667">
        <v>45187</v>
      </c>
      <c r="F367" t="s">
        <v>29</v>
      </c>
      <c r="G367" t="s">
        <v>16</v>
      </c>
      <c r="H367" t="s">
        <v>148</v>
      </c>
      <c r="I367" t="s">
        <v>38</v>
      </c>
      <c r="J367" t="s">
        <v>155</v>
      </c>
      <c r="K367" t="s">
        <v>19</v>
      </c>
    </row>
    <row r="368" spans="1:11" x14ac:dyDescent="0.2">
      <c r="A368" t="s">
        <v>239</v>
      </c>
      <c r="B368">
        <v>429265</v>
      </c>
      <c r="C368" t="s">
        <v>137</v>
      </c>
      <c r="D368" t="s">
        <v>243</v>
      </c>
      <c r="E368" s="667">
        <v>41540</v>
      </c>
      <c r="F368" t="s">
        <v>29</v>
      </c>
      <c r="G368" t="s">
        <v>16</v>
      </c>
      <c r="H368" t="s">
        <v>96</v>
      </c>
      <c r="I368" t="s">
        <v>59</v>
      </c>
      <c r="J368" t="s">
        <v>23</v>
      </c>
      <c r="K368" t="s">
        <v>19</v>
      </c>
    </row>
    <row r="369" spans="1:11" x14ac:dyDescent="0.2">
      <c r="A369" t="s">
        <v>239</v>
      </c>
      <c r="B369">
        <v>637125</v>
      </c>
      <c r="C369" t="s">
        <v>137</v>
      </c>
      <c r="D369" t="s">
        <v>248</v>
      </c>
      <c r="E369" s="667">
        <v>44152</v>
      </c>
      <c r="F369" t="s">
        <v>15</v>
      </c>
      <c r="G369" t="s">
        <v>16</v>
      </c>
      <c r="H369" t="s">
        <v>148</v>
      </c>
      <c r="I369" t="s">
        <v>74</v>
      </c>
      <c r="J369" t="s">
        <v>249</v>
      </c>
      <c r="K369" t="s">
        <v>19</v>
      </c>
    </row>
    <row r="370" spans="1:11" x14ac:dyDescent="0.2">
      <c r="A370" t="s">
        <v>239</v>
      </c>
      <c r="B370">
        <v>762247</v>
      </c>
      <c r="C370" t="s">
        <v>137</v>
      </c>
      <c r="D370" t="s">
        <v>242</v>
      </c>
      <c r="E370" s="667">
        <v>44911</v>
      </c>
      <c r="F370" t="s">
        <v>15</v>
      </c>
      <c r="G370" t="s">
        <v>16</v>
      </c>
      <c r="H370" t="s">
        <v>96</v>
      </c>
      <c r="I370" t="s">
        <v>38</v>
      </c>
      <c r="J370" t="s">
        <v>206</v>
      </c>
      <c r="K370" t="s">
        <v>19</v>
      </c>
    </row>
    <row r="371" spans="1:11" x14ac:dyDescent="0.2">
      <c r="A371" t="s">
        <v>239</v>
      </c>
      <c r="B371">
        <v>742619</v>
      </c>
      <c r="C371" t="s">
        <v>137</v>
      </c>
      <c r="D371" t="s">
        <v>139</v>
      </c>
      <c r="E371" s="667">
        <v>44936</v>
      </c>
      <c r="F371" t="s">
        <v>29</v>
      </c>
      <c r="G371" t="s">
        <v>16</v>
      </c>
      <c r="H371" t="s">
        <v>96</v>
      </c>
      <c r="I371" t="s">
        <v>85</v>
      </c>
      <c r="J371" t="s">
        <v>250</v>
      </c>
      <c r="K371" t="s">
        <v>19</v>
      </c>
    </row>
    <row r="372" spans="1:11" x14ac:dyDescent="0.2">
      <c r="A372" t="s">
        <v>239</v>
      </c>
      <c r="B372">
        <v>660248</v>
      </c>
      <c r="C372" t="s">
        <v>137</v>
      </c>
      <c r="D372" t="s">
        <v>242</v>
      </c>
      <c r="E372" s="667">
        <v>44125</v>
      </c>
      <c r="F372" t="s">
        <v>29</v>
      </c>
      <c r="G372" t="s">
        <v>16</v>
      </c>
      <c r="H372" t="s">
        <v>17</v>
      </c>
      <c r="I372" t="s">
        <v>17</v>
      </c>
      <c r="J372" t="s">
        <v>17</v>
      </c>
      <c r="K372" t="s">
        <v>24</v>
      </c>
    </row>
    <row r="373" spans="1:11" x14ac:dyDescent="0.2">
      <c r="A373" t="s">
        <v>239</v>
      </c>
      <c r="B373" t="s">
        <v>251</v>
      </c>
      <c r="C373" t="s">
        <v>137</v>
      </c>
      <c r="D373" t="s">
        <v>248</v>
      </c>
      <c r="E373" s="667">
        <v>44036</v>
      </c>
      <c r="F373" t="s">
        <v>15</v>
      </c>
      <c r="G373" t="s">
        <v>16</v>
      </c>
      <c r="H373" t="s">
        <v>148</v>
      </c>
      <c r="I373" t="s">
        <v>252</v>
      </c>
      <c r="J373" t="s">
        <v>253</v>
      </c>
      <c r="K373" t="s">
        <v>19</v>
      </c>
    </row>
    <row r="374" spans="1:11" x14ac:dyDescent="0.2">
      <c r="A374" t="s">
        <v>239</v>
      </c>
      <c r="B374">
        <v>521954</v>
      </c>
      <c r="C374" t="s">
        <v>137</v>
      </c>
      <c r="D374" t="s">
        <v>151</v>
      </c>
      <c r="E374" s="667">
        <v>42235</v>
      </c>
      <c r="F374" t="s">
        <v>15</v>
      </c>
      <c r="G374" t="s">
        <v>16</v>
      </c>
      <c r="H374" t="s">
        <v>148</v>
      </c>
      <c r="I374" t="s">
        <v>252</v>
      </c>
      <c r="J374" t="s">
        <v>23</v>
      </c>
      <c r="K374" t="s">
        <v>19</v>
      </c>
    </row>
    <row r="375" spans="1:11" x14ac:dyDescent="0.2">
      <c r="A375" t="s">
        <v>239</v>
      </c>
      <c r="B375">
        <v>591951</v>
      </c>
      <c r="C375" t="s">
        <v>137</v>
      </c>
      <c r="D375" t="s">
        <v>248</v>
      </c>
      <c r="E375" s="667">
        <v>43497</v>
      </c>
      <c r="F375" t="s">
        <v>29</v>
      </c>
      <c r="G375" t="s">
        <v>16</v>
      </c>
      <c r="H375" t="s">
        <v>148</v>
      </c>
      <c r="I375" t="s">
        <v>68</v>
      </c>
      <c r="J375" t="s">
        <v>17</v>
      </c>
      <c r="K375" t="s">
        <v>19</v>
      </c>
    </row>
    <row r="376" spans="1:11" x14ac:dyDescent="0.2">
      <c r="A376" t="s">
        <v>239</v>
      </c>
      <c r="B376">
        <v>644896</v>
      </c>
      <c r="C376" t="s">
        <v>137</v>
      </c>
      <c r="D376" t="s">
        <v>248</v>
      </c>
      <c r="E376" s="667">
        <v>43861</v>
      </c>
      <c r="F376" t="s">
        <v>29</v>
      </c>
      <c r="G376" t="s">
        <v>16</v>
      </c>
      <c r="H376" t="s">
        <v>238</v>
      </c>
      <c r="I376" t="s">
        <v>21</v>
      </c>
      <c r="J376" t="s">
        <v>23</v>
      </c>
      <c r="K376" t="s">
        <v>101</v>
      </c>
    </row>
    <row r="377" spans="1:11" x14ac:dyDescent="0.2">
      <c r="A377" t="s">
        <v>239</v>
      </c>
      <c r="B377">
        <v>579260</v>
      </c>
      <c r="C377" t="s">
        <v>137</v>
      </c>
      <c r="D377" t="s">
        <v>243</v>
      </c>
      <c r="E377" s="667">
        <v>43312</v>
      </c>
      <c r="F377" t="s">
        <v>29</v>
      </c>
      <c r="G377" t="s">
        <v>16</v>
      </c>
      <c r="H377" t="s">
        <v>254</v>
      </c>
      <c r="I377" t="s">
        <v>157</v>
      </c>
      <c r="J377" t="s">
        <v>17</v>
      </c>
      <c r="K377" t="s">
        <v>19</v>
      </c>
    </row>
    <row r="378" spans="1:11" x14ac:dyDescent="0.2">
      <c r="A378" t="s">
        <v>239</v>
      </c>
      <c r="B378">
        <v>164144</v>
      </c>
      <c r="C378" t="s">
        <v>137</v>
      </c>
      <c r="D378" t="s">
        <v>151</v>
      </c>
      <c r="E378" s="667">
        <v>38625</v>
      </c>
      <c r="F378" t="s">
        <v>145</v>
      </c>
      <c r="G378" t="s">
        <v>16</v>
      </c>
      <c r="H378" t="s">
        <v>148</v>
      </c>
      <c r="I378" t="s">
        <v>75</v>
      </c>
      <c r="J378" t="s">
        <v>23</v>
      </c>
      <c r="K378" t="s">
        <v>19</v>
      </c>
    </row>
    <row r="379" spans="1:11" x14ac:dyDescent="0.2">
      <c r="A379" t="s">
        <v>239</v>
      </c>
      <c r="B379">
        <v>262704</v>
      </c>
      <c r="C379" t="s">
        <v>137</v>
      </c>
      <c r="D379" t="s">
        <v>151</v>
      </c>
      <c r="E379" s="667">
        <v>38849</v>
      </c>
      <c r="F379" t="s">
        <v>15</v>
      </c>
      <c r="G379" t="s">
        <v>16</v>
      </c>
      <c r="H379" t="s">
        <v>163</v>
      </c>
      <c r="I379" t="s">
        <v>38</v>
      </c>
      <c r="J379" t="s">
        <v>23</v>
      </c>
      <c r="K379" t="s">
        <v>22</v>
      </c>
    </row>
    <row r="380" spans="1:11" x14ac:dyDescent="0.2">
      <c r="A380" t="s">
        <v>239</v>
      </c>
      <c r="B380">
        <v>663854</v>
      </c>
      <c r="C380" t="s">
        <v>137</v>
      </c>
      <c r="D380" t="s">
        <v>243</v>
      </c>
      <c r="E380" s="667">
        <v>43328</v>
      </c>
      <c r="F380" t="s">
        <v>29</v>
      </c>
      <c r="G380" t="s">
        <v>16</v>
      </c>
      <c r="H380" t="s">
        <v>96</v>
      </c>
      <c r="I380" t="s">
        <v>41</v>
      </c>
      <c r="J380" t="s">
        <v>255</v>
      </c>
      <c r="K380" t="s">
        <v>19</v>
      </c>
    </row>
    <row r="381" spans="1:11" x14ac:dyDescent="0.2">
      <c r="A381" t="s">
        <v>239</v>
      </c>
      <c r="B381">
        <v>648160</v>
      </c>
      <c r="C381" t="s">
        <v>137</v>
      </c>
      <c r="D381" t="s">
        <v>248</v>
      </c>
      <c r="E381" s="667">
        <v>41568</v>
      </c>
      <c r="F381" t="s">
        <v>29</v>
      </c>
      <c r="G381" t="s">
        <v>16</v>
      </c>
      <c r="H381" t="s">
        <v>238</v>
      </c>
      <c r="I381" t="s">
        <v>75</v>
      </c>
      <c r="J381" t="s">
        <v>23</v>
      </c>
      <c r="K381" t="s">
        <v>19</v>
      </c>
    </row>
    <row r="382" spans="1:11" x14ac:dyDescent="0.2">
      <c r="A382" t="s">
        <v>239</v>
      </c>
      <c r="B382">
        <v>580422</v>
      </c>
      <c r="C382" t="s">
        <v>137</v>
      </c>
      <c r="D382" t="s">
        <v>242</v>
      </c>
      <c r="E382" s="667">
        <v>43328</v>
      </c>
      <c r="F382" t="s">
        <v>29</v>
      </c>
      <c r="G382" t="s">
        <v>16</v>
      </c>
      <c r="H382" t="s">
        <v>163</v>
      </c>
      <c r="I382" t="s">
        <v>38</v>
      </c>
      <c r="J382">
        <v>1311</v>
      </c>
      <c r="K382" t="s">
        <v>19</v>
      </c>
    </row>
    <row r="383" spans="1:11" x14ac:dyDescent="0.2">
      <c r="A383" t="s">
        <v>239</v>
      </c>
      <c r="B383">
        <v>347321</v>
      </c>
      <c r="C383" t="s">
        <v>137</v>
      </c>
      <c r="D383" t="s">
        <v>243</v>
      </c>
      <c r="E383" s="667">
        <v>40360</v>
      </c>
      <c r="F383" t="s">
        <v>29</v>
      </c>
      <c r="G383" t="s">
        <v>16</v>
      </c>
      <c r="H383" t="s">
        <v>96</v>
      </c>
      <c r="I383" t="s">
        <v>51</v>
      </c>
      <c r="J383" t="s">
        <v>23</v>
      </c>
      <c r="K383" t="s">
        <v>19</v>
      </c>
    </row>
    <row r="384" spans="1:11" x14ac:dyDescent="0.2">
      <c r="A384" t="s">
        <v>239</v>
      </c>
      <c r="B384">
        <v>630438</v>
      </c>
      <c r="C384" t="s">
        <v>137</v>
      </c>
      <c r="D384" t="s">
        <v>248</v>
      </c>
      <c r="E384" s="667">
        <v>43864</v>
      </c>
      <c r="F384" t="s">
        <v>29</v>
      </c>
      <c r="G384" t="s">
        <v>16</v>
      </c>
      <c r="H384" t="s">
        <v>256</v>
      </c>
      <c r="I384" t="s">
        <v>61</v>
      </c>
      <c r="J384" t="s">
        <v>87</v>
      </c>
      <c r="K384" t="s">
        <v>257</v>
      </c>
    </row>
    <row r="385" spans="1:11" x14ac:dyDescent="0.2">
      <c r="A385" t="s">
        <v>239</v>
      </c>
      <c r="B385">
        <v>583326</v>
      </c>
      <c r="C385" t="s">
        <v>137</v>
      </c>
      <c r="D385" t="s">
        <v>243</v>
      </c>
      <c r="E385" s="667">
        <v>43369</v>
      </c>
      <c r="F385" t="s">
        <v>29</v>
      </c>
      <c r="G385" t="s">
        <v>16</v>
      </c>
      <c r="H385" t="s">
        <v>163</v>
      </c>
      <c r="I385" t="s">
        <v>57</v>
      </c>
      <c r="J385" t="s">
        <v>17</v>
      </c>
      <c r="K385" t="s">
        <v>19</v>
      </c>
    </row>
    <row r="386" spans="1:11" x14ac:dyDescent="0.2">
      <c r="A386" t="s">
        <v>239</v>
      </c>
      <c r="B386">
        <v>700533</v>
      </c>
      <c r="C386" t="s">
        <v>137</v>
      </c>
      <c r="D386" t="s">
        <v>243</v>
      </c>
      <c r="E386" s="667">
        <v>44625</v>
      </c>
      <c r="F386" t="s">
        <v>15</v>
      </c>
      <c r="G386" t="s">
        <v>16</v>
      </c>
      <c r="H386" t="s">
        <v>17</v>
      </c>
      <c r="I386" t="s">
        <v>17</v>
      </c>
      <c r="J386" t="s">
        <v>23</v>
      </c>
      <c r="K386" t="s">
        <v>19</v>
      </c>
    </row>
    <row r="387" spans="1:11" x14ac:dyDescent="0.2">
      <c r="A387" t="s">
        <v>239</v>
      </c>
      <c r="B387">
        <v>705100</v>
      </c>
      <c r="C387" t="s">
        <v>137</v>
      </c>
      <c r="D387" t="s">
        <v>258</v>
      </c>
      <c r="E387" s="667">
        <v>44726</v>
      </c>
      <c r="F387" t="s">
        <v>15</v>
      </c>
      <c r="G387" t="s">
        <v>16</v>
      </c>
      <c r="H387" t="s">
        <v>17</v>
      </c>
      <c r="I387" t="s">
        <v>17</v>
      </c>
      <c r="J387" t="s">
        <v>17</v>
      </c>
      <c r="K387" t="s">
        <v>19</v>
      </c>
    </row>
    <row r="388" spans="1:11" x14ac:dyDescent="0.2">
      <c r="A388" t="s">
        <v>239</v>
      </c>
      <c r="B388">
        <v>730899</v>
      </c>
      <c r="C388" t="s">
        <v>137</v>
      </c>
      <c r="D388" t="s">
        <v>248</v>
      </c>
      <c r="E388" s="667">
        <v>42685</v>
      </c>
      <c r="F388" t="s">
        <v>29</v>
      </c>
      <c r="G388" t="s">
        <v>16</v>
      </c>
      <c r="H388" t="s">
        <v>148</v>
      </c>
      <c r="I388" t="s">
        <v>74</v>
      </c>
      <c r="J388" t="s">
        <v>17</v>
      </c>
      <c r="K388" t="s">
        <v>19</v>
      </c>
    </row>
    <row r="389" spans="1:11" x14ac:dyDescent="0.2">
      <c r="A389" t="s">
        <v>239</v>
      </c>
      <c r="B389">
        <v>699873</v>
      </c>
      <c r="C389" t="s">
        <v>137</v>
      </c>
      <c r="D389" t="s">
        <v>242</v>
      </c>
      <c r="E389" s="667">
        <v>43818</v>
      </c>
      <c r="F389" t="s">
        <v>29</v>
      </c>
      <c r="G389" t="s">
        <v>16</v>
      </c>
      <c r="H389" t="s">
        <v>17</v>
      </c>
      <c r="I389" t="s">
        <v>55</v>
      </c>
      <c r="J389" t="s">
        <v>17</v>
      </c>
      <c r="K389" t="s">
        <v>19</v>
      </c>
    </row>
    <row r="390" spans="1:11" x14ac:dyDescent="0.2">
      <c r="A390" t="s">
        <v>239</v>
      </c>
      <c r="B390">
        <v>735826</v>
      </c>
      <c r="C390" t="s">
        <v>137</v>
      </c>
      <c r="D390" t="s">
        <v>242</v>
      </c>
      <c r="E390" s="667">
        <v>44760</v>
      </c>
      <c r="F390" t="s">
        <v>29</v>
      </c>
      <c r="G390" t="s">
        <v>16</v>
      </c>
      <c r="H390" t="s">
        <v>96</v>
      </c>
      <c r="I390" t="s">
        <v>38</v>
      </c>
      <c r="J390" t="s">
        <v>17</v>
      </c>
      <c r="K390" t="s">
        <v>19</v>
      </c>
    </row>
    <row r="391" spans="1:11" x14ac:dyDescent="0.2">
      <c r="A391" t="s">
        <v>239</v>
      </c>
      <c r="B391">
        <v>553301</v>
      </c>
      <c r="C391" t="s">
        <v>137</v>
      </c>
      <c r="D391" t="s">
        <v>243</v>
      </c>
      <c r="E391" s="667">
        <v>42720</v>
      </c>
      <c r="F391" t="s">
        <v>29</v>
      </c>
      <c r="G391" t="s">
        <v>16</v>
      </c>
      <c r="H391" t="s">
        <v>17</v>
      </c>
      <c r="I391" t="s">
        <v>17</v>
      </c>
      <c r="J391" t="s">
        <v>23</v>
      </c>
      <c r="K391" t="s">
        <v>19</v>
      </c>
    </row>
    <row r="392" spans="1:11" x14ac:dyDescent="0.2">
      <c r="A392" t="s">
        <v>239</v>
      </c>
      <c r="B392">
        <v>575478</v>
      </c>
      <c r="C392" t="s">
        <v>137</v>
      </c>
      <c r="D392" t="s">
        <v>248</v>
      </c>
      <c r="E392" s="667">
        <v>43000</v>
      </c>
      <c r="F392" t="s">
        <v>29</v>
      </c>
      <c r="G392" t="s">
        <v>16</v>
      </c>
      <c r="H392" t="s">
        <v>17</v>
      </c>
      <c r="I392" t="s">
        <v>17</v>
      </c>
      <c r="J392" t="s">
        <v>17</v>
      </c>
      <c r="K392" t="s">
        <v>19</v>
      </c>
    </row>
    <row r="393" spans="1:11" x14ac:dyDescent="0.2">
      <c r="A393" t="s">
        <v>239</v>
      </c>
      <c r="B393">
        <v>601304</v>
      </c>
      <c r="C393" t="s">
        <v>137</v>
      </c>
      <c r="D393" t="s">
        <v>243</v>
      </c>
      <c r="E393" s="667">
        <v>42880</v>
      </c>
      <c r="F393" t="s">
        <v>29</v>
      </c>
      <c r="G393" t="s">
        <v>16</v>
      </c>
      <c r="H393" t="s">
        <v>17</v>
      </c>
      <c r="I393" t="s">
        <v>17</v>
      </c>
      <c r="J393" t="s">
        <v>17</v>
      </c>
      <c r="K393" t="s">
        <v>19</v>
      </c>
    </row>
    <row r="394" spans="1:11" x14ac:dyDescent="0.2">
      <c r="A394" t="s">
        <v>239</v>
      </c>
      <c r="B394">
        <v>567690</v>
      </c>
      <c r="C394" t="s">
        <v>137</v>
      </c>
      <c r="D394" t="s">
        <v>243</v>
      </c>
      <c r="E394" s="667">
        <v>43059</v>
      </c>
      <c r="F394" t="s">
        <v>29</v>
      </c>
      <c r="G394" t="s">
        <v>16</v>
      </c>
      <c r="H394" t="s">
        <v>96</v>
      </c>
      <c r="I394" t="s">
        <v>17</v>
      </c>
      <c r="J394">
        <v>22531.88</v>
      </c>
      <c r="K394" t="s">
        <v>19</v>
      </c>
    </row>
    <row r="395" spans="1:11" x14ac:dyDescent="0.2">
      <c r="A395" t="s">
        <v>239</v>
      </c>
      <c r="B395">
        <v>581312</v>
      </c>
      <c r="C395" t="s">
        <v>137</v>
      </c>
      <c r="D395" t="s">
        <v>242</v>
      </c>
      <c r="E395" s="667">
        <v>43341</v>
      </c>
      <c r="F395" t="s">
        <v>29</v>
      </c>
      <c r="G395" t="s">
        <v>16</v>
      </c>
      <c r="H395" t="s">
        <v>17</v>
      </c>
      <c r="I395" t="s">
        <v>68</v>
      </c>
      <c r="J395" t="s">
        <v>17</v>
      </c>
      <c r="K395" t="s">
        <v>19</v>
      </c>
    </row>
    <row r="396" spans="1:11" x14ac:dyDescent="0.2">
      <c r="A396" t="s">
        <v>239</v>
      </c>
      <c r="B396">
        <v>232865</v>
      </c>
      <c r="C396" t="s">
        <v>137</v>
      </c>
      <c r="D396" t="s">
        <v>151</v>
      </c>
      <c r="E396" s="667">
        <v>38967</v>
      </c>
      <c r="F396" t="s">
        <v>15</v>
      </c>
      <c r="G396" t="s">
        <v>16</v>
      </c>
      <c r="H396" t="s">
        <v>17</v>
      </c>
      <c r="I396" t="s">
        <v>17</v>
      </c>
      <c r="J396" t="s">
        <v>23</v>
      </c>
      <c r="K396" t="s">
        <v>22</v>
      </c>
    </row>
    <row r="397" spans="1:11" x14ac:dyDescent="0.2">
      <c r="A397" t="s">
        <v>239</v>
      </c>
      <c r="B397">
        <v>582616</v>
      </c>
      <c r="C397" t="s">
        <v>137</v>
      </c>
      <c r="D397" t="s">
        <v>242</v>
      </c>
      <c r="E397" s="667">
        <v>43360</v>
      </c>
      <c r="F397" t="s">
        <v>29</v>
      </c>
      <c r="G397" t="s">
        <v>16</v>
      </c>
      <c r="H397" t="s">
        <v>17</v>
      </c>
      <c r="I397" t="s">
        <v>59</v>
      </c>
      <c r="J397">
        <v>55000</v>
      </c>
      <c r="K397" t="s">
        <v>22</v>
      </c>
    </row>
    <row r="398" spans="1:11" x14ac:dyDescent="0.2">
      <c r="A398" t="s">
        <v>239</v>
      </c>
      <c r="B398">
        <v>644893</v>
      </c>
      <c r="C398" t="s">
        <v>137</v>
      </c>
      <c r="D398" t="s">
        <v>243</v>
      </c>
      <c r="E398" s="667">
        <v>43859</v>
      </c>
      <c r="F398" t="s">
        <v>29</v>
      </c>
      <c r="G398" t="s">
        <v>16</v>
      </c>
      <c r="H398" t="s">
        <v>163</v>
      </c>
      <c r="I398" t="s">
        <v>61</v>
      </c>
      <c r="J398" t="s">
        <v>17</v>
      </c>
      <c r="K398" t="s">
        <v>82</v>
      </c>
    </row>
    <row r="399" spans="1:11" x14ac:dyDescent="0.2">
      <c r="A399" t="s">
        <v>239</v>
      </c>
      <c r="B399">
        <v>614301</v>
      </c>
      <c r="C399" t="s">
        <v>137</v>
      </c>
      <c r="D399" t="s">
        <v>248</v>
      </c>
      <c r="E399" s="667">
        <v>43753</v>
      </c>
      <c r="F399" t="s">
        <v>29</v>
      </c>
      <c r="G399" t="s">
        <v>16</v>
      </c>
      <c r="H399" t="s">
        <v>238</v>
      </c>
      <c r="I399" t="s">
        <v>157</v>
      </c>
      <c r="J399" t="s">
        <v>17</v>
      </c>
      <c r="K399" t="s">
        <v>22</v>
      </c>
    </row>
    <row r="400" spans="1:11" x14ac:dyDescent="0.2">
      <c r="A400" t="s">
        <v>239</v>
      </c>
      <c r="B400">
        <v>629833</v>
      </c>
      <c r="C400" t="s">
        <v>137</v>
      </c>
      <c r="D400" t="s">
        <v>248</v>
      </c>
      <c r="E400" s="667">
        <v>43843</v>
      </c>
      <c r="F400" t="s">
        <v>29</v>
      </c>
      <c r="G400" t="s">
        <v>16</v>
      </c>
      <c r="H400" t="s">
        <v>238</v>
      </c>
      <c r="I400" t="s">
        <v>17</v>
      </c>
      <c r="J400" t="s">
        <v>17</v>
      </c>
      <c r="K400" t="s">
        <v>19</v>
      </c>
    </row>
    <row r="401" spans="1:11" x14ac:dyDescent="0.2">
      <c r="A401" t="s">
        <v>239</v>
      </c>
      <c r="B401">
        <v>630271</v>
      </c>
      <c r="C401" t="s">
        <v>137</v>
      </c>
      <c r="D401" t="s">
        <v>248</v>
      </c>
      <c r="E401" s="667">
        <v>43889</v>
      </c>
      <c r="F401" t="s">
        <v>29</v>
      </c>
      <c r="G401" t="s">
        <v>16</v>
      </c>
      <c r="H401" t="s">
        <v>17</v>
      </c>
      <c r="I401" t="s">
        <v>17</v>
      </c>
      <c r="J401" t="s">
        <v>17</v>
      </c>
      <c r="K401" t="s">
        <v>19</v>
      </c>
    </row>
    <row r="402" spans="1:11" x14ac:dyDescent="0.2">
      <c r="A402" t="s">
        <v>239</v>
      </c>
      <c r="B402">
        <v>617292</v>
      </c>
      <c r="C402" t="s">
        <v>137</v>
      </c>
      <c r="D402" t="s">
        <v>248</v>
      </c>
      <c r="E402" s="667">
        <v>43760</v>
      </c>
      <c r="F402" t="s">
        <v>29</v>
      </c>
      <c r="G402" t="s">
        <v>16</v>
      </c>
      <c r="H402" t="s">
        <v>17</v>
      </c>
      <c r="I402" t="s">
        <v>17</v>
      </c>
      <c r="J402" t="s">
        <v>17</v>
      </c>
      <c r="K402" t="s">
        <v>19</v>
      </c>
    </row>
    <row r="403" spans="1:11" x14ac:dyDescent="0.2">
      <c r="A403" t="s">
        <v>239</v>
      </c>
      <c r="B403">
        <v>248858</v>
      </c>
      <c r="C403" t="s">
        <v>137</v>
      </c>
      <c r="D403" t="s">
        <v>151</v>
      </c>
      <c r="E403" s="667">
        <v>39038</v>
      </c>
      <c r="F403" t="s">
        <v>15</v>
      </c>
      <c r="G403" t="s">
        <v>16</v>
      </c>
      <c r="H403" t="s">
        <v>17</v>
      </c>
      <c r="I403" t="s">
        <v>17</v>
      </c>
      <c r="J403" t="s">
        <v>23</v>
      </c>
      <c r="K403" t="s">
        <v>22</v>
      </c>
    </row>
    <row r="404" spans="1:11" x14ac:dyDescent="0.2">
      <c r="A404" t="s">
        <v>239</v>
      </c>
      <c r="B404">
        <v>680196</v>
      </c>
      <c r="C404" t="s">
        <v>137</v>
      </c>
      <c r="D404" t="s">
        <v>243</v>
      </c>
      <c r="E404" s="667">
        <v>44223</v>
      </c>
      <c r="F404" t="s">
        <v>29</v>
      </c>
      <c r="G404" t="s">
        <v>16</v>
      </c>
      <c r="H404" t="s">
        <v>238</v>
      </c>
      <c r="I404" t="s">
        <v>21</v>
      </c>
      <c r="J404" t="s">
        <v>17</v>
      </c>
      <c r="K404" t="s">
        <v>22</v>
      </c>
    </row>
    <row r="405" spans="1:11" x14ac:dyDescent="0.2">
      <c r="A405" t="s">
        <v>239</v>
      </c>
      <c r="B405">
        <v>696183</v>
      </c>
      <c r="C405" t="s">
        <v>137</v>
      </c>
      <c r="D405" t="s">
        <v>248</v>
      </c>
      <c r="E405" s="667">
        <v>44532</v>
      </c>
      <c r="F405" t="s">
        <v>29</v>
      </c>
      <c r="G405" t="s">
        <v>16</v>
      </c>
      <c r="H405" t="s">
        <v>259</v>
      </c>
      <c r="I405" t="s">
        <v>17</v>
      </c>
      <c r="J405" t="s">
        <v>17</v>
      </c>
      <c r="K405" t="s">
        <v>19</v>
      </c>
    </row>
    <row r="406" spans="1:11" x14ac:dyDescent="0.2">
      <c r="A406" t="s">
        <v>239</v>
      </c>
      <c r="B406">
        <v>678531</v>
      </c>
      <c r="C406" t="s">
        <v>137</v>
      </c>
      <c r="D406" t="s">
        <v>242</v>
      </c>
      <c r="E406" s="667">
        <v>44250</v>
      </c>
      <c r="F406" t="s">
        <v>29</v>
      </c>
      <c r="G406" t="s">
        <v>16</v>
      </c>
      <c r="H406" t="s">
        <v>238</v>
      </c>
      <c r="I406" t="s">
        <v>17</v>
      </c>
      <c r="J406" t="s">
        <v>17</v>
      </c>
      <c r="K406" t="s">
        <v>19</v>
      </c>
    </row>
    <row r="407" spans="1:11" x14ac:dyDescent="0.2">
      <c r="A407" t="s">
        <v>239</v>
      </c>
      <c r="B407">
        <v>675097</v>
      </c>
      <c r="C407" t="s">
        <v>137</v>
      </c>
      <c r="D407" t="s">
        <v>248</v>
      </c>
      <c r="E407" s="667">
        <v>44447</v>
      </c>
      <c r="F407" t="s">
        <v>29</v>
      </c>
      <c r="G407" t="s">
        <v>16</v>
      </c>
      <c r="H407" t="s">
        <v>238</v>
      </c>
      <c r="I407" t="s">
        <v>17</v>
      </c>
      <c r="J407" t="s">
        <v>17</v>
      </c>
      <c r="K407" t="s">
        <v>19</v>
      </c>
    </row>
    <row r="408" spans="1:11" x14ac:dyDescent="0.2">
      <c r="A408" t="s">
        <v>239</v>
      </c>
      <c r="B408">
        <v>680209</v>
      </c>
      <c r="C408" t="s">
        <v>137</v>
      </c>
      <c r="D408" t="s">
        <v>248</v>
      </c>
      <c r="E408" s="667">
        <v>44302</v>
      </c>
      <c r="F408" t="s">
        <v>29</v>
      </c>
      <c r="G408" t="s">
        <v>16</v>
      </c>
      <c r="H408" t="s">
        <v>17</v>
      </c>
      <c r="I408" t="s">
        <v>17</v>
      </c>
      <c r="J408" t="s">
        <v>17</v>
      </c>
      <c r="K408" t="s">
        <v>19</v>
      </c>
    </row>
    <row r="409" spans="1:11" x14ac:dyDescent="0.2">
      <c r="A409" t="s">
        <v>239</v>
      </c>
      <c r="B409">
        <v>608205</v>
      </c>
      <c r="C409" t="s">
        <v>137</v>
      </c>
      <c r="D409" t="s">
        <v>248</v>
      </c>
      <c r="E409" s="667">
        <v>44421</v>
      </c>
      <c r="F409" t="s">
        <v>29</v>
      </c>
      <c r="G409" t="s">
        <v>16</v>
      </c>
      <c r="H409" t="s">
        <v>17</v>
      </c>
      <c r="I409" t="s">
        <v>17</v>
      </c>
      <c r="J409" t="s">
        <v>17</v>
      </c>
      <c r="K409" t="s">
        <v>19</v>
      </c>
    </row>
    <row r="410" spans="1:11" x14ac:dyDescent="0.2">
      <c r="A410" t="s">
        <v>239</v>
      </c>
      <c r="B410">
        <v>695252</v>
      </c>
      <c r="C410" t="s">
        <v>137</v>
      </c>
      <c r="D410" t="s">
        <v>242</v>
      </c>
      <c r="E410" s="667">
        <v>44267</v>
      </c>
      <c r="F410" t="s">
        <v>29</v>
      </c>
      <c r="G410" t="s">
        <v>16</v>
      </c>
      <c r="H410" t="s">
        <v>17</v>
      </c>
      <c r="I410" t="s">
        <v>17</v>
      </c>
      <c r="J410" t="s">
        <v>17</v>
      </c>
      <c r="K410" t="s">
        <v>19</v>
      </c>
    </row>
    <row r="411" spans="1:11" x14ac:dyDescent="0.2">
      <c r="A411" t="s">
        <v>239</v>
      </c>
      <c r="B411">
        <v>708923</v>
      </c>
      <c r="C411" t="s">
        <v>137</v>
      </c>
      <c r="D411" t="s">
        <v>242</v>
      </c>
      <c r="E411" s="667">
        <v>44481</v>
      </c>
      <c r="F411" t="s">
        <v>29</v>
      </c>
      <c r="G411" t="s">
        <v>16</v>
      </c>
      <c r="H411" t="s">
        <v>17</v>
      </c>
      <c r="I411" t="s">
        <v>17</v>
      </c>
      <c r="J411" t="s">
        <v>17</v>
      </c>
      <c r="K411" t="s">
        <v>19</v>
      </c>
    </row>
    <row r="412" spans="1:11" x14ac:dyDescent="0.2">
      <c r="A412" t="s">
        <v>239</v>
      </c>
      <c r="B412">
        <v>707933</v>
      </c>
      <c r="C412" t="s">
        <v>137</v>
      </c>
      <c r="D412" t="s">
        <v>242</v>
      </c>
      <c r="E412" s="667">
        <v>44678</v>
      </c>
      <c r="F412" t="s">
        <v>29</v>
      </c>
      <c r="G412" t="s">
        <v>16</v>
      </c>
      <c r="H412" t="s">
        <v>17</v>
      </c>
      <c r="I412" t="s">
        <v>55</v>
      </c>
      <c r="J412" t="s">
        <v>17</v>
      </c>
      <c r="K412" t="s">
        <v>22</v>
      </c>
    </row>
    <row r="413" spans="1:11" x14ac:dyDescent="0.2">
      <c r="A413" t="s">
        <v>239</v>
      </c>
      <c r="B413">
        <v>563290</v>
      </c>
      <c r="C413" t="s">
        <v>137</v>
      </c>
      <c r="D413" t="s">
        <v>162</v>
      </c>
      <c r="E413" s="667">
        <v>43028</v>
      </c>
      <c r="F413" t="s">
        <v>147</v>
      </c>
      <c r="G413" t="s">
        <v>16</v>
      </c>
      <c r="H413" t="s">
        <v>148</v>
      </c>
      <c r="I413" t="s">
        <v>75</v>
      </c>
      <c r="J413" t="s">
        <v>80</v>
      </c>
      <c r="K413" t="s">
        <v>22</v>
      </c>
    </row>
    <row r="414" spans="1:11" x14ac:dyDescent="0.2">
      <c r="A414" t="s">
        <v>239</v>
      </c>
      <c r="B414">
        <v>255041</v>
      </c>
      <c r="C414" t="s">
        <v>137</v>
      </c>
      <c r="D414" t="s">
        <v>151</v>
      </c>
      <c r="E414" s="667">
        <v>39210</v>
      </c>
      <c r="F414" t="s">
        <v>145</v>
      </c>
      <c r="G414" t="s">
        <v>16</v>
      </c>
      <c r="H414" t="s">
        <v>96</v>
      </c>
      <c r="I414" t="s">
        <v>57</v>
      </c>
      <c r="J414" t="s">
        <v>23</v>
      </c>
      <c r="K414" t="s">
        <v>19</v>
      </c>
    </row>
    <row r="415" spans="1:11" x14ac:dyDescent="0.2">
      <c r="A415" t="s">
        <v>239</v>
      </c>
      <c r="B415">
        <v>418635</v>
      </c>
      <c r="C415" t="s">
        <v>137</v>
      </c>
      <c r="D415" t="s">
        <v>248</v>
      </c>
      <c r="E415" s="667">
        <v>41478</v>
      </c>
      <c r="F415" t="s">
        <v>29</v>
      </c>
      <c r="G415" t="s">
        <v>16</v>
      </c>
      <c r="H415" t="s">
        <v>17</v>
      </c>
      <c r="I415" t="s">
        <v>17</v>
      </c>
      <c r="J415" t="s">
        <v>23</v>
      </c>
      <c r="K415" t="s">
        <v>19</v>
      </c>
    </row>
    <row r="416" spans="1:11" x14ac:dyDescent="0.2">
      <c r="A416" t="s">
        <v>239</v>
      </c>
      <c r="B416">
        <v>479970</v>
      </c>
      <c r="C416" t="s">
        <v>137</v>
      </c>
      <c r="D416" t="s">
        <v>243</v>
      </c>
      <c r="E416" s="667">
        <v>41974</v>
      </c>
      <c r="F416" t="s">
        <v>29</v>
      </c>
      <c r="G416" t="s">
        <v>16</v>
      </c>
      <c r="H416" t="s">
        <v>17</v>
      </c>
      <c r="I416" t="s">
        <v>17</v>
      </c>
      <c r="J416" t="s">
        <v>23</v>
      </c>
      <c r="K416" t="s">
        <v>19</v>
      </c>
    </row>
    <row r="417" spans="1:11" x14ac:dyDescent="0.2">
      <c r="A417" t="s">
        <v>239</v>
      </c>
      <c r="B417">
        <v>495681</v>
      </c>
      <c r="C417" t="s">
        <v>137</v>
      </c>
      <c r="D417" t="s">
        <v>243</v>
      </c>
      <c r="E417" s="667">
        <v>42054</v>
      </c>
      <c r="F417" t="s">
        <v>29</v>
      </c>
      <c r="G417" t="s">
        <v>16</v>
      </c>
      <c r="H417" t="s">
        <v>17</v>
      </c>
      <c r="I417" t="s">
        <v>17</v>
      </c>
      <c r="J417" t="s">
        <v>23</v>
      </c>
      <c r="K417" t="s">
        <v>22</v>
      </c>
    </row>
    <row r="418" spans="1:11" x14ac:dyDescent="0.2">
      <c r="A418" t="s">
        <v>239</v>
      </c>
      <c r="B418" t="s">
        <v>260</v>
      </c>
      <c r="C418" t="s">
        <v>137</v>
      </c>
      <c r="D418" t="s">
        <v>139</v>
      </c>
      <c r="E418" s="667">
        <v>42857</v>
      </c>
      <c r="F418" t="s">
        <v>29</v>
      </c>
      <c r="G418" t="s">
        <v>16</v>
      </c>
      <c r="H418" t="s">
        <v>17</v>
      </c>
      <c r="I418" t="s">
        <v>17</v>
      </c>
      <c r="J418" t="s">
        <v>23</v>
      </c>
      <c r="K418" t="s">
        <v>19</v>
      </c>
    </row>
    <row r="419" spans="1:11" x14ac:dyDescent="0.2">
      <c r="A419" t="s">
        <v>239</v>
      </c>
      <c r="B419">
        <v>595501</v>
      </c>
      <c r="C419" t="s">
        <v>137</v>
      </c>
      <c r="D419" t="s">
        <v>139</v>
      </c>
      <c r="E419" s="667">
        <v>43439</v>
      </c>
      <c r="F419" t="s">
        <v>29</v>
      </c>
      <c r="G419" t="s">
        <v>16</v>
      </c>
      <c r="H419" t="s">
        <v>17</v>
      </c>
      <c r="I419" t="s">
        <v>17</v>
      </c>
      <c r="J419" t="s">
        <v>17</v>
      </c>
      <c r="K419" t="s">
        <v>19</v>
      </c>
    </row>
    <row r="420" spans="1:11" x14ac:dyDescent="0.2">
      <c r="A420" t="s">
        <v>239</v>
      </c>
      <c r="B420">
        <v>461971</v>
      </c>
      <c r="C420" t="s">
        <v>137</v>
      </c>
      <c r="D420" t="s">
        <v>151</v>
      </c>
      <c r="E420" s="667">
        <v>41836</v>
      </c>
      <c r="F420" t="s">
        <v>15</v>
      </c>
      <c r="G420" t="s">
        <v>16</v>
      </c>
      <c r="H420" t="s">
        <v>96</v>
      </c>
      <c r="I420" t="s">
        <v>57</v>
      </c>
      <c r="J420" t="s">
        <v>23</v>
      </c>
      <c r="K420" t="s">
        <v>22</v>
      </c>
    </row>
    <row r="421" spans="1:11" x14ac:dyDescent="0.2">
      <c r="A421" t="s">
        <v>239</v>
      </c>
      <c r="B421">
        <v>773537</v>
      </c>
      <c r="C421" t="s">
        <v>137</v>
      </c>
      <c r="D421" t="s">
        <v>242</v>
      </c>
      <c r="E421" s="667">
        <v>44689</v>
      </c>
      <c r="F421" t="s">
        <v>29</v>
      </c>
      <c r="G421" t="s">
        <v>16</v>
      </c>
      <c r="H421" t="s">
        <v>17</v>
      </c>
      <c r="I421" t="s">
        <v>17</v>
      </c>
      <c r="J421" t="s">
        <v>17</v>
      </c>
      <c r="K421" t="s">
        <v>19</v>
      </c>
    </row>
    <row r="422" spans="1:11" x14ac:dyDescent="0.2">
      <c r="A422" t="s">
        <v>239</v>
      </c>
      <c r="B422">
        <v>749993</v>
      </c>
      <c r="C422" t="s">
        <v>137</v>
      </c>
      <c r="D422" t="s">
        <v>242</v>
      </c>
      <c r="E422" s="667">
        <v>45111</v>
      </c>
      <c r="F422" t="s">
        <v>29</v>
      </c>
      <c r="G422" t="s">
        <v>16</v>
      </c>
      <c r="H422" t="s">
        <v>17</v>
      </c>
      <c r="I422" t="s">
        <v>17</v>
      </c>
      <c r="J422" t="s">
        <v>17</v>
      </c>
      <c r="K422" t="s">
        <v>19</v>
      </c>
    </row>
    <row r="423" spans="1:11" x14ac:dyDescent="0.2">
      <c r="A423" t="s">
        <v>239</v>
      </c>
      <c r="B423">
        <v>795544</v>
      </c>
      <c r="C423" t="s">
        <v>137</v>
      </c>
      <c r="D423" t="s">
        <v>248</v>
      </c>
      <c r="E423" s="667">
        <v>45278</v>
      </c>
      <c r="F423" t="s">
        <v>29</v>
      </c>
      <c r="G423" t="s">
        <v>16</v>
      </c>
      <c r="H423" t="s">
        <v>17</v>
      </c>
      <c r="I423" t="s">
        <v>157</v>
      </c>
      <c r="J423" t="s">
        <v>17</v>
      </c>
      <c r="K423" t="s">
        <v>19</v>
      </c>
    </row>
    <row r="424" spans="1:11" x14ac:dyDescent="0.2">
      <c r="A424" t="s">
        <v>239</v>
      </c>
      <c r="B424">
        <v>617292</v>
      </c>
      <c r="C424" t="s">
        <v>137</v>
      </c>
      <c r="D424" t="s">
        <v>248</v>
      </c>
      <c r="E424" s="667">
        <v>45026</v>
      </c>
      <c r="F424" t="s">
        <v>29</v>
      </c>
      <c r="G424" t="s">
        <v>16</v>
      </c>
      <c r="H424" t="s">
        <v>17</v>
      </c>
      <c r="I424" t="s">
        <v>17</v>
      </c>
      <c r="J424" t="s">
        <v>17</v>
      </c>
      <c r="K424" t="s">
        <v>19</v>
      </c>
    </row>
    <row r="425" spans="1:11" x14ac:dyDescent="0.2">
      <c r="A425" t="s">
        <v>239</v>
      </c>
      <c r="B425">
        <v>793372</v>
      </c>
      <c r="C425" t="s">
        <v>137</v>
      </c>
      <c r="D425" t="s">
        <v>248</v>
      </c>
      <c r="E425" s="667">
        <v>45195</v>
      </c>
      <c r="F425" t="s">
        <v>29</v>
      </c>
      <c r="G425" t="s">
        <v>16</v>
      </c>
      <c r="H425" t="s">
        <v>17</v>
      </c>
      <c r="I425" t="s">
        <v>17</v>
      </c>
      <c r="J425" t="s">
        <v>17</v>
      </c>
      <c r="K425" t="s">
        <v>19</v>
      </c>
    </row>
    <row r="426" spans="1:11" x14ac:dyDescent="0.2">
      <c r="A426" t="s">
        <v>239</v>
      </c>
      <c r="B426">
        <v>788867</v>
      </c>
      <c r="C426" t="s">
        <v>137</v>
      </c>
      <c r="D426" t="s">
        <v>242</v>
      </c>
      <c r="E426" s="667">
        <v>45588</v>
      </c>
      <c r="F426" t="s">
        <v>29</v>
      </c>
      <c r="G426" t="s">
        <v>16</v>
      </c>
      <c r="H426" t="s">
        <v>17</v>
      </c>
      <c r="I426" t="s">
        <v>17</v>
      </c>
      <c r="J426" t="s">
        <v>17</v>
      </c>
      <c r="K426" t="s">
        <v>19</v>
      </c>
    </row>
    <row r="427" spans="1:11" x14ac:dyDescent="0.2">
      <c r="A427" t="s">
        <v>239</v>
      </c>
      <c r="B427">
        <v>816781</v>
      </c>
      <c r="C427" t="s">
        <v>137</v>
      </c>
      <c r="D427" t="s">
        <v>248</v>
      </c>
      <c r="E427" s="667">
        <v>45561</v>
      </c>
      <c r="F427" t="s">
        <v>29</v>
      </c>
      <c r="G427" t="s">
        <v>16</v>
      </c>
      <c r="H427" t="s">
        <v>17</v>
      </c>
      <c r="I427" t="s">
        <v>17</v>
      </c>
      <c r="J427" t="s">
        <v>17</v>
      </c>
      <c r="K427" t="s">
        <v>19</v>
      </c>
    </row>
    <row r="428" spans="1:11" x14ac:dyDescent="0.2">
      <c r="A428" t="s">
        <v>239</v>
      </c>
      <c r="B428" t="s">
        <v>136</v>
      </c>
      <c r="C428" t="s">
        <v>137</v>
      </c>
      <c r="D428" t="s">
        <v>138</v>
      </c>
      <c r="E428" s="667">
        <v>44147</v>
      </c>
      <c r="F428" t="s">
        <v>33</v>
      </c>
      <c r="G428" t="s">
        <v>34</v>
      </c>
      <c r="H428" t="s">
        <v>23</v>
      </c>
      <c r="I428" t="s">
        <v>65</v>
      </c>
      <c r="J428" t="s">
        <v>65</v>
      </c>
      <c r="K428" t="s">
        <v>87</v>
      </c>
    </row>
    <row r="429" spans="1:11" x14ac:dyDescent="0.2">
      <c r="A429" t="s">
        <v>239</v>
      </c>
      <c r="B429">
        <v>626104</v>
      </c>
      <c r="C429" t="s">
        <v>137</v>
      </c>
      <c r="D429" t="s">
        <v>139</v>
      </c>
      <c r="E429" s="667">
        <v>44014</v>
      </c>
      <c r="F429" t="s">
        <v>52</v>
      </c>
      <c r="G429" t="s">
        <v>34</v>
      </c>
      <c r="H429" t="s">
        <v>17</v>
      </c>
      <c r="I429" t="s">
        <v>140</v>
      </c>
      <c r="J429" t="s">
        <v>140</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762BD-A9ED-4BA3-8E1B-5FDD837B28CC}">
  <sheetPr codeName="Hoja4"/>
  <dimension ref="A1:BE436"/>
  <sheetViews>
    <sheetView showGridLines="0" zoomScaleNormal="100" workbookViewId="0">
      <pane ySplit="1" topLeftCell="A2" activePane="bottomLeft" state="frozen"/>
      <selection activeCell="E8" sqref="E8"/>
      <selection pane="bottomLeft" activeCell="A5" sqref="A5"/>
    </sheetView>
  </sheetViews>
  <sheetFormatPr baseColWidth="10" defaultColWidth="9.140625" defaultRowHeight="27.75" customHeight="1" x14ac:dyDescent="0.3"/>
  <cols>
    <col min="1" max="1" width="12" style="140" customWidth="1"/>
    <col min="2" max="2" width="23.28515625" style="140" customWidth="1"/>
    <col min="3" max="3" width="31.140625" style="140" customWidth="1"/>
    <col min="4" max="4" width="23.140625" style="140" customWidth="1"/>
    <col min="5" max="5" width="24.28515625" style="282" customWidth="1"/>
    <col min="6" max="6" width="25" style="140" customWidth="1"/>
    <col min="7" max="7" width="29.42578125" style="140" customWidth="1"/>
    <col min="8" max="8" width="31.42578125" style="140" customWidth="1"/>
    <col min="9" max="9" width="23.28515625" style="140" customWidth="1"/>
    <col min="10" max="10" width="20.42578125" style="140" customWidth="1"/>
    <col min="11" max="11" width="20.140625" style="140" customWidth="1"/>
    <col min="12" max="12" width="25.140625" style="140" customWidth="1"/>
    <col min="13" max="13" width="20" style="140" customWidth="1"/>
    <col min="14" max="14" width="26.7109375" style="639" customWidth="1"/>
    <col min="15" max="15" width="24.140625" style="140" customWidth="1"/>
    <col min="16" max="16" width="22" style="140" customWidth="1"/>
    <col min="17" max="17" width="21.7109375" style="140" customWidth="1"/>
    <col min="18" max="18" width="19.42578125" style="140" customWidth="1"/>
    <col min="19" max="19" width="20.28515625" style="140" customWidth="1"/>
    <col min="20" max="20" width="25.7109375" style="140" customWidth="1"/>
    <col min="21" max="21" width="22.7109375" style="140" customWidth="1"/>
    <col min="22" max="24" width="25.7109375" style="140" customWidth="1"/>
    <col min="25" max="25" width="24" style="140" customWidth="1"/>
    <col min="26" max="26" width="20.42578125" style="140" customWidth="1"/>
    <col min="27" max="27" width="23.140625" style="140" customWidth="1"/>
    <col min="28" max="28" width="26.85546875" style="140" customWidth="1"/>
    <col min="29" max="29" width="98" style="640" customWidth="1"/>
    <col min="30" max="30" width="18.42578125" style="282" customWidth="1"/>
    <col min="31" max="31" width="25.42578125" style="140" customWidth="1"/>
    <col min="32" max="32" width="67" style="140" customWidth="1"/>
    <col min="33" max="35" width="14.42578125" style="140"/>
    <col min="36" max="36" width="23.7109375" style="140" customWidth="1"/>
    <col min="37" max="249" width="14.42578125" style="140"/>
    <col min="250" max="250" width="8.85546875" style="140" customWidth="1"/>
    <col min="251" max="251" width="12" style="140" customWidth="1"/>
    <col min="252" max="253" width="18.7109375" style="140" customWidth="1"/>
    <col min="254" max="254" width="18.140625" style="140" customWidth="1"/>
    <col min="255" max="255" width="28.42578125" style="140" customWidth="1"/>
    <col min="256" max="256" width="22.140625" style="140" customWidth="1"/>
    <col min="257" max="257" width="42.42578125" style="140" customWidth="1"/>
    <col min="258" max="258" width="28.42578125" style="140" customWidth="1"/>
    <col min="259" max="259" width="34.28515625" style="140" customWidth="1"/>
    <col min="260" max="260" width="41.7109375" style="140" customWidth="1"/>
    <col min="261" max="261" width="23" style="140" customWidth="1"/>
    <col min="262" max="262" width="29.42578125" style="140" customWidth="1"/>
    <col min="263" max="263" width="43" style="140" customWidth="1"/>
    <col min="264" max="264" width="25.42578125" style="140" customWidth="1"/>
    <col min="265" max="265" width="37.140625" style="140" customWidth="1"/>
    <col min="266" max="266" width="27.42578125" style="140" customWidth="1"/>
    <col min="267" max="267" width="22.42578125" style="140" customWidth="1"/>
    <col min="268" max="268" width="23.42578125" style="140" customWidth="1"/>
    <col min="269" max="269" width="22" style="140" customWidth="1"/>
    <col min="270" max="270" width="17.7109375" style="140" customWidth="1"/>
    <col min="271" max="271" width="25.7109375" style="140" customWidth="1"/>
    <col min="272" max="272" width="17.7109375" style="140" customWidth="1"/>
    <col min="273" max="278" width="25.7109375" style="140" customWidth="1"/>
    <col min="279" max="279" width="26" style="140" customWidth="1"/>
    <col min="280" max="281" width="58.7109375" style="140" customWidth="1"/>
    <col min="282" max="282" width="30" style="140" customWidth="1"/>
    <col min="283" max="283" width="25.7109375" style="140" customWidth="1"/>
    <col min="284" max="284" width="60.140625" style="140" customWidth="1"/>
    <col min="285" max="285" width="18.140625" style="140" customWidth="1"/>
    <col min="286" max="286" width="20.42578125" style="140" customWidth="1"/>
    <col min="287" max="291" width="14.42578125" style="140"/>
    <col min="292" max="292" width="38.140625" style="140" customWidth="1"/>
    <col min="293" max="505" width="14.42578125" style="140"/>
    <col min="506" max="506" width="8.85546875" style="140" customWidth="1"/>
    <col min="507" max="507" width="12" style="140" customWidth="1"/>
    <col min="508" max="509" width="18.7109375" style="140" customWidth="1"/>
    <col min="510" max="510" width="18.140625" style="140" customWidth="1"/>
    <col min="511" max="511" width="28.42578125" style="140" customWidth="1"/>
    <col min="512" max="512" width="22.140625" style="140" customWidth="1"/>
    <col min="513" max="513" width="42.42578125" style="140" customWidth="1"/>
    <col min="514" max="514" width="28.42578125" style="140" customWidth="1"/>
    <col min="515" max="515" width="34.28515625" style="140" customWidth="1"/>
    <col min="516" max="516" width="41.7109375" style="140" customWidth="1"/>
    <col min="517" max="517" width="23" style="140" customWidth="1"/>
    <col min="518" max="518" width="29.42578125" style="140" customWidth="1"/>
    <col min="519" max="519" width="43" style="140" customWidth="1"/>
    <col min="520" max="520" width="25.42578125" style="140" customWidth="1"/>
    <col min="521" max="521" width="37.140625" style="140" customWidth="1"/>
    <col min="522" max="522" width="27.42578125" style="140" customWidth="1"/>
    <col min="523" max="523" width="22.42578125" style="140" customWidth="1"/>
    <col min="524" max="524" width="23.42578125" style="140" customWidth="1"/>
    <col min="525" max="525" width="22" style="140" customWidth="1"/>
    <col min="526" max="526" width="17.7109375" style="140" customWidth="1"/>
    <col min="527" max="527" width="25.7109375" style="140" customWidth="1"/>
    <col min="528" max="528" width="17.7109375" style="140" customWidth="1"/>
    <col min="529" max="534" width="25.7109375" style="140" customWidth="1"/>
    <col min="535" max="535" width="26" style="140" customWidth="1"/>
    <col min="536" max="537" width="58.7109375" style="140" customWidth="1"/>
    <col min="538" max="538" width="30" style="140" customWidth="1"/>
    <col min="539" max="539" width="25.7109375" style="140" customWidth="1"/>
    <col min="540" max="540" width="60.140625" style="140" customWidth="1"/>
    <col min="541" max="541" width="18.140625" style="140" customWidth="1"/>
    <col min="542" max="542" width="20.42578125" style="140" customWidth="1"/>
    <col min="543" max="547" width="14.42578125" style="140"/>
    <col min="548" max="548" width="38.140625" style="140" customWidth="1"/>
    <col min="549" max="761" width="14.42578125" style="140"/>
    <col min="762" max="762" width="8.85546875" style="140" customWidth="1"/>
    <col min="763" max="763" width="12" style="140" customWidth="1"/>
    <col min="764" max="765" width="18.7109375" style="140" customWidth="1"/>
    <col min="766" max="766" width="18.140625" style="140" customWidth="1"/>
    <col min="767" max="767" width="28.42578125" style="140" customWidth="1"/>
    <col min="768" max="768" width="22.140625" style="140" customWidth="1"/>
    <col min="769" max="769" width="42.42578125" style="140" customWidth="1"/>
    <col min="770" max="770" width="28.42578125" style="140" customWidth="1"/>
    <col min="771" max="771" width="34.28515625" style="140" customWidth="1"/>
    <col min="772" max="772" width="41.7109375" style="140" customWidth="1"/>
    <col min="773" max="773" width="23" style="140" customWidth="1"/>
    <col min="774" max="774" width="29.42578125" style="140" customWidth="1"/>
    <col min="775" max="775" width="43" style="140" customWidth="1"/>
    <col min="776" max="776" width="25.42578125" style="140" customWidth="1"/>
    <col min="777" max="777" width="37.140625" style="140" customWidth="1"/>
    <col min="778" max="778" width="27.42578125" style="140" customWidth="1"/>
    <col min="779" max="779" width="22.42578125" style="140" customWidth="1"/>
    <col min="780" max="780" width="23.42578125" style="140" customWidth="1"/>
    <col min="781" max="781" width="22" style="140" customWidth="1"/>
    <col min="782" max="782" width="17.7109375" style="140" customWidth="1"/>
    <col min="783" max="783" width="25.7109375" style="140" customWidth="1"/>
    <col min="784" max="784" width="17.7109375" style="140" customWidth="1"/>
    <col min="785" max="790" width="25.7109375" style="140" customWidth="1"/>
    <col min="791" max="791" width="26" style="140" customWidth="1"/>
    <col min="792" max="793" width="58.7109375" style="140" customWidth="1"/>
    <col min="794" max="794" width="30" style="140" customWidth="1"/>
    <col min="795" max="795" width="25.7109375" style="140" customWidth="1"/>
    <col min="796" max="796" width="60.140625" style="140" customWidth="1"/>
    <col min="797" max="797" width="18.140625" style="140" customWidth="1"/>
    <col min="798" max="798" width="20.42578125" style="140" customWidth="1"/>
    <col min="799" max="803" width="14.42578125" style="140"/>
    <col min="804" max="804" width="38.140625" style="140" customWidth="1"/>
    <col min="805" max="1017" width="14.42578125" style="140"/>
    <col min="1018" max="1018" width="8.85546875" style="140" customWidth="1"/>
    <col min="1019" max="1019" width="12" style="140" customWidth="1"/>
    <col min="1020" max="1021" width="18.7109375" style="140" customWidth="1"/>
    <col min="1022" max="1022" width="18.140625" style="140" customWidth="1"/>
    <col min="1023" max="1023" width="28.42578125" style="140" customWidth="1"/>
    <col min="1024" max="1024" width="22.140625" style="140" customWidth="1"/>
    <col min="1025" max="1025" width="42.42578125" style="140" customWidth="1"/>
    <col min="1026" max="1026" width="28.42578125" style="140" customWidth="1"/>
    <col min="1027" max="1027" width="34.28515625" style="140" customWidth="1"/>
    <col min="1028" max="1028" width="41.7109375" style="140" customWidth="1"/>
    <col min="1029" max="1029" width="23" style="140" customWidth="1"/>
    <col min="1030" max="1030" width="29.42578125" style="140" customWidth="1"/>
    <col min="1031" max="1031" width="43" style="140" customWidth="1"/>
    <col min="1032" max="1032" width="25.42578125" style="140" customWidth="1"/>
    <col min="1033" max="1033" width="37.140625" style="140" customWidth="1"/>
    <col min="1034" max="1034" width="27.42578125" style="140" customWidth="1"/>
    <col min="1035" max="1035" width="22.42578125" style="140" customWidth="1"/>
    <col min="1036" max="1036" width="23.42578125" style="140" customWidth="1"/>
    <col min="1037" max="1037" width="22" style="140" customWidth="1"/>
    <col min="1038" max="1038" width="17.7109375" style="140" customWidth="1"/>
    <col min="1039" max="1039" width="25.7109375" style="140" customWidth="1"/>
    <col min="1040" max="1040" width="17.7109375" style="140" customWidth="1"/>
    <col min="1041" max="1046" width="25.7109375" style="140" customWidth="1"/>
    <col min="1047" max="1047" width="26" style="140" customWidth="1"/>
    <col min="1048" max="1049" width="58.7109375" style="140" customWidth="1"/>
    <col min="1050" max="1050" width="30" style="140" customWidth="1"/>
    <col min="1051" max="1051" width="25.7109375" style="140" customWidth="1"/>
    <col min="1052" max="1052" width="60.140625" style="140" customWidth="1"/>
    <col min="1053" max="1053" width="18.140625" style="140" customWidth="1"/>
    <col min="1054" max="1054" width="20.42578125" style="140" customWidth="1"/>
    <col min="1055" max="1059" width="14.42578125" style="140"/>
    <col min="1060" max="1060" width="38.140625" style="140" customWidth="1"/>
    <col min="1061" max="1273" width="14.42578125" style="140"/>
    <col min="1274" max="1274" width="8.85546875" style="140" customWidth="1"/>
    <col min="1275" max="1275" width="12" style="140" customWidth="1"/>
    <col min="1276" max="1277" width="18.7109375" style="140" customWidth="1"/>
    <col min="1278" max="1278" width="18.140625" style="140" customWidth="1"/>
    <col min="1279" max="1279" width="28.42578125" style="140" customWidth="1"/>
    <col min="1280" max="1280" width="22.140625" style="140" customWidth="1"/>
    <col min="1281" max="1281" width="42.42578125" style="140" customWidth="1"/>
    <col min="1282" max="1282" width="28.42578125" style="140" customWidth="1"/>
    <col min="1283" max="1283" width="34.28515625" style="140" customWidth="1"/>
    <col min="1284" max="1284" width="41.7109375" style="140" customWidth="1"/>
    <col min="1285" max="1285" width="23" style="140" customWidth="1"/>
    <col min="1286" max="1286" width="29.42578125" style="140" customWidth="1"/>
    <col min="1287" max="1287" width="43" style="140" customWidth="1"/>
    <col min="1288" max="1288" width="25.42578125" style="140" customWidth="1"/>
    <col min="1289" max="1289" width="37.140625" style="140" customWidth="1"/>
    <col min="1290" max="1290" width="27.42578125" style="140" customWidth="1"/>
    <col min="1291" max="1291" width="22.42578125" style="140" customWidth="1"/>
    <col min="1292" max="1292" width="23.42578125" style="140" customWidth="1"/>
    <col min="1293" max="1293" width="22" style="140" customWidth="1"/>
    <col min="1294" max="1294" width="17.7109375" style="140" customWidth="1"/>
    <col min="1295" max="1295" width="25.7109375" style="140" customWidth="1"/>
    <col min="1296" max="1296" width="17.7109375" style="140" customWidth="1"/>
    <col min="1297" max="1302" width="25.7109375" style="140" customWidth="1"/>
    <col min="1303" max="1303" width="26" style="140" customWidth="1"/>
    <col min="1304" max="1305" width="58.7109375" style="140" customWidth="1"/>
    <col min="1306" max="1306" width="30" style="140" customWidth="1"/>
    <col min="1307" max="1307" width="25.7109375" style="140" customWidth="1"/>
    <col min="1308" max="1308" width="60.140625" style="140" customWidth="1"/>
    <col min="1309" max="1309" width="18.140625" style="140" customWidth="1"/>
    <col min="1310" max="1310" width="20.42578125" style="140" customWidth="1"/>
    <col min="1311" max="1315" width="14.42578125" style="140"/>
    <col min="1316" max="1316" width="38.140625" style="140" customWidth="1"/>
    <col min="1317" max="1529" width="14.42578125" style="140"/>
    <col min="1530" max="1530" width="8.85546875" style="140" customWidth="1"/>
    <col min="1531" max="1531" width="12" style="140" customWidth="1"/>
    <col min="1532" max="1533" width="18.7109375" style="140" customWidth="1"/>
    <col min="1534" max="1534" width="18.140625" style="140" customWidth="1"/>
    <col min="1535" max="1535" width="28.42578125" style="140" customWidth="1"/>
    <col min="1536" max="1536" width="22.140625" style="140" customWidth="1"/>
    <col min="1537" max="1537" width="42.42578125" style="140" customWidth="1"/>
    <col min="1538" max="1538" width="28.42578125" style="140" customWidth="1"/>
    <col min="1539" max="1539" width="34.28515625" style="140" customWidth="1"/>
    <col min="1540" max="1540" width="41.7109375" style="140" customWidth="1"/>
    <col min="1541" max="1541" width="23" style="140" customWidth="1"/>
    <col min="1542" max="1542" width="29.42578125" style="140" customWidth="1"/>
    <col min="1543" max="1543" width="43" style="140" customWidth="1"/>
    <col min="1544" max="1544" width="25.42578125" style="140" customWidth="1"/>
    <col min="1545" max="1545" width="37.140625" style="140" customWidth="1"/>
    <col min="1546" max="1546" width="27.42578125" style="140" customWidth="1"/>
    <col min="1547" max="1547" width="22.42578125" style="140" customWidth="1"/>
    <col min="1548" max="1548" width="23.42578125" style="140" customWidth="1"/>
    <col min="1549" max="1549" width="22" style="140" customWidth="1"/>
    <col min="1550" max="1550" width="17.7109375" style="140" customWidth="1"/>
    <col min="1551" max="1551" width="25.7109375" style="140" customWidth="1"/>
    <col min="1552" max="1552" width="17.7109375" style="140" customWidth="1"/>
    <col min="1553" max="1558" width="25.7109375" style="140" customWidth="1"/>
    <col min="1559" max="1559" width="26" style="140" customWidth="1"/>
    <col min="1560" max="1561" width="58.7109375" style="140" customWidth="1"/>
    <col min="1562" max="1562" width="30" style="140" customWidth="1"/>
    <col min="1563" max="1563" width="25.7109375" style="140" customWidth="1"/>
    <col min="1564" max="1564" width="60.140625" style="140" customWidth="1"/>
    <col min="1565" max="1565" width="18.140625" style="140" customWidth="1"/>
    <col min="1566" max="1566" width="20.42578125" style="140" customWidth="1"/>
    <col min="1567" max="1571" width="14.42578125" style="140"/>
    <col min="1572" max="1572" width="38.140625" style="140" customWidth="1"/>
    <col min="1573" max="1785" width="14.42578125" style="140"/>
    <col min="1786" max="1786" width="8.85546875" style="140" customWidth="1"/>
    <col min="1787" max="1787" width="12" style="140" customWidth="1"/>
    <col min="1788" max="1789" width="18.7109375" style="140" customWidth="1"/>
    <col min="1790" max="1790" width="18.140625" style="140" customWidth="1"/>
    <col min="1791" max="1791" width="28.42578125" style="140" customWidth="1"/>
    <col min="1792" max="1792" width="22.140625" style="140" customWidth="1"/>
    <col min="1793" max="1793" width="42.42578125" style="140" customWidth="1"/>
    <col min="1794" max="1794" width="28.42578125" style="140" customWidth="1"/>
    <col min="1795" max="1795" width="34.28515625" style="140" customWidth="1"/>
    <col min="1796" max="1796" width="41.7109375" style="140" customWidth="1"/>
    <col min="1797" max="1797" width="23" style="140" customWidth="1"/>
    <col min="1798" max="1798" width="29.42578125" style="140" customWidth="1"/>
    <col min="1799" max="1799" width="43" style="140" customWidth="1"/>
    <col min="1800" max="1800" width="25.42578125" style="140" customWidth="1"/>
    <col min="1801" max="1801" width="37.140625" style="140" customWidth="1"/>
    <col min="1802" max="1802" width="27.42578125" style="140" customWidth="1"/>
    <col min="1803" max="1803" width="22.42578125" style="140" customWidth="1"/>
    <col min="1804" max="1804" width="23.42578125" style="140" customWidth="1"/>
    <col min="1805" max="1805" width="22" style="140" customWidth="1"/>
    <col min="1806" max="1806" width="17.7109375" style="140" customWidth="1"/>
    <col min="1807" max="1807" width="25.7109375" style="140" customWidth="1"/>
    <col min="1808" max="1808" width="17.7109375" style="140" customWidth="1"/>
    <col min="1809" max="1814" width="25.7109375" style="140" customWidth="1"/>
    <col min="1815" max="1815" width="26" style="140" customWidth="1"/>
    <col min="1816" max="1817" width="58.7109375" style="140" customWidth="1"/>
    <col min="1818" max="1818" width="30" style="140" customWidth="1"/>
    <col min="1819" max="1819" width="25.7109375" style="140" customWidth="1"/>
    <col min="1820" max="1820" width="60.140625" style="140" customWidth="1"/>
    <col min="1821" max="1821" width="18.140625" style="140" customWidth="1"/>
    <col min="1822" max="1822" width="20.42578125" style="140" customWidth="1"/>
    <col min="1823" max="1827" width="14.42578125" style="140"/>
    <col min="1828" max="1828" width="38.140625" style="140" customWidth="1"/>
    <col min="1829" max="2041" width="14.42578125" style="140"/>
    <col min="2042" max="2042" width="8.85546875" style="140" customWidth="1"/>
    <col min="2043" max="2043" width="12" style="140" customWidth="1"/>
    <col min="2044" max="2045" width="18.7109375" style="140" customWidth="1"/>
    <col min="2046" max="2046" width="18.140625" style="140" customWidth="1"/>
    <col min="2047" max="2047" width="28.42578125" style="140" customWidth="1"/>
    <col min="2048" max="2048" width="22.140625" style="140" customWidth="1"/>
    <col min="2049" max="2049" width="42.42578125" style="140" customWidth="1"/>
    <col min="2050" max="2050" width="28.42578125" style="140" customWidth="1"/>
    <col min="2051" max="2051" width="34.28515625" style="140" customWidth="1"/>
    <col min="2052" max="2052" width="41.7109375" style="140" customWidth="1"/>
    <col min="2053" max="2053" width="23" style="140" customWidth="1"/>
    <col min="2054" max="2054" width="29.42578125" style="140" customWidth="1"/>
    <col min="2055" max="2055" width="43" style="140" customWidth="1"/>
    <col min="2056" max="2056" width="25.42578125" style="140" customWidth="1"/>
    <col min="2057" max="2057" width="37.140625" style="140" customWidth="1"/>
    <col min="2058" max="2058" width="27.42578125" style="140" customWidth="1"/>
    <col min="2059" max="2059" width="22.42578125" style="140" customWidth="1"/>
    <col min="2060" max="2060" width="23.42578125" style="140" customWidth="1"/>
    <col min="2061" max="2061" width="22" style="140" customWidth="1"/>
    <col min="2062" max="2062" width="17.7109375" style="140" customWidth="1"/>
    <col min="2063" max="2063" width="25.7109375" style="140" customWidth="1"/>
    <col min="2064" max="2064" width="17.7109375" style="140" customWidth="1"/>
    <col min="2065" max="2070" width="25.7109375" style="140" customWidth="1"/>
    <col min="2071" max="2071" width="26" style="140" customWidth="1"/>
    <col min="2072" max="2073" width="58.7109375" style="140" customWidth="1"/>
    <col min="2074" max="2074" width="30" style="140" customWidth="1"/>
    <col min="2075" max="2075" width="25.7109375" style="140" customWidth="1"/>
    <col min="2076" max="2076" width="60.140625" style="140" customWidth="1"/>
    <col min="2077" max="2077" width="18.140625" style="140" customWidth="1"/>
    <col min="2078" max="2078" width="20.42578125" style="140" customWidth="1"/>
    <col min="2079" max="2083" width="14.42578125" style="140"/>
    <col min="2084" max="2084" width="38.140625" style="140" customWidth="1"/>
    <col min="2085" max="2297" width="14.42578125" style="140"/>
    <col min="2298" max="2298" width="8.85546875" style="140" customWidth="1"/>
    <col min="2299" max="2299" width="12" style="140" customWidth="1"/>
    <col min="2300" max="2301" width="18.7109375" style="140" customWidth="1"/>
    <col min="2302" max="2302" width="18.140625" style="140" customWidth="1"/>
    <col min="2303" max="2303" width="28.42578125" style="140" customWidth="1"/>
    <col min="2304" max="2304" width="22.140625" style="140" customWidth="1"/>
    <col min="2305" max="2305" width="42.42578125" style="140" customWidth="1"/>
    <col min="2306" max="2306" width="28.42578125" style="140" customWidth="1"/>
    <col min="2307" max="2307" width="34.28515625" style="140" customWidth="1"/>
    <col min="2308" max="2308" width="41.7109375" style="140" customWidth="1"/>
    <col min="2309" max="2309" width="23" style="140" customWidth="1"/>
    <col min="2310" max="2310" width="29.42578125" style="140" customWidth="1"/>
    <col min="2311" max="2311" width="43" style="140" customWidth="1"/>
    <col min="2312" max="2312" width="25.42578125" style="140" customWidth="1"/>
    <col min="2313" max="2313" width="37.140625" style="140" customWidth="1"/>
    <col min="2314" max="2314" width="27.42578125" style="140" customWidth="1"/>
    <col min="2315" max="2315" width="22.42578125" style="140" customWidth="1"/>
    <col min="2316" max="2316" width="23.42578125" style="140" customWidth="1"/>
    <col min="2317" max="2317" width="22" style="140" customWidth="1"/>
    <col min="2318" max="2318" width="17.7109375" style="140" customWidth="1"/>
    <col min="2319" max="2319" width="25.7109375" style="140" customWidth="1"/>
    <col min="2320" max="2320" width="17.7109375" style="140" customWidth="1"/>
    <col min="2321" max="2326" width="25.7109375" style="140" customWidth="1"/>
    <col min="2327" max="2327" width="26" style="140" customWidth="1"/>
    <col min="2328" max="2329" width="58.7109375" style="140" customWidth="1"/>
    <col min="2330" max="2330" width="30" style="140" customWidth="1"/>
    <col min="2331" max="2331" width="25.7109375" style="140" customWidth="1"/>
    <col min="2332" max="2332" width="60.140625" style="140" customWidth="1"/>
    <col min="2333" max="2333" width="18.140625" style="140" customWidth="1"/>
    <col min="2334" max="2334" width="20.42578125" style="140" customWidth="1"/>
    <col min="2335" max="2339" width="14.42578125" style="140"/>
    <col min="2340" max="2340" width="38.140625" style="140" customWidth="1"/>
    <col min="2341" max="2553" width="14.42578125" style="140"/>
    <col min="2554" max="2554" width="8.85546875" style="140" customWidth="1"/>
    <col min="2555" max="2555" width="12" style="140" customWidth="1"/>
    <col min="2556" max="2557" width="18.7109375" style="140" customWidth="1"/>
    <col min="2558" max="2558" width="18.140625" style="140" customWidth="1"/>
    <col min="2559" max="2559" width="28.42578125" style="140" customWidth="1"/>
    <col min="2560" max="2560" width="22.140625" style="140" customWidth="1"/>
    <col min="2561" max="2561" width="42.42578125" style="140" customWidth="1"/>
    <col min="2562" max="2562" width="28.42578125" style="140" customWidth="1"/>
    <col min="2563" max="2563" width="34.28515625" style="140" customWidth="1"/>
    <col min="2564" max="2564" width="41.7109375" style="140" customWidth="1"/>
    <col min="2565" max="2565" width="23" style="140" customWidth="1"/>
    <col min="2566" max="2566" width="29.42578125" style="140" customWidth="1"/>
    <col min="2567" max="2567" width="43" style="140" customWidth="1"/>
    <col min="2568" max="2568" width="25.42578125" style="140" customWidth="1"/>
    <col min="2569" max="2569" width="37.140625" style="140" customWidth="1"/>
    <col min="2570" max="2570" width="27.42578125" style="140" customWidth="1"/>
    <col min="2571" max="2571" width="22.42578125" style="140" customWidth="1"/>
    <col min="2572" max="2572" width="23.42578125" style="140" customWidth="1"/>
    <col min="2573" max="2573" width="22" style="140" customWidth="1"/>
    <col min="2574" max="2574" width="17.7109375" style="140" customWidth="1"/>
    <col min="2575" max="2575" width="25.7109375" style="140" customWidth="1"/>
    <col min="2576" max="2576" width="17.7109375" style="140" customWidth="1"/>
    <col min="2577" max="2582" width="25.7109375" style="140" customWidth="1"/>
    <col min="2583" max="2583" width="26" style="140" customWidth="1"/>
    <col min="2584" max="2585" width="58.7109375" style="140" customWidth="1"/>
    <col min="2586" max="2586" width="30" style="140" customWidth="1"/>
    <col min="2587" max="2587" width="25.7109375" style="140" customWidth="1"/>
    <col min="2588" max="2588" width="60.140625" style="140" customWidth="1"/>
    <col min="2589" max="2589" width="18.140625" style="140" customWidth="1"/>
    <col min="2590" max="2590" width="20.42578125" style="140" customWidth="1"/>
    <col min="2591" max="2595" width="14.42578125" style="140"/>
    <col min="2596" max="2596" width="38.140625" style="140" customWidth="1"/>
    <col min="2597" max="2809" width="14.42578125" style="140"/>
    <col min="2810" max="2810" width="8.85546875" style="140" customWidth="1"/>
    <col min="2811" max="2811" width="12" style="140" customWidth="1"/>
    <col min="2812" max="2813" width="18.7109375" style="140" customWidth="1"/>
    <col min="2814" max="2814" width="18.140625" style="140" customWidth="1"/>
    <col min="2815" max="2815" width="28.42578125" style="140" customWidth="1"/>
    <col min="2816" max="2816" width="22.140625" style="140" customWidth="1"/>
    <col min="2817" max="2817" width="42.42578125" style="140" customWidth="1"/>
    <col min="2818" max="2818" width="28.42578125" style="140" customWidth="1"/>
    <col min="2819" max="2819" width="34.28515625" style="140" customWidth="1"/>
    <col min="2820" max="2820" width="41.7109375" style="140" customWidth="1"/>
    <col min="2821" max="2821" width="23" style="140" customWidth="1"/>
    <col min="2822" max="2822" width="29.42578125" style="140" customWidth="1"/>
    <col min="2823" max="2823" width="43" style="140" customWidth="1"/>
    <col min="2824" max="2824" width="25.42578125" style="140" customWidth="1"/>
    <col min="2825" max="2825" width="37.140625" style="140" customWidth="1"/>
    <col min="2826" max="2826" width="27.42578125" style="140" customWidth="1"/>
    <col min="2827" max="2827" width="22.42578125" style="140" customWidth="1"/>
    <col min="2828" max="2828" width="23.42578125" style="140" customWidth="1"/>
    <col min="2829" max="2829" width="22" style="140" customWidth="1"/>
    <col min="2830" max="2830" width="17.7109375" style="140" customWidth="1"/>
    <col min="2831" max="2831" width="25.7109375" style="140" customWidth="1"/>
    <col min="2832" max="2832" width="17.7109375" style="140" customWidth="1"/>
    <col min="2833" max="2838" width="25.7109375" style="140" customWidth="1"/>
    <col min="2839" max="2839" width="26" style="140" customWidth="1"/>
    <col min="2840" max="2841" width="58.7109375" style="140" customWidth="1"/>
    <col min="2842" max="2842" width="30" style="140" customWidth="1"/>
    <col min="2843" max="2843" width="25.7109375" style="140" customWidth="1"/>
    <col min="2844" max="2844" width="60.140625" style="140" customWidth="1"/>
    <col min="2845" max="2845" width="18.140625" style="140" customWidth="1"/>
    <col min="2846" max="2846" width="20.42578125" style="140" customWidth="1"/>
    <col min="2847" max="2851" width="14.42578125" style="140"/>
    <col min="2852" max="2852" width="38.140625" style="140" customWidth="1"/>
    <col min="2853" max="3065" width="14.42578125" style="140"/>
    <col min="3066" max="3066" width="8.85546875" style="140" customWidth="1"/>
    <col min="3067" max="3067" width="12" style="140" customWidth="1"/>
    <col min="3068" max="3069" width="18.7109375" style="140" customWidth="1"/>
    <col min="3070" max="3070" width="18.140625" style="140" customWidth="1"/>
    <col min="3071" max="3071" width="28.42578125" style="140" customWidth="1"/>
    <col min="3072" max="3072" width="22.140625" style="140" customWidth="1"/>
    <col min="3073" max="3073" width="42.42578125" style="140" customWidth="1"/>
    <col min="3074" max="3074" width="28.42578125" style="140" customWidth="1"/>
    <col min="3075" max="3075" width="34.28515625" style="140" customWidth="1"/>
    <col min="3076" max="3076" width="41.7109375" style="140" customWidth="1"/>
    <col min="3077" max="3077" width="23" style="140" customWidth="1"/>
    <col min="3078" max="3078" width="29.42578125" style="140" customWidth="1"/>
    <col min="3079" max="3079" width="43" style="140" customWidth="1"/>
    <col min="3080" max="3080" width="25.42578125" style="140" customWidth="1"/>
    <col min="3081" max="3081" width="37.140625" style="140" customWidth="1"/>
    <col min="3082" max="3082" width="27.42578125" style="140" customWidth="1"/>
    <col min="3083" max="3083" width="22.42578125" style="140" customWidth="1"/>
    <col min="3084" max="3084" width="23.42578125" style="140" customWidth="1"/>
    <col min="3085" max="3085" width="22" style="140" customWidth="1"/>
    <col min="3086" max="3086" width="17.7109375" style="140" customWidth="1"/>
    <col min="3087" max="3087" width="25.7109375" style="140" customWidth="1"/>
    <col min="3088" max="3088" width="17.7109375" style="140" customWidth="1"/>
    <col min="3089" max="3094" width="25.7109375" style="140" customWidth="1"/>
    <col min="3095" max="3095" width="26" style="140" customWidth="1"/>
    <col min="3096" max="3097" width="58.7109375" style="140" customWidth="1"/>
    <col min="3098" max="3098" width="30" style="140" customWidth="1"/>
    <col min="3099" max="3099" width="25.7109375" style="140" customWidth="1"/>
    <col min="3100" max="3100" width="60.140625" style="140" customWidth="1"/>
    <col min="3101" max="3101" width="18.140625" style="140" customWidth="1"/>
    <col min="3102" max="3102" width="20.42578125" style="140" customWidth="1"/>
    <col min="3103" max="3107" width="14.42578125" style="140"/>
    <col min="3108" max="3108" width="38.140625" style="140" customWidth="1"/>
    <col min="3109" max="3321" width="14.42578125" style="140"/>
    <col min="3322" max="3322" width="8.85546875" style="140" customWidth="1"/>
    <col min="3323" max="3323" width="12" style="140" customWidth="1"/>
    <col min="3324" max="3325" width="18.7109375" style="140" customWidth="1"/>
    <col min="3326" max="3326" width="18.140625" style="140" customWidth="1"/>
    <col min="3327" max="3327" width="28.42578125" style="140" customWidth="1"/>
    <col min="3328" max="3328" width="22.140625" style="140" customWidth="1"/>
    <col min="3329" max="3329" width="42.42578125" style="140" customWidth="1"/>
    <col min="3330" max="3330" width="28.42578125" style="140" customWidth="1"/>
    <col min="3331" max="3331" width="34.28515625" style="140" customWidth="1"/>
    <col min="3332" max="3332" width="41.7109375" style="140" customWidth="1"/>
    <col min="3333" max="3333" width="23" style="140" customWidth="1"/>
    <col min="3334" max="3334" width="29.42578125" style="140" customWidth="1"/>
    <col min="3335" max="3335" width="43" style="140" customWidth="1"/>
    <col min="3336" max="3336" width="25.42578125" style="140" customWidth="1"/>
    <col min="3337" max="3337" width="37.140625" style="140" customWidth="1"/>
    <col min="3338" max="3338" width="27.42578125" style="140" customWidth="1"/>
    <col min="3339" max="3339" width="22.42578125" style="140" customWidth="1"/>
    <col min="3340" max="3340" width="23.42578125" style="140" customWidth="1"/>
    <col min="3341" max="3341" width="22" style="140" customWidth="1"/>
    <col min="3342" max="3342" width="17.7109375" style="140" customWidth="1"/>
    <col min="3343" max="3343" width="25.7109375" style="140" customWidth="1"/>
    <col min="3344" max="3344" width="17.7109375" style="140" customWidth="1"/>
    <col min="3345" max="3350" width="25.7109375" style="140" customWidth="1"/>
    <col min="3351" max="3351" width="26" style="140" customWidth="1"/>
    <col min="3352" max="3353" width="58.7109375" style="140" customWidth="1"/>
    <col min="3354" max="3354" width="30" style="140" customWidth="1"/>
    <col min="3355" max="3355" width="25.7109375" style="140" customWidth="1"/>
    <col min="3356" max="3356" width="60.140625" style="140" customWidth="1"/>
    <col min="3357" max="3357" width="18.140625" style="140" customWidth="1"/>
    <col min="3358" max="3358" width="20.42578125" style="140" customWidth="1"/>
    <col min="3359" max="3363" width="14.42578125" style="140"/>
    <col min="3364" max="3364" width="38.140625" style="140" customWidth="1"/>
    <col min="3365" max="3577" width="14.42578125" style="140"/>
    <col min="3578" max="3578" width="8.85546875" style="140" customWidth="1"/>
    <col min="3579" max="3579" width="12" style="140" customWidth="1"/>
    <col min="3580" max="3581" width="18.7109375" style="140" customWidth="1"/>
    <col min="3582" max="3582" width="18.140625" style="140" customWidth="1"/>
    <col min="3583" max="3583" width="28.42578125" style="140" customWidth="1"/>
    <col min="3584" max="3584" width="22.140625" style="140" customWidth="1"/>
    <col min="3585" max="3585" width="42.42578125" style="140" customWidth="1"/>
    <col min="3586" max="3586" width="28.42578125" style="140" customWidth="1"/>
    <col min="3587" max="3587" width="34.28515625" style="140" customWidth="1"/>
    <col min="3588" max="3588" width="41.7109375" style="140" customWidth="1"/>
    <col min="3589" max="3589" width="23" style="140" customWidth="1"/>
    <col min="3590" max="3590" width="29.42578125" style="140" customWidth="1"/>
    <col min="3591" max="3591" width="43" style="140" customWidth="1"/>
    <col min="3592" max="3592" width="25.42578125" style="140" customWidth="1"/>
    <col min="3593" max="3593" width="37.140625" style="140" customWidth="1"/>
    <col min="3594" max="3594" width="27.42578125" style="140" customWidth="1"/>
    <col min="3595" max="3595" width="22.42578125" style="140" customWidth="1"/>
    <col min="3596" max="3596" width="23.42578125" style="140" customWidth="1"/>
    <col min="3597" max="3597" width="22" style="140" customWidth="1"/>
    <col min="3598" max="3598" width="17.7109375" style="140" customWidth="1"/>
    <col min="3599" max="3599" width="25.7109375" style="140" customWidth="1"/>
    <col min="3600" max="3600" width="17.7109375" style="140" customWidth="1"/>
    <col min="3601" max="3606" width="25.7109375" style="140" customWidth="1"/>
    <col min="3607" max="3607" width="26" style="140" customWidth="1"/>
    <col min="3608" max="3609" width="58.7109375" style="140" customWidth="1"/>
    <col min="3610" max="3610" width="30" style="140" customWidth="1"/>
    <col min="3611" max="3611" width="25.7109375" style="140" customWidth="1"/>
    <col min="3612" max="3612" width="60.140625" style="140" customWidth="1"/>
    <col min="3613" max="3613" width="18.140625" style="140" customWidth="1"/>
    <col min="3614" max="3614" width="20.42578125" style="140" customWidth="1"/>
    <col min="3615" max="3619" width="14.42578125" style="140"/>
    <col min="3620" max="3620" width="38.140625" style="140" customWidth="1"/>
    <col min="3621" max="3833" width="14.42578125" style="140"/>
    <col min="3834" max="3834" width="8.85546875" style="140" customWidth="1"/>
    <col min="3835" max="3835" width="12" style="140" customWidth="1"/>
    <col min="3836" max="3837" width="18.7109375" style="140" customWidth="1"/>
    <col min="3838" max="3838" width="18.140625" style="140" customWidth="1"/>
    <col min="3839" max="3839" width="28.42578125" style="140" customWidth="1"/>
    <col min="3840" max="3840" width="22.140625" style="140" customWidth="1"/>
    <col min="3841" max="3841" width="42.42578125" style="140" customWidth="1"/>
    <col min="3842" max="3842" width="28.42578125" style="140" customWidth="1"/>
    <col min="3843" max="3843" width="34.28515625" style="140" customWidth="1"/>
    <col min="3844" max="3844" width="41.7109375" style="140" customWidth="1"/>
    <col min="3845" max="3845" width="23" style="140" customWidth="1"/>
    <col min="3846" max="3846" width="29.42578125" style="140" customWidth="1"/>
    <col min="3847" max="3847" width="43" style="140" customWidth="1"/>
    <col min="3848" max="3848" width="25.42578125" style="140" customWidth="1"/>
    <col min="3849" max="3849" width="37.140625" style="140" customWidth="1"/>
    <col min="3850" max="3850" width="27.42578125" style="140" customWidth="1"/>
    <col min="3851" max="3851" width="22.42578125" style="140" customWidth="1"/>
    <col min="3852" max="3852" width="23.42578125" style="140" customWidth="1"/>
    <col min="3853" max="3853" width="22" style="140" customWidth="1"/>
    <col min="3854" max="3854" width="17.7109375" style="140" customWidth="1"/>
    <col min="3855" max="3855" width="25.7109375" style="140" customWidth="1"/>
    <col min="3856" max="3856" width="17.7109375" style="140" customWidth="1"/>
    <col min="3857" max="3862" width="25.7109375" style="140" customWidth="1"/>
    <col min="3863" max="3863" width="26" style="140" customWidth="1"/>
    <col min="3864" max="3865" width="58.7109375" style="140" customWidth="1"/>
    <col min="3866" max="3866" width="30" style="140" customWidth="1"/>
    <col min="3867" max="3867" width="25.7109375" style="140" customWidth="1"/>
    <col min="3868" max="3868" width="60.140625" style="140" customWidth="1"/>
    <col min="3869" max="3869" width="18.140625" style="140" customWidth="1"/>
    <col min="3870" max="3870" width="20.42578125" style="140" customWidth="1"/>
    <col min="3871" max="3875" width="14.42578125" style="140"/>
    <col min="3876" max="3876" width="38.140625" style="140" customWidth="1"/>
    <col min="3877" max="4089" width="14.42578125" style="140"/>
    <col min="4090" max="4090" width="8.85546875" style="140" customWidth="1"/>
    <col min="4091" max="4091" width="12" style="140" customWidth="1"/>
    <col min="4092" max="4093" width="18.7109375" style="140" customWidth="1"/>
    <col min="4094" max="4094" width="18.140625" style="140" customWidth="1"/>
    <col min="4095" max="4095" width="28.42578125" style="140" customWidth="1"/>
    <col min="4096" max="4096" width="22.140625" style="140" customWidth="1"/>
    <col min="4097" max="4097" width="42.42578125" style="140" customWidth="1"/>
    <col min="4098" max="4098" width="28.42578125" style="140" customWidth="1"/>
    <col min="4099" max="4099" width="34.28515625" style="140" customWidth="1"/>
    <col min="4100" max="4100" width="41.7109375" style="140" customWidth="1"/>
    <col min="4101" max="4101" width="23" style="140" customWidth="1"/>
    <col min="4102" max="4102" width="29.42578125" style="140" customWidth="1"/>
    <col min="4103" max="4103" width="43" style="140" customWidth="1"/>
    <col min="4104" max="4104" width="25.42578125" style="140" customWidth="1"/>
    <col min="4105" max="4105" width="37.140625" style="140" customWidth="1"/>
    <col min="4106" max="4106" width="27.42578125" style="140" customWidth="1"/>
    <col min="4107" max="4107" width="22.42578125" style="140" customWidth="1"/>
    <col min="4108" max="4108" width="23.42578125" style="140" customWidth="1"/>
    <col min="4109" max="4109" width="22" style="140" customWidth="1"/>
    <col min="4110" max="4110" width="17.7109375" style="140" customWidth="1"/>
    <col min="4111" max="4111" width="25.7109375" style="140" customWidth="1"/>
    <col min="4112" max="4112" width="17.7109375" style="140" customWidth="1"/>
    <col min="4113" max="4118" width="25.7109375" style="140" customWidth="1"/>
    <col min="4119" max="4119" width="26" style="140" customWidth="1"/>
    <col min="4120" max="4121" width="58.7109375" style="140" customWidth="1"/>
    <col min="4122" max="4122" width="30" style="140" customWidth="1"/>
    <col min="4123" max="4123" width="25.7109375" style="140" customWidth="1"/>
    <col min="4124" max="4124" width="60.140625" style="140" customWidth="1"/>
    <col min="4125" max="4125" width="18.140625" style="140" customWidth="1"/>
    <col min="4126" max="4126" width="20.42578125" style="140" customWidth="1"/>
    <col min="4127" max="4131" width="14.42578125" style="140"/>
    <col min="4132" max="4132" width="38.140625" style="140" customWidth="1"/>
    <col min="4133" max="4345" width="14.42578125" style="140"/>
    <col min="4346" max="4346" width="8.85546875" style="140" customWidth="1"/>
    <col min="4347" max="4347" width="12" style="140" customWidth="1"/>
    <col min="4348" max="4349" width="18.7109375" style="140" customWidth="1"/>
    <col min="4350" max="4350" width="18.140625" style="140" customWidth="1"/>
    <col min="4351" max="4351" width="28.42578125" style="140" customWidth="1"/>
    <col min="4352" max="4352" width="22.140625" style="140" customWidth="1"/>
    <col min="4353" max="4353" width="42.42578125" style="140" customWidth="1"/>
    <col min="4354" max="4354" width="28.42578125" style="140" customWidth="1"/>
    <col min="4355" max="4355" width="34.28515625" style="140" customWidth="1"/>
    <col min="4356" max="4356" width="41.7109375" style="140" customWidth="1"/>
    <col min="4357" max="4357" width="23" style="140" customWidth="1"/>
    <col min="4358" max="4358" width="29.42578125" style="140" customWidth="1"/>
    <col min="4359" max="4359" width="43" style="140" customWidth="1"/>
    <col min="4360" max="4360" width="25.42578125" style="140" customWidth="1"/>
    <col min="4361" max="4361" width="37.140625" style="140" customWidth="1"/>
    <col min="4362" max="4362" width="27.42578125" style="140" customWidth="1"/>
    <col min="4363" max="4363" width="22.42578125" style="140" customWidth="1"/>
    <col min="4364" max="4364" width="23.42578125" style="140" customWidth="1"/>
    <col min="4365" max="4365" width="22" style="140" customWidth="1"/>
    <col min="4366" max="4366" width="17.7109375" style="140" customWidth="1"/>
    <col min="4367" max="4367" width="25.7109375" style="140" customWidth="1"/>
    <col min="4368" max="4368" width="17.7109375" style="140" customWidth="1"/>
    <col min="4369" max="4374" width="25.7109375" style="140" customWidth="1"/>
    <col min="4375" max="4375" width="26" style="140" customWidth="1"/>
    <col min="4376" max="4377" width="58.7109375" style="140" customWidth="1"/>
    <col min="4378" max="4378" width="30" style="140" customWidth="1"/>
    <col min="4379" max="4379" width="25.7109375" style="140" customWidth="1"/>
    <col min="4380" max="4380" width="60.140625" style="140" customWidth="1"/>
    <col min="4381" max="4381" width="18.140625" style="140" customWidth="1"/>
    <col min="4382" max="4382" width="20.42578125" style="140" customWidth="1"/>
    <col min="4383" max="4387" width="14.42578125" style="140"/>
    <col min="4388" max="4388" width="38.140625" style="140" customWidth="1"/>
    <col min="4389" max="4601" width="14.42578125" style="140"/>
    <col min="4602" max="4602" width="8.85546875" style="140" customWidth="1"/>
    <col min="4603" max="4603" width="12" style="140" customWidth="1"/>
    <col min="4604" max="4605" width="18.7109375" style="140" customWidth="1"/>
    <col min="4606" max="4606" width="18.140625" style="140" customWidth="1"/>
    <col min="4607" max="4607" width="28.42578125" style="140" customWidth="1"/>
    <col min="4608" max="4608" width="22.140625" style="140" customWidth="1"/>
    <col min="4609" max="4609" width="42.42578125" style="140" customWidth="1"/>
    <col min="4610" max="4610" width="28.42578125" style="140" customWidth="1"/>
    <col min="4611" max="4611" width="34.28515625" style="140" customWidth="1"/>
    <col min="4612" max="4612" width="41.7109375" style="140" customWidth="1"/>
    <col min="4613" max="4613" width="23" style="140" customWidth="1"/>
    <col min="4614" max="4614" width="29.42578125" style="140" customWidth="1"/>
    <col min="4615" max="4615" width="43" style="140" customWidth="1"/>
    <col min="4616" max="4616" width="25.42578125" style="140" customWidth="1"/>
    <col min="4617" max="4617" width="37.140625" style="140" customWidth="1"/>
    <col min="4618" max="4618" width="27.42578125" style="140" customWidth="1"/>
    <col min="4619" max="4619" width="22.42578125" style="140" customWidth="1"/>
    <col min="4620" max="4620" width="23.42578125" style="140" customWidth="1"/>
    <col min="4621" max="4621" width="22" style="140" customWidth="1"/>
    <col min="4622" max="4622" width="17.7109375" style="140" customWidth="1"/>
    <col min="4623" max="4623" width="25.7109375" style="140" customWidth="1"/>
    <col min="4624" max="4624" width="17.7109375" style="140" customWidth="1"/>
    <col min="4625" max="4630" width="25.7109375" style="140" customWidth="1"/>
    <col min="4631" max="4631" width="26" style="140" customWidth="1"/>
    <col min="4632" max="4633" width="58.7109375" style="140" customWidth="1"/>
    <col min="4634" max="4634" width="30" style="140" customWidth="1"/>
    <col min="4635" max="4635" width="25.7109375" style="140" customWidth="1"/>
    <col min="4636" max="4636" width="60.140625" style="140" customWidth="1"/>
    <col min="4637" max="4637" width="18.140625" style="140" customWidth="1"/>
    <col min="4638" max="4638" width="20.42578125" style="140" customWidth="1"/>
    <col min="4639" max="4643" width="14.42578125" style="140"/>
    <col min="4644" max="4644" width="38.140625" style="140" customWidth="1"/>
    <col min="4645" max="4857" width="14.42578125" style="140"/>
    <col min="4858" max="4858" width="8.85546875" style="140" customWidth="1"/>
    <col min="4859" max="4859" width="12" style="140" customWidth="1"/>
    <col min="4860" max="4861" width="18.7109375" style="140" customWidth="1"/>
    <col min="4862" max="4862" width="18.140625" style="140" customWidth="1"/>
    <col min="4863" max="4863" width="28.42578125" style="140" customWidth="1"/>
    <col min="4864" max="4864" width="22.140625" style="140" customWidth="1"/>
    <col min="4865" max="4865" width="42.42578125" style="140" customWidth="1"/>
    <col min="4866" max="4866" width="28.42578125" style="140" customWidth="1"/>
    <col min="4867" max="4867" width="34.28515625" style="140" customWidth="1"/>
    <col min="4868" max="4868" width="41.7109375" style="140" customWidth="1"/>
    <col min="4869" max="4869" width="23" style="140" customWidth="1"/>
    <col min="4870" max="4870" width="29.42578125" style="140" customWidth="1"/>
    <col min="4871" max="4871" width="43" style="140" customWidth="1"/>
    <col min="4872" max="4872" width="25.42578125" style="140" customWidth="1"/>
    <col min="4873" max="4873" width="37.140625" style="140" customWidth="1"/>
    <col min="4874" max="4874" width="27.42578125" style="140" customWidth="1"/>
    <col min="4875" max="4875" width="22.42578125" style="140" customWidth="1"/>
    <col min="4876" max="4876" width="23.42578125" style="140" customWidth="1"/>
    <col min="4877" max="4877" width="22" style="140" customWidth="1"/>
    <col min="4878" max="4878" width="17.7109375" style="140" customWidth="1"/>
    <col min="4879" max="4879" width="25.7109375" style="140" customWidth="1"/>
    <col min="4880" max="4880" width="17.7109375" style="140" customWidth="1"/>
    <col min="4881" max="4886" width="25.7109375" style="140" customWidth="1"/>
    <col min="4887" max="4887" width="26" style="140" customWidth="1"/>
    <col min="4888" max="4889" width="58.7109375" style="140" customWidth="1"/>
    <col min="4890" max="4890" width="30" style="140" customWidth="1"/>
    <col min="4891" max="4891" width="25.7109375" style="140" customWidth="1"/>
    <col min="4892" max="4892" width="60.140625" style="140" customWidth="1"/>
    <col min="4893" max="4893" width="18.140625" style="140" customWidth="1"/>
    <col min="4894" max="4894" width="20.42578125" style="140" customWidth="1"/>
    <col min="4895" max="4899" width="14.42578125" style="140"/>
    <col min="4900" max="4900" width="38.140625" style="140" customWidth="1"/>
    <col min="4901" max="5113" width="14.42578125" style="140"/>
    <col min="5114" max="5114" width="8.85546875" style="140" customWidth="1"/>
    <col min="5115" max="5115" width="12" style="140" customWidth="1"/>
    <col min="5116" max="5117" width="18.7109375" style="140" customWidth="1"/>
    <col min="5118" max="5118" width="18.140625" style="140" customWidth="1"/>
    <col min="5119" max="5119" width="28.42578125" style="140" customWidth="1"/>
    <col min="5120" max="5120" width="22.140625" style="140" customWidth="1"/>
    <col min="5121" max="5121" width="42.42578125" style="140" customWidth="1"/>
    <col min="5122" max="5122" width="28.42578125" style="140" customWidth="1"/>
    <col min="5123" max="5123" width="34.28515625" style="140" customWidth="1"/>
    <col min="5124" max="5124" width="41.7109375" style="140" customWidth="1"/>
    <col min="5125" max="5125" width="23" style="140" customWidth="1"/>
    <col min="5126" max="5126" width="29.42578125" style="140" customWidth="1"/>
    <col min="5127" max="5127" width="43" style="140" customWidth="1"/>
    <col min="5128" max="5128" width="25.42578125" style="140" customWidth="1"/>
    <col min="5129" max="5129" width="37.140625" style="140" customWidth="1"/>
    <col min="5130" max="5130" width="27.42578125" style="140" customWidth="1"/>
    <col min="5131" max="5131" width="22.42578125" style="140" customWidth="1"/>
    <col min="5132" max="5132" width="23.42578125" style="140" customWidth="1"/>
    <col min="5133" max="5133" width="22" style="140" customWidth="1"/>
    <col min="5134" max="5134" width="17.7109375" style="140" customWidth="1"/>
    <col min="5135" max="5135" width="25.7109375" style="140" customWidth="1"/>
    <col min="5136" max="5136" width="17.7109375" style="140" customWidth="1"/>
    <col min="5137" max="5142" width="25.7109375" style="140" customWidth="1"/>
    <col min="5143" max="5143" width="26" style="140" customWidth="1"/>
    <col min="5144" max="5145" width="58.7109375" style="140" customWidth="1"/>
    <col min="5146" max="5146" width="30" style="140" customWidth="1"/>
    <col min="5147" max="5147" width="25.7109375" style="140" customWidth="1"/>
    <col min="5148" max="5148" width="60.140625" style="140" customWidth="1"/>
    <col min="5149" max="5149" width="18.140625" style="140" customWidth="1"/>
    <col min="5150" max="5150" width="20.42578125" style="140" customWidth="1"/>
    <col min="5151" max="5155" width="14.42578125" style="140"/>
    <col min="5156" max="5156" width="38.140625" style="140" customWidth="1"/>
    <col min="5157" max="5369" width="14.42578125" style="140"/>
    <col min="5370" max="5370" width="8.85546875" style="140" customWidth="1"/>
    <col min="5371" max="5371" width="12" style="140" customWidth="1"/>
    <col min="5372" max="5373" width="18.7109375" style="140" customWidth="1"/>
    <col min="5374" max="5374" width="18.140625" style="140" customWidth="1"/>
    <col min="5375" max="5375" width="28.42578125" style="140" customWidth="1"/>
    <col min="5376" max="5376" width="22.140625" style="140" customWidth="1"/>
    <col min="5377" max="5377" width="42.42578125" style="140" customWidth="1"/>
    <col min="5378" max="5378" width="28.42578125" style="140" customWidth="1"/>
    <col min="5379" max="5379" width="34.28515625" style="140" customWidth="1"/>
    <col min="5380" max="5380" width="41.7109375" style="140" customWidth="1"/>
    <col min="5381" max="5381" width="23" style="140" customWidth="1"/>
    <col min="5382" max="5382" width="29.42578125" style="140" customWidth="1"/>
    <col min="5383" max="5383" width="43" style="140" customWidth="1"/>
    <col min="5384" max="5384" width="25.42578125" style="140" customWidth="1"/>
    <col min="5385" max="5385" width="37.140625" style="140" customWidth="1"/>
    <col min="5386" max="5386" width="27.42578125" style="140" customWidth="1"/>
    <col min="5387" max="5387" width="22.42578125" style="140" customWidth="1"/>
    <col min="5388" max="5388" width="23.42578125" style="140" customWidth="1"/>
    <col min="5389" max="5389" width="22" style="140" customWidth="1"/>
    <col min="5390" max="5390" width="17.7109375" style="140" customWidth="1"/>
    <col min="5391" max="5391" width="25.7109375" style="140" customWidth="1"/>
    <col min="5392" max="5392" width="17.7109375" style="140" customWidth="1"/>
    <col min="5393" max="5398" width="25.7109375" style="140" customWidth="1"/>
    <col min="5399" max="5399" width="26" style="140" customWidth="1"/>
    <col min="5400" max="5401" width="58.7109375" style="140" customWidth="1"/>
    <col min="5402" max="5402" width="30" style="140" customWidth="1"/>
    <col min="5403" max="5403" width="25.7109375" style="140" customWidth="1"/>
    <col min="5404" max="5404" width="60.140625" style="140" customWidth="1"/>
    <col min="5405" max="5405" width="18.140625" style="140" customWidth="1"/>
    <col min="5406" max="5406" width="20.42578125" style="140" customWidth="1"/>
    <col min="5407" max="5411" width="14.42578125" style="140"/>
    <col min="5412" max="5412" width="38.140625" style="140" customWidth="1"/>
    <col min="5413" max="5625" width="14.42578125" style="140"/>
    <col min="5626" max="5626" width="8.85546875" style="140" customWidth="1"/>
    <col min="5627" max="5627" width="12" style="140" customWidth="1"/>
    <col min="5628" max="5629" width="18.7109375" style="140" customWidth="1"/>
    <col min="5630" max="5630" width="18.140625" style="140" customWidth="1"/>
    <col min="5631" max="5631" width="28.42578125" style="140" customWidth="1"/>
    <col min="5632" max="5632" width="22.140625" style="140" customWidth="1"/>
    <col min="5633" max="5633" width="42.42578125" style="140" customWidth="1"/>
    <col min="5634" max="5634" width="28.42578125" style="140" customWidth="1"/>
    <col min="5635" max="5635" width="34.28515625" style="140" customWidth="1"/>
    <col min="5636" max="5636" width="41.7109375" style="140" customWidth="1"/>
    <col min="5637" max="5637" width="23" style="140" customWidth="1"/>
    <col min="5638" max="5638" width="29.42578125" style="140" customWidth="1"/>
    <col min="5639" max="5639" width="43" style="140" customWidth="1"/>
    <col min="5640" max="5640" width="25.42578125" style="140" customWidth="1"/>
    <col min="5641" max="5641" width="37.140625" style="140" customWidth="1"/>
    <col min="5642" max="5642" width="27.42578125" style="140" customWidth="1"/>
    <col min="5643" max="5643" width="22.42578125" style="140" customWidth="1"/>
    <col min="5644" max="5644" width="23.42578125" style="140" customWidth="1"/>
    <col min="5645" max="5645" width="22" style="140" customWidth="1"/>
    <col min="5646" max="5646" width="17.7109375" style="140" customWidth="1"/>
    <col min="5647" max="5647" width="25.7109375" style="140" customWidth="1"/>
    <col min="5648" max="5648" width="17.7109375" style="140" customWidth="1"/>
    <col min="5649" max="5654" width="25.7109375" style="140" customWidth="1"/>
    <col min="5655" max="5655" width="26" style="140" customWidth="1"/>
    <col min="5656" max="5657" width="58.7109375" style="140" customWidth="1"/>
    <col min="5658" max="5658" width="30" style="140" customWidth="1"/>
    <col min="5659" max="5659" width="25.7109375" style="140" customWidth="1"/>
    <col min="5660" max="5660" width="60.140625" style="140" customWidth="1"/>
    <col min="5661" max="5661" width="18.140625" style="140" customWidth="1"/>
    <col min="5662" max="5662" width="20.42578125" style="140" customWidth="1"/>
    <col min="5663" max="5667" width="14.42578125" style="140"/>
    <col min="5668" max="5668" width="38.140625" style="140" customWidth="1"/>
    <col min="5669" max="5881" width="14.42578125" style="140"/>
    <col min="5882" max="5882" width="8.85546875" style="140" customWidth="1"/>
    <col min="5883" max="5883" width="12" style="140" customWidth="1"/>
    <col min="5884" max="5885" width="18.7109375" style="140" customWidth="1"/>
    <col min="5886" max="5886" width="18.140625" style="140" customWidth="1"/>
    <col min="5887" max="5887" width="28.42578125" style="140" customWidth="1"/>
    <col min="5888" max="5888" width="22.140625" style="140" customWidth="1"/>
    <col min="5889" max="5889" width="42.42578125" style="140" customWidth="1"/>
    <col min="5890" max="5890" width="28.42578125" style="140" customWidth="1"/>
    <col min="5891" max="5891" width="34.28515625" style="140" customWidth="1"/>
    <col min="5892" max="5892" width="41.7109375" style="140" customWidth="1"/>
    <col min="5893" max="5893" width="23" style="140" customWidth="1"/>
    <col min="5894" max="5894" width="29.42578125" style="140" customWidth="1"/>
    <col min="5895" max="5895" width="43" style="140" customWidth="1"/>
    <col min="5896" max="5896" width="25.42578125" style="140" customWidth="1"/>
    <col min="5897" max="5897" width="37.140625" style="140" customWidth="1"/>
    <col min="5898" max="5898" width="27.42578125" style="140" customWidth="1"/>
    <col min="5899" max="5899" width="22.42578125" style="140" customWidth="1"/>
    <col min="5900" max="5900" width="23.42578125" style="140" customWidth="1"/>
    <col min="5901" max="5901" width="22" style="140" customWidth="1"/>
    <col min="5902" max="5902" width="17.7109375" style="140" customWidth="1"/>
    <col min="5903" max="5903" width="25.7109375" style="140" customWidth="1"/>
    <col min="5904" max="5904" width="17.7109375" style="140" customWidth="1"/>
    <col min="5905" max="5910" width="25.7109375" style="140" customWidth="1"/>
    <col min="5911" max="5911" width="26" style="140" customWidth="1"/>
    <col min="5912" max="5913" width="58.7109375" style="140" customWidth="1"/>
    <col min="5914" max="5914" width="30" style="140" customWidth="1"/>
    <col min="5915" max="5915" width="25.7109375" style="140" customWidth="1"/>
    <col min="5916" max="5916" width="60.140625" style="140" customWidth="1"/>
    <col min="5917" max="5917" width="18.140625" style="140" customWidth="1"/>
    <col min="5918" max="5918" width="20.42578125" style="140" customWidth="1"/>
    <col min="5919" max="5923" width="14.42578125" style="140"/>
    <col min="5924" max="5924" width="38.140625" style="140" customWidth="1"/>
    <col min="5925" max="6137" width="14.42578125" style="140"/>
    <col min="6138" max="6138" width="8.85546875" style="140" customWidth="1"/>
    <col min="6139" max="6139" width="12" style="140" customWidth="1"/>
    <col min="6140" max="6141" width="18.7109375" style="140" customWidth="1"/>
    <col min="6142" max="6142" width="18.140625" style="140" customWidth="1"/>
    <col min="6143" max="6143" width="28.42578125" style="140" customWidth="1"/>
    <col min="6144" max="6144" width="22.140625" style="140" customWidth="1"/>
    <col min="6145" max="6145" width="42.42578125" style="140" customWidth="1"/>
    <col min="6146" max="6146" width="28.42578125" style="140" customWidth="1"/>
    <col min="6147" max="6147" width="34.28515625" style="140" customWidth="1"/>
    <col min="6148" max="6148" width="41.7109375" style="140" customWidth="1"/>
    <col min="6149" max="6149" width="23" style="140" customWidth="1"/>
    <col min="6150" max="6150" width="29.42578125" style="140" customWidth="1"/>
    <col min="6151" max="6151" width="43" style="140" customWidth="1"/>
    <col min="6152" max="6152" width="25.42578125" style="140" customWidth="1"/>
    <col min="6153" max="6153" width="37.140625" style="140" customWidth="1"/>
    <col min="6154" max="6154" width="27.42578125" style="140" customWidth="1"/>
    <col min="6155" max="6155" width="22.42578125" style="140" customWidth="1"/>
    <col min="6156" max="6156" width="23.42578125" style="140" customWidth="1"/>
    <col min="6157" max="6157" width="22" style="140" customWidth="1"/>
    <col min="6158" max="6158" width="17.7109375" style="140" customWidth="1"/>
    <col min="6159" max="6159" width="25.7109375" style="140" customWidth="1"/>
    <col min="6160" max="6160" width="17.7109375" style="140" customWidth="1"/>
    <col min="6161" max="6166" width="25.7109375" style="140" customWidth="1"/>
    <col min="6167" max="6167" width="26" style="140" customWidth="1"/>
    <col min="6168" max="6169" width="58.7109375" style="140" customWidth="1"/>
    <col min="6170" max="6170" width="30" style="140" customWidth="1"/>
    <col min="6171" max="6171" width="25.7109375" style="140" customWidth="1"/>
    <col min="6172" max="6172" width="60.140625" style="140" customWidth="1"/>
    <col min="6173" max="6173" width="18.140625" style="140" customWidth="1"/>
    <col min="6174" max="6174" width="20.42578125" style="140" customWidth="1"/>
    <col min="6175" max="6179" width="14.42578125" style="140"/>
    <col min="6180" max="6180" width="38.140625" style="140" customWidth="1"/>
    <col min="6181" max="6393" width="14.42578125" style="140"/>
    <col min="6394" max="6394" width="8.85546875" style="140" customWidth="1"/>
    <col min="6395" max="6395" width="12" style="140" customWidth="1"/>
    <col min="6396" max="6397" width="18.7109375" style="140" customWidth="1"/>
    <col min="6398" max="6398" width="18.140625" style="140" customWidth="1"/>
    <col min="6399" max="6399" width="28.42578125" style="140" customWidth="1"/>
    <col min="6400" max="6400" width="22.140625" style="140" customWidth="1"/>
    <col min="6401" max="6401" width="42.42578125" style="140" customWidth="1"/>
    <col min="6402" max="6402" width="28.42578125" style="140" customWidth="1"/>
    <col min="6403" max="6403" width="34.28515625" style="140" customWidth="1"/>
    <col min="6404" max="6404" width="41.7109375" style="140" customWidth="1"/>
    <col min="6405" max="6405" width="23" style="140" customWidth="1"/>
    <col min="6406" max="6406" width="29.42578125" style="140" customWidth="1"/>
    <col min="6407" max="6407" width="43" style="140" customWidth="1"/>
    <col min="6408" max="6408" width="25.42578125" style="140" customWidth="1"/>
    <col min="6409" max="6409" width="37.140625" style="140" customWidth="1"/>
    <col min="6410" max="6410" width="27.42578125" style="140" customWidth="1"/>
    <col min="6411" max="6411" width="22.42578125" style="140" customWidth="1"/>
    <col min="6412" max="6412" width="23.42578125" style="140" customWidth="1"/>
    <col min="6413" max="6413" width="22" style="140" customWidth="1"/>
    <col min="6414" max="6414" width="17.7109375" style="140" customWidth="1"/>
    <col min="6415" max="6415" width="25.7109375" style="140" customWidth="1"/>
    <col min="6416" max="6416" width="17.7109375" style="140" customWidth="1"/>
    <col min="6417" max="6422" width="25.7109375" style="140" customWidth="1"/>
    <col min="6423" max="6423" width="26" style="140" customWidth="1"/>
    <col min="6424" max="6425" width="58.7109375" style="140" customWidth="1"/>
    <col min="6426" max="6426" width="30" style="140" customWidth="1"/>
    <col min="6427" max="6427" width="25.7109375" style="140" customWidth="1"/>
    <col min="6428" max="6428" width="60.140625" style="140" customWidth="1"/>
    <col min="6429" max="6429" width="18.140625" style="140" customWidth="1"/>
    <col min="6430" max="6430" width="20.42578125" style="140" customWidth="1"/>
    <col min="6431" max="6435" width="14.42578125" style="140"/>
    <col min="6436" max="6436" width="38.140625" style="140" customWidth="1"/>
    <col min="6437" max="6649" width="14.42578125" style="140"/>
    <col min="6650" max="6650" width="8.85546875" style="140" customWidth="1"/>
    <col min="6651" max="6651" width="12" style="140" customWidth="1"/>
    <col min="6652" max="6653" width="18.7109375" style="140" customWidth="1"/>
    <col min="6654" max="6654" width="18.140625" style="140" customWidth="1"/>
    <col min="6655" max="6655" width="28.42578125" style="140" customWidth="1"/>
    <col min="6656" max="6656" width="22.140625" style="140" customWidth="1"/>
    <col min="6657" max="6657" width="42.42578125" style="140" customWidth="1"/>
    <col min="6658" max="6658" width="28.42578125" style="140" customWidth="1"/>
    <col min="6659" max="6659" width="34.28515625" style="140" customWidth="1"/>
    <col min="6660" max="6660" width="41.7109375" style="140" customWidth="1"/>
    <col min="6661" max="6661" width="23" style="140" customWidth="1"/>
    <col min="6662" max="6662" width="29.42578125" style="140" customWidth="1"/>
    <col min="6663" max="6663" width="43" style="140" customWidth="1"/>
    <col min="6664" max="6664" width="25.42578125" style="140" customWidth="1"/>
    <col min="6665" max="6665" width="37.140625" style="140" customWidth="1"/>
    <col min="6666" max="6666" width="27.42578125" style="140" customWidth="1"/>
    <col min="6667" max="6667" width="22.42578125" style="140" customWidth="1"/>
    <col min="6668" max="6668" width="23.42578125" style="140" customWidth="1"/>
    <col min="6669" max="6669" width="22" style="140" customWidth="1"/>
    <col min="6670" max="6670" width="17.7109375" style="140" customWidth="1"/>
    <col min="6671" max="6671" width="25.7109375" style="140" customWidth="1"/>
    <col min="6672" max="6672" width="17.7109375" style="140" customWidth="1"/>
    <col min="6673" max="6678" width="25.7109375" style="140" customWidth="1"/>
    <col min="6679" max="6679" width="26" style="140" customWidth="1"/>
    <col min="6680" max="6681" width="58.7109375" style="140" customWidth="1"/>
    <col min="6682" max="6682" width="30" style="140" customWidth="1"/>
    <col min="6683" max="6683" width="25.7109375" style="140" customWidth="1"/>
    <col min="6684" max="6684" width="60.140625" style="140" customWidth="1"/>
    <col min="6685" max="6685" width="18.140625" style="140" customWidth="1"/>
    <col min="6686" max="6686" width="20.42578125" style="140" customWidth="1"/>
    <col min="6687" max="6691" width="14.42578125" style="140"/>
    <col min="6692" max="6692" width="38.140625" style="140" customWidth="1"/>
    <col min="6693" max="6905" width="14.42578125" style="140"/>
    <col min="6906" max="6906" width="8.85546875" style="140" customWidth="1"/>
    <col min="6907" max="6907" width="12" style="140" customWidth="1"/>
    <col min="6908" max="6909" width="18.7109375" style="140" customWidth="1"/>
    <col min="6910" max="6910" width="18.140625" style="140" customWidth="1"/>
    <col min="6911" max="6911" width="28.42578125" style="140" customWidth="1"/>
    <col min="6912" max="6912" width="22.140625" style="140" customWidth="1"/>
    <col min="6913" max="6913" width="42.42578125" style="140" customWidth="1"/>
    <col min="6914" max="6914" width="28.42578125" style="140" customWidth="1"/>
    <col min="6915" max="6915" width="34.28515625" style="140" customWidth="1"/>
    <col min="6916" max="6916" width="41.7109375" style="140" customWidth="1"/>
    <col min="6917" max="6917" width="23" style="140" customWidth="1"/>
    <col min="6918" max="6918" width="29.42578125" style="140" customWidth="1"/>
    <col min="6919" max="6919" width="43" style="140" customWidth="1"/>
    <col min="6920" max="6920" width="25.42578125" style="140" customWidth="1"/>
    <col min="6921" max="6921" width="37.140625" style="140" customWidth="1"/>
    <col min="6922" max="6922" width="27.42578125" style="140" customWidth="1"/>
    <col min="6923" max="6923" width="22.42578125" style="140" customWidth="1"/>
    <col min="6924" max="6924" width="23.42578125" style="140" customWidth="1"/>
    <col min="6925" max="6925" width="22" style="140" customWidth="1"/>
    <col min="6926" max="6926" width="17.7109375" style="140" customWidth="1"/>
    <col min="6927" max="6927" width="25.7109375" style="140" customWidth="1"/>
    <col min="6928" max="6928" width="17.7109375" style="140" customWidth="1"/>
    <col min="6929" max="6934" width="25.7109375" style="140" customWidth="1"/>
    <col min="6935" max="6935" width="26" style="140" customWidth="1"/>
    <col min="6936" max="6937" width="58.7109375" style="140" customWidth="1"/>
    <col min="6938" max="6938" width="30" style="140" customWidth="1"/>
    <col min="6939" max="6939" width="25.7109375" style="140" customWidth="1"/>
    <col min="6940" max="6940" width="60.140625" style="140" customWidth="1"/>
    <col min="6941" max="6941" width="18.140625" style="140" customWidth="1"/>
    <col min="6942" max="6942" width="20.42578125" style="140" customWidth="1"/>
    <col min="6943" max="6947" width="14.42578125" style="140"/>
    <col min="6948" max="6948" width="38.140625" style="140" customWidth="1"/>
    <col min="6949" max="7161" width="14.42578125" style="140"/>
    <col min="7162" max="7162" width="8.85546875" style="140" customWidth="1"/>
    <col min="7163" max="7163" width="12" style="140" customWidth="1"/>
    <col min="7164" max="7165" width="18.7109375" style="140" customWidth="1"/>
    <col min="7166" max="7166" width="18.140625" style="140" customWidth="1"/>
    <col min="7167" max="7167" width="28.42578125" style="140" customWidth="1"/>
    <col min="7168" max="7168" width="22.140625" style="140" customWidth="1"/>
    <col min="7169" max="7169" width="42.42578125" style="140" customWidth="1"/>
    <col min="7170" max="7170" width="28.42578125" style="140" customWidth="1"/>
    <col min="7171" max="7171" width="34.28515625" style="140" customWidth="1"/>
    <col min="7172" max="7172" width="41.7109375" style="140" customWidth="1"/>
    <col min="7173" max="7173" width="23" style="140" customWidth="1"/>
    <col min="7174" max="7174" width="29.42578125" style="140" customWidth="1"/>
    <col min="7175" max="7175" width="43" style="140" customWidth="1"/>
    <col min="7176" max="7176" width="25.42578125" style="140" customWidth="1"/>
    <col min="7177" max="7177" width="37.140625" style="140" customWidth="1"/>
    <col min="7178" max="7178" width="27.42578125" style="140" customWidth="1"/>
    <col min="7179" max="7179" width="22.42578125" style="140" customWidth="1"/>
    <col min="7180" max="7180" width="23.42578125" style="140" customWidth="1"/>
    <col min="7181" max="7181" width="22" style="140" customWidth="1"/>
    <col min="7182" max="7182" width="17.7109375" style="140" customWidth="1"/>
    <col min="7183" max="7183" width="25.7109375" style="140" customWidth="1"/>
    <col min="7184" max="7184" width="17.7109375" style="140" customWidth="1"/>
    <col min="7185" max="7190" width="25.7109375" style="140" customWidth="1"/>
    <col min="7191" max="7191" width="26" style="140" customWidth="1"/>
    <col min="7192" max="7193" width="58.7109375" style="140" customWidth="1"/>
    <col min="7194" max="7194" width="30" style="140" customWidth="1"/>
    <col min="7195" max="7195" width="25.7109375" style="140" customWidth="1"/>
    <col min="7196" max="7196" width="60.140625" style="140" customWidth="1"/>
    <col min="7197" max="7197" width="18.140625" style="140" customWidth="1"/>
    <col min="7198" max="7198" width="20.42578125" style="140" customWidth="1"/>
    <col min="7199" max="7203" width="14.42578125" style="140"/>
    <col min="7204" max="7204" width="38.140625" style="140" customWidth="1"/>
    <col min="7205" max="7417" width="14.42578125" style="140"/>
    <col min="7418" max="7418" width="8.85546875" style="140" customWidth="1"/>
    <col min="7419" max="7419" width="12" style="140" customWidth="1"/>
    <col min="7420" max="7421" width="18.7109375" style="140" customWidth="1"/>
    <col min="7422" max="7422" width="18.140625" style="140" customWidth="1"/>
    <col min="7423" max="7423" width="28.42578125" style="140" customWidth="1"/>
    <col min="7424" max="7424" width="22.140625" style="140" customWidth="1"/>
    <col min="7425" max="7425" width="42.42578125" style="140" customWidth="1"/>
    <col min="7426" max="7426" width="28.42578125" style="140" customWidth="1"/>
    <col min="7427" max="7427" width="34.28515625" style="140" customWidth="1"/>
    <col min="7428" max="7428" width="41.7109375" style="140" customWidth="1"/>
    <col min="7429" max="7429" width="23" style="140" customWidth="1"/>
    <col min="7430" max="7430" width="29.42578125" style="140" customWidth="1"/>
    <col min="7431" max="7431" width="43" style="140" customWidth="1"/>
    <col min="7432" max="7432" width="25.42578125" style="140" customWidth="1"/>
    <col min="7433" max="7433" width="37.140625" style="140" customWidth="1"/>
    <col min="7434" max="7434" width="27.42578125" style="140" customWidth="1"/>
    <col min="7435" max="7435" width="22.42578125" style="140" customWidth="1"/>
    <col min="7436" max="7436" width="23.42578125" style="140" customWidth="1"/>
    <col min="7437" max="7437" width="22" style="140" customWidth="1"/>
    <col min="7438" max="7438" width="17.7109375" style="140" customWidth="1"/>
    <col min="7439" max="7439" width="25.7109375" style="140" customWidth="1"/>
    <col min="7440" max="7440" width="17.7109375" style="140" customWidth="1"/>
    <col min="7441" max="7446" width="25.7109375" style="140" customWidth="1"/>
    <col min="7447" max="7447" width="26" style="140" customWidth="1"/>
    <col min="7448" max="7449" width="58.7109375" style="140" customWidth="1"/>
    <col min="7450" max="7450" width="30" style="140" customWidth="1"/>
    <col min="7451" max="7451" width="25.7109375" style="140" customWidth="1"/>
    <col min="7452" max="7452" width="60.140625" style="140" customWidth="1"/>
    <col min="7453" max="7453" width="18.140625" style="140" customWidth="1"/>
    <col min="7454" max="7454" width="20.42578125" style="140" customWidth="1"/>
    <col min="7455" max="7459" width="14.42578125" style="140"/>
    <col min="7460" max="7460" width="38.140625" style="140" customWidth="1"/>
    <col min="7461" max="7673" width="14.42578125" style="140"/>
    <col min="7674" max="7674" width="8.85546875" style="140" customWidth="1"/>
    <col min="7675" max="7675" width="12" style="140" customWidth="1"/>
    <col min="7676" max="7677" width="18.7109375" style="140" customWidth="1"/>
    <col min="7678" max="7678" width="18.140625" style="140" customWidth="1"/>
    <col min="7679" max="7679" width="28.42578125" style="140" customWidth="1"/>
    <col min="7680" max="7680" width="22.140625" style="140" customWidth="1"/>
    <col min="7681" max="7681" width="42.42578125" style="140" customWidth="1"/>
    <col min="7682" max="7682" width="28.42578125" style="140" customWidth="1"/>
    <col min="7683" max="7683" width="34.28515625" style="140" customWidth="1"/>
    <col min="7684" max="7684" width="41.7109375" style="140" customWidth="1"/>
    <col min="7685" max="7685" width="23" style="140" customWidth="1"/>
    <col min="7686" max="7686" width="29.42578125" style="140" customWidth="1"/>
    <col min="7687" max="7687" width="43" style="140" customWidth="1"/>
    <col min="7688" max="7688" width="25.42578125" style="140" customWidth="1"/>
    <col min="7689" max="7689" width="37.140625" style="140" customWidth="1"/>
    <col min="7690" max="7690" width="27.42578125" style="140" customWidth="1"/>
    <col min="7691" max="7691" width="22.42578125" style="140" customWidth="1"/>
    <col min="7692" max="7692" width="23.42578125" style="140" customWidth="1"/>
    <col min="7693" max="7693" width="22" style="140" customWidth="1"/>
    <col min="7694" max="7694" width="17.7109375" style="140" customWidth="1"/>
    <col min="7695" max="7695" width="25.7109375" style="140" customWidth="1"/>
    <col min="7696" max="7696" width="17.7109375" style="140" customWidth="1"/>
    <col min="7697" max="7702" width="25.7109375" style="140" customWidth="1"/>
    <col min="7703" max="7703" width="26" style="140" customWidth="1"/>
    <col min="7704" max="7705" width="58.7109375" style="140" customWidth="1"/>
    <col min="7706" max="7706" width="30" style="140" customWidth="1"/>
    <col min="7707" max="7707" width="25.7109375" style="140" customWidth="1"/>
    <col min="7708" max="7708" width="60.140625" style="140" customWidth="1"/>
    <col min="7709" max="7709" width="18.140625" style="140" customWidth="1"/>
    <col min="7710" max="7710" width="20.42578125" style="140" customWidth="1"/>
    <col min="7711" max="7715" width="14.42578125" style="140"/>
    <col min="7716" max="7716" width="38.140625" style="140" customWidth="1"/>
    <col min="7717" max="7929" width="14.42578125" style="140"/>
    <col min="7930" max="7930" width="8.85546875" style="140" customWidth="1"/>
    <col min="7931" max="7931" width="12" style="140" customWidth="1"/>
    <col min="7932" max="7933" width="18.7109375" style="140" customWidth="1"/>
    <col min="7934" max="7934" width="18.140625" style="140" customWidth="1"/>
    <col min="7935" max="7935" width="28.42578125" style="140" customWidth="1"/>
    <col min="7936" max="7936" width="22.140625" style="140" customWidth="1"/>
    <col min="7937" max="7937" width="42.42578125" style="140" customWidth="1"/>
    <col min="7938" max="7938" width="28.42578125" style="140" customWidth="1"/>
    <col min="7939" max="7939" width="34.28515625" style="140" customWidth="1"/>
    <col min="7940" max="7940" width="41.7109375" style="140" customWidth="1"/>
    <col min="7941" max="7941" width="23" style="140" customWidth="1"/>
    <col min="7942" max="7942" width="29.42578125" style="140" customWidth="1"/>
    <col min="7943" max="7943" width="43" style="140" customWidth="1"/>
    <col min="7944" max="7944" width="25.42578125" style="140" customWidth="1"/>
    <col min="7945" max="7945" width="37.140625" style="140" customWidth="1"/>
    <col min="7946" max="7946" width="27.42578125" style="140" customWidth="1"/>
    <col min="7947" max="7947" width="22.42578125" style="140" customWidth="1"/>
    <col min="7948" max="7948" width="23.42578125" style="140" customWidth="1"/>
    <col min="7949" max="7949" width="22" style="140" customWidth="1"/>
    <col min="7950" max="7950" width="17.7109375" style="140" customWidth="1"/>
    <col min="7951" max="7951" width="25.7109375" style="140" customWidth="1"/>
    <col min="7952" max="7952" width="17.7109375" style="140" customWidth="1"/>
    <col min="7953" max="7958" width="25.7109375" style="140" customWidth="1"/>
    <col min="7959" max="7959" width="26" style="140" customWidth="1"/>
    <col min="7960" max="7961" width="58.7109375" style="140" customWidth="1"/>
    <col min="7962" max="7962" width="30" style="140" customWidth="1"/>
    <col min="7963" max="7963" width="25.7109375" style="140" customWidth="1"/>
    <col min="7964" max="7964" width="60.140625" style="140" customWidth="1"/>
    <col min="7965" max="7965" width="18.140625" style="140" customWidth="1"/>
    <col min="7966" max="7966" width="20.42578125" style="140" customWidth="1"/>
    <col min="7967" max="7971" width="14.42578125" style="140"/>
    <col min="7972" max="7972" width="38.140625" style="140" customWidth="1"/>
    <col min="7973" max="8185" width="14.42578125" style="140"/>
    <col min="8186" max="8186" width="8.85546875" style="140" customWidth="1"/>
    <col min="8187" max="8187" width="12" style="140" customWidth="1"/>
    <col min="8188" max="8189" width="18.7109375" style="140" customWidth="1"/>
    <col min="8190" max="8190" width="18.140625" style="140" customWidth="1"/>
    <col min="8191" max="8191" width="28.42578125" style="140" customWidth="1"/>
    <col min="8192" max="8192" width="22.140625" style="140" customWidth="1"/>
    <col min="8193" max="8193" width="42.42578125" style="140" customWidth="1"/>
    <col min="8194" max="8194" width="28.42578125" style="140" customWidth="1"/>
    <col min="8195" max="8195" width="34.28515625" style="140" customWidth="1"/>
    <col min="8196" max="8196" width="41.7109375" style="140" customWidth="1"/>
    <col min="8197" max="8197" width="23" style="140" customWidth="1"/>
    <col min="8198" max="8198" width="29.42578125" style="140" customWidth="1"/>
    <col min="8199" max="8199" width="43" style="140" customWidth="1"/>
    <col min="8200" max="8200" width="25.42578125" style="140" customWidth="1"/>
    <col min="8201" max="8201" width="37.140625" style="140" customWidth="1"/>
    <col min="8202" max="8202" width="27.42578125" style="140" customWidth="1"/>
    <col min="8203" max="8203" width="22.42578125" style="140" customWidth="1"/>
    <col min="8204" max="8204" width="23.42578125" style="140" customWidth="1"/>
    <col min="8205" max="8205" width="22" style="140" customWidth="1"/>
    <col min="8206" max="8206" width="17.7109375" style="140" customWidth="1"/>
    <col min="8207" max="8207" width="25.7109375" style="140" customWidth="1"/>
    <col min="8208" max="8208" width="17.7109375" style="140" customWidth="1"/>
    <col min="8209" max="8214" width="25.7109375" style="140" customWidth="1"/>
    <col min="8215" max="8215" width="26" style="140" customWidth="1"/>
    <col min="8216" max="8217" width="58.7109375" style="140" customWidth="1"/>
    <col min="8218" max="8218" width="30" style="140" customWidth="1"/>
    <col min="8219" max="8219" width="25.7109375" style="140" customWidth="1"/>
    <col min="8220" max="8220" width="60.140625" style="140" customWidth="1"/>
    <col min="8221" max="8221" width="18.140625" style="140" customWidth="1"/>
    <col min="8222" max="8222" width="20.42578125" style="140" customWidth="1"/>
    <col min="8223" max="8227" width="14.42578125" style="140"/>
    <col min="8228" max="8228" width="38.140625" style="140" customWidth="1"/>
    <col min="8229" max="8441" width="14.42578125" style="140"/>
    <col min="8442" max="8442" width="8.85546875" style="140" customWidth="1"/>
    <col min="8443" max="8443" width="12" style="140" customWidth="1"/>
    <col min="8444" max="8445" width="18.7109375" style="140" customWidth="1"/>
    <col min="8446" max="8446" width="18.140625" style="140" customWidth="1"/>
    <col min="8447" max="8447" width="28.42578125" style="140" customWidth="1"/>
    <col min="8448" max="8448" width="22.140625" style="140" customWidth="1"/>
    <col min="8449" max="8449" width="42.42578125" style="140" customWidth="1"/>
    <col min="8450" max="8450" width="28.42578125" style="140" customWidth="1"/>
    <col min="8451" max="8451" width="34.28515625" style="140" customWidth="1"/>
    <col min="8452" max="8452" width="41.7109375" style="140" customWidth="1"/>
    <col min="8453" max="8453" width="23" style="140" customWidth="1"/>
    <col min="8454" max="8454" width="29.42578125" style="140" customWidth="1"/>
    <col min="8455" max="8455" width="43" style="140" customWidth="1"/>
    <col min="8456" max="8456" width="25.42578125" style="140" customWidth="1"/>
    <col min="8457" max="8457" width="37.140625" style="140" customWidth="1"/>
    <col min="8458" max="8458" width="27.42578125" style="140" customWidth="1"/>
    <col min="8459" max="8459" width="22.42578125" style="140" customWidth="1"/>
    <col min="8460" max="8460" width="23.42578125" style="140" customWidth="1"/>
    <col min="8461" max="8461" width="22" style="140" customWidth="1"/>
    <col min="8462" max="8462" width="17.7109375" style="140" customWidth="1"/>
    <col min="8463" max="8463" width="25.7109375" style="140" customWidth="1"/>
    <col min="8464" max="8464" width="17.7109375" style="140" customWidth="1"/>
    <col min="8465" max="8470" width="25.7109375" style="140" customWidth="1"/>
    <col min="8471" max="8471" width="26" style="140" customWidth="1"/>
    <col min="8472" max="8473" width="58.7109375" style="140" customWidth="1"/>
    <col min="8474" max="8474" width="30" style="140" customWidth="1"/>
    <col min="8475" max="8475" width="25.7109375" style="140" customWidth="1"/>
    <col min="8476" max="8476" width="60.140625" style="140" customWidth="1"/>
    <col min="8477" max="8477" width="18.140625" style="140" customWidth="1"/>
    <col min="8478" max="8478" width="20.42578125" style="140" customWidth="1"/>
    <col min="8479" max="8483" width="14.42578125" style="140"/>
    <col min="8484" max="8484" width="38.140625" style="140" customWidth="1"/>
    <col min="8485" max="8697" width="14.42578125" style="140"/>
    <col min="8698" max="8698" width="8.85546875" style="140" customWidth="1"/>
    <col min="8699" max="8699" width="12" style="140" customWidth="1"/>
    <col min="8700" max="8701" width="18.7109375" style="140" customWidth="1"/>
    <col min="8702" max="8702" width="18.140625" style="140" customWidth="1"/>
    <col min="8703" max="8703" width="28.42578125" style="140" customWidth="1"/>
    <col min="8704" max="8704" width="22.140625" style="140" customWidth="1"/>
    <col min="8705" max="8705" width="42.42578125" style="140" customWidth="1"/>
    <col min="8706" max="8706" width="28.42578125" style="140" customWidth="1"/>
    <col min="8707" max="8707" width="34.28515625" style="140" customWidth="1"/>
    <col min="8708" max="8708" width="41.7109375" style="140" customWidth="1"/>
    <col min="8709" max="8709" width="23" style="140" customWidth="1"/>
    <col min="8710" max="8710" width="29.42578125" style="140" customWidth="1"/>
    <col min="8711" max="8711" width="43" style="140" customWidth="1"/>
    <col min="8712" max="8712" width="25.42578125" style="140" customWidth="1"/>
    <col min="8713" max="8713" width="37.140625" style="140" customWidth="1"/>
    <col min="8714" max="8714" width="27.42578125" style="140" customWidth="1"/>
    <col min="8715" max="8715" width="22.42578125" style="140" customWidth="1"/>
    <col min="8716" max="8716" width="23.42578125" style="140" customWidth="1"/>
    <col min="8717" max="8717" width="22" style="140" customWidth="1"/>
    <col min="8718" max="8718" width="17.7109375" style="140" customWidth="1"/>
    <col min="8719" max="8719" width="25.7109375" style="140" customWidth="1"/>
    <col min="8720" max="8720" width="17.7109375" style="140" customWidth="1"/>
    <col min="8721" max="8726" width="25.7109375" style="140" customWidth="1"/>
    <col min="8727" max="8727" width="26" style="140" customWidth="1"/>
    <col min="8728" max="8729" width="58.7109375" style="140" customWidth="1"/>
    <col min="8730" max="8730" width="30" style="140" customWidth="1"/>
    <col min="8731" max="8731" width="25.7109375" style="140" customWidth="1"/>
    <col min="8732" max="8732" width="60.140625" style="140" customWidth="1"/>
    <col min="8733" max="8733" width="18.140625" style="140" customWidth="1"/>
    <col min="8734" max="8734" width="20.42578125" style="140" customWidth="1"/>
    <col min="8735" max="8739" width="14.42578125" style="140"/>
    <col min="8740" max="8740" width="38.140625" style="140" customWidth="1"/>
    <col min="8741" max="8953" width="14.42578125" style="140"/>
    <col min="8954" max="8954" width="8.85546875" style="140" customWidth="1"/>
    <col min="8955" max="8955" width="12" style="140" customWidth="1"/>
    <col min="8956" max="8957" width="18.7109375" style="140" customWidth="1"/>
    <col min="8958" max="8958" width="18.140625" style="140" customWidth="1"/>
    <col min="8959" max="8959" width="28.42578125" style="140" customWidth="1"/>
    <col min="8960" max="8960" width="22.140625" style="140" customWidth="1"/>
    <col min="8961" max="8961" width="42.42578125" style="140" customWidth="1"/>
    <col min="8962" max="8962" width="28.42578125" style="140" customWidth="1"/>
    <col min="8963" max="8963" width="34.28515625" style="140" customWidth="1"/>
    <col min="8964" max="8964" width="41.7109375" style="140" customWidth="1"/>
    <col min="8965" max="8965" width="23" style="140" customWidth="1"/>
    <col min="8966" max="8966" width="29.42578125" style="140" customWidth="1"/>
    <col min="8967" max="8967" width="43" style="140" customWidth="1"/>
    <col min="8968" max="8968" width="25.42578125" style="140" customWidth="1"/>
    <col min="8969" max="8969" width="37.140625" style="140" customWidth="1"/>
    <col min="8970" max="8970" width="27.42578125" style="140" customWidth="1"/>
    <col min="8971" max="8971" width="22.42578125" style="140" customWidth="1"/>
    <col min="8972" max="8972" width="23.42578125" style="140" customWidth="1"/>
    <col min="8973" max="8973" width="22" style="140" customWidth="1"/>
    <col min="8974" max="8974" width="17.7109375" style="140" customWidth="1"/>
    <col min="8975" max="8975" width="25.7109375" style="140" customWidth="1"/>
    <col min="8976" max="8976" width="17.7109375" style="140" customWidth="1"/>
    <col min="8977" max="8982" width="25.7109375" style="140" customWidth="1"/>
    <col min="8983" max="8983" width="26" style="140" customWidth="1"/>
    <col min="8984" max="8985" width="58.7109375" style="140" customWidth="1"/>
    <col min="8986" max="8986" width="30" style="140" customWidth="1"/>
    <col min="8987" max="8987" width="25.7109375" style="140" customWidth="1"/>
    <col min="8988" max="8988" width="60.140625" style="140" customWidth="1"/>
    <col min="8989" max="8989" width="18.140625" style="140" customWidth="1"/>
    <col min="8990" max="8990" width="20.42578125" style="140" customWidth="1"/>
    <col min="8991" max="8995" width="14.42578125" style="140"/>
    <col min="8996" max="8996" width="38.140625" style="140" customWidth="1"/>
    <col min="8997" max="9209" width="14.42578125" style="140"/>
    <col min="9210" max="9210" width="8.85546875" style="140" customWidth="1"/>
    <col min="9211" max="9211" width="12" style="140" customWidth="1"/>
    <col min="9212" max="9213" width="18.7109375" style="140" customWidth="1"/>
    <col min="9214" max="9214" width="18.140625" style="140" customWidth="1"/>
    <col min="9215" max="9215" width="28.42578125" style="140" customWidth="1"/>
    <col min="9216" max="9216" width="22.140625" style="140" customWidth="1"/>
    <col min="9217" max="9217" width="42.42578125" style="140" customWidth="1"/>
    <col min="9218" max="9218" width="28.42578125" style="140" customWidth="1"/>
    <col min="9219" max="9219" width="34.28515625" style="140" customWidth="1"/>
    <col min="9220" max="9220" width="41.7109375" style="140" customWidth="1"/>
    <col min="9221" max="9221" width="23" style="140" customWidth="1"/>
    <col min="9222" max="9222" width="29.42578125" style="140" customWidth="1"/>
    <col min="9223" max="9223" width="43" style="140" customWidth="1"/>
    <col min="9224" max="9224" width="25.42578125" style="140" customWidth="1"/>
    <col min="9225" max="9225" width="37.140625" style="140" customWidth="1"/>
    <col min="9226" max="9226" width="27.42578125" style="140" customWidth="1"/>
    <col min="9227" max="9227" width="22.42578125" style="140" customWidth="1"/>
    <col min="9228" max="9228" width="23.42578125" style="140" customWidth="1"/>
    <col min="9229" max="9229" width="22" style="140" customWidth="1"/>
    <col min="9230" max="9230" width="17.7109375" style="140" customWidth="1"/>
    <col min="9231" max="9231" width="25.7109375" style="140" customWidth="1"/>
    <col min="9232" max="9232" width="17.7109375" style="140" customWidth="1"/>
    <col min="9233" max="9238" width="25.7109375" style="140" customWidth="1"/>
    <col min="9239" max="9239" width="26" style="140" customWidth="1"/>
    <col min="9240" max="9241" width="58.7109375" style="140" customWidth="1"/>
    <col min="9242" max="9242" width="30" style="140" customWidth="1"/>
    <col min="9243" max="9243" width="25.7109375" style="140" customWidth="1"/>
    <col min="9244" max="9244" width="60.140625" style="140" customWidth="1"/>
    <col min="9245" max="9245" width="18.140625" style="140" customWidth="1"/>
    <col min="9246" max="9246" width="20.42578125" style="140" customWidth="1"/>
    <col min="9247" max="9251" width="14.42578125" style="140"/>
    <col min="9252" max="9252" width="38.140625" style="140" customWidth="1"/>
    <col min="9253" max="9465" width="14.42578125" style="140"/>
    <col min="9466" max="9466" width="8.85546875" style="140" customWidth="1"/>
    <col min="9467" max="9467" width="12" style="140" customWidth="1"/>
    <col min="9468" max="9469" width="18.7109375" style="140" customWidth="1"/>
    <col min="9470" max="9470" width="18.140625" style="140" customWidth="1"/>
    <col min="9471" max="9471" width="28.42578125" style="140" customWidth="1"/>
    <col min="9472" max="9472" width="22.140625" style="140" customWidth="1"/>
    <col min="9473" max="9473" width="42.42578125" style="140" customWidth="1"/>
    <col min="9474" max="9474" width="28.42578125" style="140" customWidth="1"/>
    <col min="9475" max="9475" width="34.28515625" style="140" customWidth="1"/>
    <col min="9476" max="9476" width="41.7109375" style="140" customWidth="1"/>
    <col min="9477" max="9477" width="23" style="140" customWidth="1"/>
    <col min="9478" max="9478" width="29.42578125" style="140" customWidth="1"/>
    <col min="9479" max="9479" width="43" style="140" customWidth="1"/>
    <col min="9480" max="9480" width="25.42578125" style="140" customWidth="1"/>
    <col min="9481" max="9481" width="37.140625" style="140" customWidth="1"/>
    <col min="9482" max="9482" width="27.42578125" style="140" customWidth="1"/>
    <col min="9483" max="9483" width="22.42578125" style="140" customWidth="1"/>
    <col min="9484" max="9484" width="23.42578125" style="140" customWidth="1"/>
    <col min="9485" max="9485" width="22" style="140" customWidth="1"/>
    <col min="9486" max="9486" width="17.7109375" style="140" customWidth="1"/>
    <col min="9487" max="9487" width="25.7109375" style="140" customWidth="1"/>
    <col min="9488" max="9488" width="17.7109375" style="140" customWidth="1"/>
    <col min="9489" max="9494" width="25.7109375" style="140" customWidth="1"/>
    <col min="9495" max="9495" width="26" style="140" customWidth="1"/>
    <col min="9496" max="9497" width="58.7109375" style="140" customWidth="1"/>
    <col min="9498" max="9498" width="30" style="140" customWidth="1"/>
    <col min="9499" max="9499" width="25.7109375" style="140" customWidth="1"/>
    <col min="9500" max="9500" width="60.140625" style="140" customWidth="1"/>
    <col min="9501" max="9501" width="18.140625" style="140" customWidth="1"/>
    <col min="9502" max="9502" width="20.42578125" style="140" customWidth="1"/>
    <col min="9503" max="9507" width="14.42578125" style="140"/>
    <col min="9508" max="9508" width="38.140625" style="140" customWidth="1"/>
    <col min="9509" max="9721" width="14.42578125" style="140"/>
    <col min="9722" max="9722" width="8.85546875" style="140" customWidth="1"/>
    <col min="9723" max="9723" width="12" style="140" customWidth="1"/>
    <col min="9724" max="9725" width="18.7109375" style="140" customWidth="1"/>
    <col min="9726" max="9726" width="18.140625" style="140" customWidth="1"/>
    <col min="9727" max="9727" width="28.42578125" style="140" customWidth="1"/>
    <col min="9728" max="9728" width="22.140625" style="140" customWidth="1"/>
    <col min="9729" max="9729" width="42.42578125" style="140" customWidth="1"/>
    <col min="9730" max="9730" width="28.42578125" style="140" customWidth="1"/>
    <col min="9731" max="9731" width="34.28515625" style="140" customWidth="1"/>
    <col min="9732" max="9732" width="41.7109375" style="140" customWidth="1"/>
    <col min="9733" max="9733" width="23" style="140" customWidth="1"/>
    <col min="9734" max="9734" width="29.42578125" style="140" customWidth="1"/>
    <col min="9735" max="9735" width="43" style="140" customWidth="1"/>
    <col min="9736" max="9736" width="25.42578125" style="140" customWidth="1"/>
    <col min="9737" max="9737" width="37.140625" style="140" customWidth="1"/>
    <col min="9738" max="9738" width="27.42578125" style="140" customWidth="1"/>
    <col min="9739" max="9739" width="22.42578125" style="140" customWidth="1"/>
    <col min="9740" max="9740" width="23.42578125" style="140" customWidth="1"/>
    <col min="9741" max="9741" width="22" style="140" customWidth="1"/>
    <col min="9742" max="9742" width="17.7109375" style="140" customWidth="1"/>
    <col min="9743" max="9743" width="25.7109375" style="140" customWidth="1"/>
    <col min="9744" max="9744" width="17.7109375" style="140" customWidth="1"/>
    <col min="9745" max="9750" width="25.7109375" style="140" customWidth="1"/>
    <col min="9751" max="9751" width="26" style="140" customWidth="1"/>
    <col min="9752" max="9753" width="58.7109375" style="140" customWidth="1"/>
    <col min="9754" max="9754" width="30" style="140" customWidth="1"/>
    <col min="9755" max="9755" width="25.7109375" style="140" customWidth="1"/>
    <col min="9756" max="9756" width="60.140625" style="140" customWidth="1"/>
    <col min="9757" max="9757" width="18.140625" style="140" customWidth="1"/>
    <col min="9758" max="9758" width="20.42578125" style="140" customWidth="1"/>
    <col min="9759" max="9763" width="14.42578125" style="140"/>
    <col min="9764" max="9764" width="38.140625" style="140" customWidth="1"/>
    <col min="9765" max="9977" width="14.42578125" style="140"/>
    <col min="9978" max="9978" width="8.85546875" style="140" customWidth="1"/>
    <col min="9979" max="9979" width="12" style="140" customWidth="1"/>
    <col min="9980" max="9981" width="18.7109375" style="140" customWidth="1"/>
    <col min="9982" max="9982" width="18.140625" style="140" customWidth="1"/>
    <col min="9983" max="9983" width="28.42578125" style="140" customWidth="1"/>
    <col min="9984" max="9984" width="22.140625" style="140" customWidth="1"/>
    <col min="9985" max="9985" width="42.42578125" style="140" customWidth="1"/>
    <col min="9986" max="9986" width="28.42578125" style="140" customWidth="1"/>
    <col min="9987" max="9987" width="34.28515625" style="140" customWidth="1"/>
    <col min="9988" max="9988" width="41.7109375" style="140" customWidth="1"/>
    <col min="9989" max="9989" width="23" style="140" customWidth="1"/>
    <col min="9990" max="9990" width="29.42578125" style="140" customWidth="1"/>
    <col min="9991" max="9991" width="43" style="140" customWidth="1"/>
    <col min="9992" max="9992" width="25.42578125" style="140" customWidth="1"/>
    <col min="9993" max="9993" width="37.140625" style="140" customWidth="1"/>
    <col min="9994" max="9994" width="27.42578125" style="140" customWidth="1"/>
    <col min="9995" max="9995" width="22.42578125" style="140" customWidth="1"/>
    <col min="9996" max="9996" width="23.42578125" style="140" customWidth="1"/>
    <col min="9997" max="9997" width="22" style="140" customWidth="1"/>
    <col min="9998" max="9998" width="17.7109375" style="140" customWidth="1"/>
    <col min="9999" max="9999" width="25.7109375" style="140" customWidth="1"/>
    <col min="10000" max="10000" width="17.7109375" style="140" customWidth="1"/>
    <col min="10001" max="10006" width="25.7109375" style="140" customWidth="1"/>
    <col min="10007" max="10007" width="26" style="140" customWidth="1"/>
    <col min="10008" max="10009" width="58.7109375" style="140" customWidth="1"/>
    <col min="10010" max="10010" width="30" style="140" customWidth="1"/>
    <col min="10011" max="10011" width="25.7109375" style="140" customWidth="1"/>
    <col min="10012" max="10012" width="60.140625" style="140" customWidth="1"/>
    <col min="10013" max="10013" width="18.140625" style="140" customWidth="1"/>
    <col min="10014" max="10014" width="20.42578125" style="140" customWidth="1"/>
    <col min="10015" max="10019" width="14.42578125" style="140"/>
    <col min="10020" max="10020" width="38.140625" style="140" customWidth="1"/>
    <col min="10021" max="10233" width="14.42578125" style="140"/>
    <col min="10234" max="10234" width="8.85546875" style="140" customWidth="1"/>
    <col min="10235" max="10235" width="12" style="140" customWidth="1"/>
    <col min="10236" max="10237" width="18.7109375" style="140" customWidth="1"/>
    <col min="10238" max="10238" width="18.140625" style="140" customWidth="1"/>
    <col min="10239" max="10239" width="28.42578125" style="140" customWidth="1"/>
    <col min="10240" max="10240" width="22.140625" style="140" customWidth="1"/>
    <col min="10241" max="10241" width="42.42578125" style="140" customWidth="1"/>
    <col min="10242" max="10242" width="28.42578125" style="140" customWidth="1"/>
    <col min="10243" max="10243" width="34.28515625" style="140" customWidth="1"/>
    <col min="10244" max="10244" width="41.7109375" style="140" customWidth="1"/>
    <col min="10245" max="10245" width="23" style="140" customWidth="1"/>
    <col min="10246" max="10246" width="29.42578125" style="140" customWidth="1"/>
    <col min="10247" max="10247" width="43" style="140" customWidth="1"/>
    <col min="10248" max="10248" width="25.42578125" style="140" customWidth="1"/>
    <col min="10249" max="10249" width="37.140625" style="140" customWidth="1"/>
    <col min="10250" max="10250" width="27.42578125" style="140" customWidth="1"/>
    <col min="10251" max="10251" width="22.42578125" style="140" customWidth="1"/>
    <col min="10252" max="10252" width="23.42578125" style="140" customWidth="1"/>
    <col min="10253" max="10253" width="22" style="140" customWidth="1"/>
    <col min="10254" max="10254" width="17.7109375" style="140" customWidth="1"/>
    <col min="10255" max="10255" width="25.7109375" style="140" customWidth="1"/>
    <col min="10256" max="10256" width="17.7109375" style="140" customWidth="1"/>
    <col min="10257" max="10262" width="25.7109375" style="140" customWidth="1"/>
    <col min="10263" max="10263" width="26" style="140" customWidth="1"/>
    <col min="10264" max="10265" width="58.7109375" style="140" customWidth="1"/>
    <col min="10266" max="10266" width="30" style="140" customWidth="1"/>
    <col min="10267" max="10267" width="25.7109375" style="140" customWidth="1"/>
    <col min="10268" max="10268" width="60.140625" style="140" customWidth="1"/>
    <col min="10269" max="10269" width="18.140625" style="140" customWidth="1"/>
    <col min="10270" max="10270" width="20.42578125" style="140" customWidth="1"/>
    <col min="10271" max="10275" width="14.42578125" style="140"/>
    <col min="10276" max="10276" width="38.140625" style="140" customWidth="1"/>
    <col min="10277" max="10489" width="14.42578125" style="140"/>
    <col min="10490" max="10490" width="8.85546875" style="140" customWidth="1"/>
    <col min="10491" max="10491" width="12" style="140" customWidth="1"/>
    <col min="10492" max="10493" width="18.7109375" style="140" customWidth="1"/>
    <col min="10494" max="10494" width="18.140625" style="140" customWidth="1"/>
    <col min="10495" max="10495" width="28.42578125" style="140" customWidth="1"/>
    <col min="10496" max="10496" width="22.140625" style="140" customWidth="1"/>
    <col min="10497" max="10497" width="42.42578125" style="140" customWidth="1"/>
    <col min="10498" max="10498" width="28.42578125" style="140" customWidth="1"/>
    <col min="10499" max="10499" width="34.28515625" style="140" customWidth="1"/>
    <col min="10500" max="10500" width="41.7109375" style="140" customWidth="1"/>
    <col min="10501" max="10501" width="23" style="140" customWidth="1"/>
    <col min="10502" max="10502" width="29.42578125" style="140" customWidth="1"/>
    <col min="10503" max="10503" width="43" style="140" customWidth="1"/>
    <col min="10504" max="10504" width="25.42578125" style="140" customWidth="1"/>
    <col min="10505" max="10505" width="37.140625" style="140" customWidth="1"/>
    <col min="10506" max="10506" width="27.42578125" style="140" customWidth="1"/>
    <col min="10507" max="10507" width="22.42578125" style="140" customWidth="1"/>
    <col min="10508" max="10508" width="23.42578125" style="140" customWidth="1"/>
    <col min="10509" max="10509" width="22" style="140" customWidth="1"/>
    <col min="10510" max="10510" width="17.7109375" style="140" customWidth="1"/>
    <col min="10511" max="10511" width="25.7109375" style="140" customWidth="1"/>
    <col min="10512" max="10512" width="17.7109375" style="140" customWidth="1"/>
    <col min="10513" max="10518" width="25.7109375" style="140" customWidth="1"/>
    <col min="10519" max="10519" width="26" style="140" customWidth="1"/>
    <col min="10520" max="10521" width="58.7109375" style="140" customWidth="1"/>
    <col min="10522" max="10522" width="30" style="140" customWidth="1"/>
    <col min="10523" max="10523" width="25.7109375" style="140" customWidth="1"/>
    <col min="10524" max="10524" width="60.140625" style="140" customWidth="1"/>
    <col min="10525" max="10525" width="18.140625" style="140" customWidth="1"/>
    <col min="10526" max="10526" width="20.42578125" style="140" customWidth="1"/>
    <col min="10527" max="10531" width="14.42578125" style="140"/>
    <col min="10532" max="10532" width="38.140625" style="140" customWidth="1"/>
    <col min="10533" max="10745" width="14.42578125" style="140"/>
    <col min="10746" max="10746" width="8.85546875" style="140" customWidth="1"/>
    <col min="10747" max="10747" width="12" style="140" customWidth="1"/>
    <col min="10748" max="10749" width="18.7109375" style="140" customWidth="1"/>
    <col min="10750" max="10750" width="18.140625" style="140" customWidth="1"/>
    <col min="10751" max="10751" width="28.42578125" style="140" customWidth="1"/>
    <col min="10752" max="10752" width="22.140625" style="140" customWidth="1"/>
    <col min="10753" max="10753" width="42.42578125" style="140" customWidth="1"/>
    <col min="10754" max="10754" width="28.42578125" style="140" customWidth="1"/>
    <col min="10755" max="10755" width="34.28515625" style="140" customWidth="1"/>
    <col min="10756" max="10756" width="41.7109375" style="140" customWidth="1"/>
    <col min="10757" max="10757" width="23" style="140" customWidth="1"/>
    <col min="10758" max="10758" width="29.42578125" style="140" customWidth="1"/>
    <col min="10759" max="10759" width="43" style="140" customWidth="1"/>
    <col min="10760" max="10760" width="25.42578125" style="140" customWidth="1"/>
    <col min="10761" max="10761" width="37.140625" style="140" customWidth="1"/>
    <col min="10762" max="10762" width="27.42578125" style="140" customWidth="1"/>
    <col min="10763" max="10763" width="22.42578125" style="140" customWidth="1"/>
    <col min="10764" max="10764" width="23.42578125" style="140" customWidth="1"/>
    <col min="10765" max="10765" width="22" style="140" customWidth="1"/>
    <col min="10766" max="10766" width="17.7109375" style="140" customWidth="1"/>
    <col min="10767" max="10767" width="25.7109375" style="140" customWidth="1"/>
    <col min="10768" max="10768" width="17.7109375" style="140" customWidth="1"/>
    <col min="10769" max="10774" width="25.7109375" style="140" customWidth="1"/>
    <col min="10775" max="10775" width="26" style="140" customWidth="1"/>
    <col min="10776" max="10777" width="58.7109375" style="140" customWidth="1"/>
    <col min="10778" max="10778" width="30" style="140" customWidth="1"/>
    <col min="10779" max="10779" width="25.7109375" style="140" customWidth="1"/>
    <col min="10780" max="10780" width="60.140625" style="140" customWidth="1"/>
    <col min="10781" max="10781" width="18.140625" style="140" customWidth="1"/>
    <col min="10782" max="10782" width="20.42578125" style="140" customWidth="1"/>
    <col min="10783" max="10787" width="14.42578125" style="140"/>
    <col min="10788" max="10788" width="38.140625" style="140" customWidth="1"/>
    <col min="10789" max="11001" width="14.42578125" style="140"/>
    <col min="11002" max="11002" width="8.85546875" style="140" customWidth="1"/>
    <col min="11003" max="11003" width="12" style="140" customWidth="1"/>
    <col min="11004" max="11005" width="18.7109375" style="140" customWidth="1"/>
    <col min="11006" max="11006" width="18.140625" style="140" customWidth="1"/>
    <col min="11007" max="11007" width="28.42578125" style="140" customWidth="1"/>
    <col min="11008" max="11008" width="22.140625" style="140" customWidth="1"/>
    <col min="11009" max="11009" width="42.42578125" style="140" customWidth="1"/>
    <col min="11010" max="11010" width="28.42578125" style="140" customWidth="1"/>
    <col min="11011" max="11011" width="34.28515625" style="140" customWidth="1"/>
    <col min="11012" max="11012" width="41.7109375" style="140" customWidth="1"/>
    <col min="11013" max="11013" width="23" style="140" customWidth="1"/>
    <col min="11014" max="11014" width="29.42578125" style="140" customWidth="1"/>
    <col min="11015" max="11015" width="43" style="140" customWidth="1"/>
    <col min="11016" max="11016" width="25.42578125" style="140" customWidth="1"/>
    <col min="11017" max="11017" width="37.140625" style="140" customWidth="1"/>
    <col min="11018" max="11018" width="27.42578125" style="140" customWidth="1"/>
    <col min="11019" max="11019" width="22.42578125" style="140" customWidth="1"/>
    <col min="11020" max="11020" width="23.42578125" style="140" customWidth="1"/>
    <col min="11021" max="11021" width="22" style="140" customWidth="1"/>
    <col min="11022" max="11022" width="17.7109375" style="140" customWidth="1"/>
    <col min="11023" max="11023" width="25.7109375" style="140" customWidth="1"/>
    <col min="11024" max="11024" width="17.7109375" style="140" customWidth="1"/>
    <col min="11025" max="11030" width="25.7109375" style="140" customWidth="1"/>
    <col min="11031" max="11031" width="26" style="140" customWidth="1"/>
    <col min="11032" max="11033" width="58.7109375" style="140" customWidth="1"/>
    <col min="11034" max="11034" width="30" style="140" customWidth="1"/>
    <col min="11035" max="11035" width="25.7109375" style="140" customWidth="1"/>
    <col min="11036" max="11036" width="60.140625" style="140" customWidth="1"/>
    <col min="11037" max="11037" width="18.140625" style="140" customWidth="1"/>
    <col min="11038" max="11038" width="20.42578125" style="140" customWidth="1"/>
    <col min="11039" max="11043" width="14.42578125" style="140"/>
    <col min="11044" max="11044" width="38.140625" style="140" customWidth="1"/>
    <col min="11045" max="11257" width="14.42578125" style="140"/>
    <col min="11258" max="11258" width="8.85546875" style="140" customWidth="1"/>
    <col min="11259" max="11259" width="12" style="140" customWidth="1"/>
    <col min="11260" max="11261" width="18.7109375" style="140" customWidth="1"/>
    <col min="11262" max="11262" width="18.140625" style="140" customWidth="1"/>
    <col min="11263" max="11263" width="28.42578125" style="140" customWidth="1"/>
    <col min="11264" max="11264" width="22.140625" style="140" customWidth="1"/>
    <col min="11265" max="11265" width="42.42578125" style="140" customWidth="1"/>
    <col min="11266" max="11266" width="28.42578125" style="140" customWidth="1"/>
    <col min="11267" max="11267" width="34.28515625" style="140" customWidth="1"/>
    <col min="11268" max="11268" width="41.7109375" style="140" customWidth="1"/>
    <col min="11269" max="11269" width="23" style="140" customWidth="1"/>
    <col min="11270" max="11270" width="29.42578125" style="140" customWidth="1"/>
    <col min="11271" max="11271" width="43" style="140" customWidth="1"/>
    <col min="11272" max="11272" width="25.42578125" style="140" customWidth="1"/>
    <col min="11273" max="11273" width="37.140625" style="140" customWidth="1"/>
    <col min="11274" max="11274" width="27.42578125" style="140" customWidth="1"/>
    <col min="11275" max="11275" width="22.42578125" style="140" customWidth="1"/>
    <col min="11276" max="11276" width="23.42578125" style="140" customWidth="1"/>
    <col min="11277" max="11277" width="22" style="140" customWidth="1"/>
    <col min="11278" max="11278" width="17.7109375" style="140" customWidth="1"/>
    <col min="11279" max="11279" width="25.7109375" style="140" customWidth="1"/>
    <col min="11280" max="11280" width="17.7109375" style="140" customWidth="1"/>
    <col min="11281" max="11286" width="25.7109375" style="140" customWidth="1"/>
    <col min="11287" max="11287" width="26" style="140" customWidth="1"/>
    <col min="11288" max="11289" width="58.7109375" style="140" customWidth="1"/>
    <col min="11290" max="11290" width="30" style="140" customWidth="1"/>
    <col min="11291" max="11291" width="25.7109375" style="140" customWidth="1"/>
    <col min="11292" max="11292" width="60.140625" style="140" customWidth="1"/>
    <col min="11293" max="11293" width="18.140625" style="140" customWidth="1"/>
    <col min="11294" max="11294" width="20.42578125" style="140" customWidth="1"/>
    <col min="11295" max="11299" width="14.42578125" style="140"/>
    <col min="11300" max="11300" width="38.140625" style="140" customWidth="1"/>
    <col min="11301" max="11513" width="14.42578125" style="140"/>
    <col min="11514" max="11514" width="8.85546875" style="140" customWidth="1"/>
    <col min="11515" max="11515" width="12" style="140" customWidth="1"/>
    <col min="11516" max="11517" width="18.7109375" style="140" customWidth="1"/>
    <col min="11518" max="11518" width="18.140625" style="140" customWidth="1"/>
    <col min="11519" max="11519" width="28.42578125" style="140" customWidth="1"/>
    <col min="11520" max="11520" width="22.140625" style="140" customWidth="1"/>
    <col min="11521" max="11521" width="42.42578125" style="140" customWidth="1"/>
    <col min="11522" max="11522" width="28.42578125" style="140" customWidth="1"/>
    <col min="11523" max="11523" width="34.28515625" style="140" customWidth="1"/>
    <col min="11524" max="11524" width="41.7109375" style="140" customWidth="1"/>
    <col min="11525" max="11525" width="23" style="140" customWidth="1"/>
    <col min="11526" max="11526" width="29.42578125" style="140" customWidth="1"/>
    <col min="11527" max="11527" width="43" style="140" customWidth="1"/>
    <col min="11528" max="11528" width="25.42578125" style="140" customWidth="1"/>
    <col min="11529" max="11529" width="37.140625" style="140" customWidth="1"/>
    <col min="11530" max="11530" width="27.42578125" style="140" customWidth="1"/>
    <col min="11531" max="11531" width="22.42578125" style="140" customWidth="1"/>
    <col min="11532" max="11532" width="23.42578125" style="140" customWidth="1"/>
    <col min="11533" max="11533" width="22" style="140" customWidth="1"/>
    <col min="11534" max="11534" width="17.7109375" style="140" customWidth="1"/>
    <col min="11535" max="11535" width="25.7109375" style="140" customWidth="1"/>
    <col min="11536" max="11536" width="17.7109375" style="140" customWidth="1"/>
    <col min="11537" max="11542" width="25.7109375" style="140" customWidth="1"/>
    <col min="11543" max="11543" width="26" style="140" customWidth="1"/>
    <col min="11544" max="11545" width="58.7109375" style="140" customWidth="1"/>
    <col min="11546" max="11546" width="30" style="140" customWidth="1"/>
    <col min="11547" max="11547" width="25.7109375" style="140" customWidth="1"/>
    <col min="11548" max="11548" width="60.140625" style="140" customWidth="1"/>
    <col min="11549" max="11549" width="18.140625" style="140" customWidth="1"/>
    <col min="11550" max="11550" width="20.42578125" style="140" customWidth="1"/>
    <col min="11551" max="11555" width="14.42578125" style="140"/>
    <col min="11556" max="11556" width="38.140625" style="140" customWidth="1"/>
    <col min="11557" max="11769" width="14.42578125" style="140"/>
    <col min="11770" max="11770" width="8.85546875" style="140" customWidth="1"/>
    <col min="11771" max="11771" width="12" style="140" customWidth="1"/>
    <col min="11772" max="11773" width="18.7109375" style="140" customWidth="1"/>
    <col min="11774" max="11774" width="18.140625" style="140" customWidth="1"/>
    <col min="11775" max="11775" width="28.42578125" style="140" customWidth="1"/>
    <col min="11776" max="11776" width="22.140625" style="140" customWidth="1"/>
    <col min="11777" max="11777" width="42.42578125" style="140" customWidth="1"/>
    <col min="11778" max="11778" width="28.42578125" style="140" customWidth="1"/>
    <col min="11779" max="11779" width="34.28515625" style="140" customWidth="1"/>
    <col min="11780" max="11780" width="41.7109375" style="140" customWidth="1"/>
    <col min="11781" max="11781" width="23" style="140" customWidth="1"/>
    <col min="11782" max="11782" width="29.42578125" style="140" customWidth="1"/>
    <col min="11783" max="11783" width="43" style="140" customWidth="1"/>
    <col min="11784" max="11784" width="25.42578125" style="140" customWidth="1"/>
    <col min="11785" max="11785" width="37.140625" style="140" customWidth="1"/>
    <col min="11786" max="11786" width="27.42578125" style="140" customWidth="1"/>
    <col min="11787" max="11787" width="22.42578125" style="140" customWidth="1"/>
    <col min="11788" max="11788" width="23.42578125" style="140" customWidth="1"/>
    <col min="11789" max="11789" width="22" style="140" customWidth="1"/>
    <col min="11790" max="11790" width="17.7109375" style="140" customWidth="1"/>
    <col min="11791" max="11791" width="25.7109375" style="140" customWidth="1"/>
    <col min="11792" max="11792" width="17.7109375" style="140" customWidth="1"/>
    <col min="11793" max="11798" width="25.7109375" style="140" customWidth="1"/>
    <col min="11799" max="11799" width="26" style="140" customWidth="1"/>
    <col min="11800" max="11801" width="58.7109375" style="140" customWidth="1"/>
    <col min="11802" max="11802" width="30" style="140" customWidth="1"/>
    <col min="11803" max="11803" width="25.7109375" style="140" customWidth="1"/>
    <col min="11804" max="11804" width="60.140625" style="140" customWidth="1"/>
    <col min="11805" max="11805" width="18.140625" style="140" customWidth="1"/>
    <col min="11806" max="11806" width="20.42578125" style="140" customWidth="1"/>
    <col min="11807" max="11811" width="14.42578125" style="140"/>
    <col min="11812" max="11812" width="38.140625" style="140" customWidth="1"/>
    <col min="11813" max="12025" width="14.42578125" style="140"/>
    <col min="12026" max="12026" width="8.85546875" style="140" customWidth="1"/>
    <col min="12027" max="12027" width="12" style="140" customWidth="1"/>
    <col min="12028" max="12029" width="18.7109375" style="140" customWidth="1"/>
    <col min="12030" max="12030" width="18.140625" style="140" customWidth="1"/>
    <col min="12031" max="12031" width="28.42578125" style="140" customWidth="1"/>
    <col min="12032" max="12032" width="22.140625" style="140" customWidth="1"/>
    <col min="12033" max="12033" width="42.42578125" style="140" customWidth="1"/>
    <col min="12034" max="12034" width="28.42578125" style="140" customWidth="1"/>
    <col min="12035" max="12035" width="34.28515625" style="140" customWidth="1"/>
    <col min="12036" max="12036" width="41.7109375" style="140" customWidth="1"/>
    <col min="12037" max="12037" width="23" style="140" customWidth="1"/>
    <col min="12038" max="12038" width="29.42578125" style="140" customWidth="1"/>
    <col min="12039" max="12039" width="43" style="140" customWidth="1"/>
    <col min="12040" max="12040" width="25.42578125" style="140" customWidth="1"/>
    <col min="12041" max="12041" width="37.140625" style="140" customWidth="1"/>
    <col min="12042" max="12042" width="27.42578125" style="140" customWidth="1"/>
    <col min="12043" max="12043" width="22.42578125" style="140" customWidth="1"/>
    <col min="12044" max="12044" width="23.42578125" style="140" customWidth="1"/>
    <col min="12045" max="12045" width="22" style="140" customWidth="1"/>
    <col min="12046" max="12046" width="17.7109375" style="140" customWidth="1"/>
    <col min="12047" max="12047" width="25.7109375" style="140" customWidth="1"/>
    <col min="12048" max="12048" width="17.7109375" style="140" customWidth="1"/>
    <col min="12049" max="12054" width="25.7109375" style="140" customWidth="1"/>
    <col min="12055" max="12055" width="26" style="140" customWidth="1"/>
    <col min="12056" max="12057" width="58.7109375" style="140" customWidth="1"/>
    <col min="12058" max="12058" width="30" style="140" customWidth="1"/>
    <col min="12059" max="12059" width="25.7109375" style="140" customWidth="1"/>
    <col min="12060" max="12060" width="60.140625" style="140" customWidth="1"/>
    <col min="12061" max="12061" width="18.140625" style="140" customWidth="1"/>
    <col min="12062" max="12062" width="20.42578125" style="140" customWidth="1"/>
    <col min="12063" max="12067" width="14.42578125" style="140"/>
    <col min="12068" max="12068" width="38.140625" style="140" customWidth="1"/>
    <col min="12069" max="12281" width="14.42578125" style="140"/>
    <col min="12282" max="12282" width="8.85546875" style="140" customWidth="1"/>
    <col min="12283" max="12283" width="12" style="140" customWidth="1"/>
    <col min="12284" max="12285" width="18.7109375" style="140" customWidth="1"/>
    <col min="12286" max="12286" width="18.140625" style="140" customWidth="1"/>
    <col min="12287" max="12287" width="28.42578125" style="140" customWidth="1"/>
    <col min="12288" max="12288" width="22.140625" style="140" customWidth="1"/>
    <col min="12289" max="12289" width="42.42578125" style="140" customWidth="1"/>
    <col min="12290" max="12290" width="28.42578125" style="140" customWidth="1"/>
    <col min="12291" max="12291" width="34.28515625" style="140" customWidth="1"/>
    <col min="12292" max="12292" width="41.7109375" style="140" customWidth="1"/>
    <col min="12293" max="12293" width="23" style="140" customWidth="1"/>
    <col min="12294" max="12294" width="29.42578125" style="140" customWidth="1"/>
    <col min="12295" max="12295" width="43" style="140" customWidth="1"/>
    <col min="12296" max="12296" width="25.42578125" style="140" customWidth="1"/>
    <col min="12297" max="12297" width="37.140625" style="140" customWidth="1"/>
    <col min="12298" max="12298" width="27.42578125" style="140" customWidth="1"/>
    <col min="12299" max="12299" width="22.42578125" style="140" customWidth="1"/>
    <col min="12300" max="12300" width="23.42578125" style="140" customWidth="1"/>
    <col min="12301" max="12301" width="22" style="140" customWidth="1"/>
    <col min="12302" max="12302" width="17.7109375" style="140" customWidth="1"/>
    <col min="12303" max="12303" width="25.7109375" style="140" customWidth="1"/>
    <col min="12304" max="12304" width="17.7109375" style="140" customWidth="1"/>
    <col min="12305" max="12310" width="25.7109375" style="140" customWidth="1"/>
    <col min="12311" max="12311" width="26" style="140" customWidth="1"/>
    <col min="12312" max="12313" width="58.7109375" style="140" customWidth="1"/>
    <col min="12314" max="12314" width="30" style="140" customWidth="1"/>
    <col min="12315" max="12315" width="25.7109375" style="140" customWidth="1"/>
    <col min="12316" max="12316" width="60.140625" style="140" customWidth="1"/>
    <col min="12317" max="12317" width="18.140625" style="140" customWidth="1"/>
    <col min="12318" max="12318" width="20.42578125" style="140" customWidth="1"/>
    <col min="12319" max="12323" width="14.42578125" style="140"/>
    <col min="12324" max="12324" width="38.140625" style="140" customWidth="1"/>
    <col min="12325" max="12537" width="14.42578125" style="140"/>
    <col min="12538" max="12538" width="8.85546875" style="140" customWidth="1"/>
    <col min="12539" max="12539" width="12" style="140" customWidth="1"/>
    <col min="12540" max="12541" width="18.7109375" style="140" customWidth="1"/>
    <col min="12542" max="12542" width="18.140625" style="140" customWidth="1"/>
    <col min="12543" max="12543" width="28.42578125" style="140" customWidth="1"/>
    <col min="12544" max="12544" width="22.140625" style="140" customWidth="1"/>
    <col min="12545" max="12545" width="42.42578125" style="140" customWidth="1"/>
    <col min="12546" max="12546" width="28.42578125" style="140" customWidth="1"/>
    <col min="12547" max="12547" width="34.28515625" style="140" customWidth="1"/>
    <col min="12548" max="12548" width="41.7109375" style="140" customWidth="1"/>
    <col min="12549" max="12549" width="23" style="140" customWidth="1"/>
    <col min="12550" max="12550" width="29.42578125" style="140" customWidth="1"/>
    <col min="12551" max="12551" width="43" style="140" customWidth="1"/>
    <col min="12552" max="12552" width="25.42578125" style="140" customWidth="1"/>
    <col min="12553" max="12553" width="37.140625" style="140" customWidth="1"/>
    <col min="12554" max="12554" width="27.42578125" style="140" customWidth="1"/>
    <col min="12555" max="12555" width="22.42578125" style="140" customWidth="1"/>
    <col min="12556" max="12556" width="23.42578125" style="140" customWidth="1"/>
    <col min="12557" max="12557" width="22" style="140" customWidth="1"/>
    <col min="12558" max="12558" width="17.7109375" style="140" customWidth="1"/>
    <col min="12559" max="12559" width="25.7109375" style="140" customWidth="1"/>
    <col min="12560" max="12560" width="17.7109375" style="140" customWidth="1"/>
    <col min="12561" max="12566" width="25.7109375" style="140" customWidth="1"/>
    <col min="12567" max="12567" width="26" style="140" customWidth="1"/>
    <col min="12568" max="12569" width="58.7109375" style="140" customWidth="1"/>
    <col min="12570" max="12570" width="30" style="140" customWidth="1"/>
    <col min="12571" max="12571" width="25.7109375" style="140" customWidth="1"/>
    <col min="12572" max="12572" width="60.140625" style="140" customWidth="1"/>
    <col min="12573" max="12573" width="18.140625" style="140" customWidth="1"/>
    <col min="12574" max="12574" width="20.42578125" style="140" customWidth="1"/>
    <col min="12575" max="12579" width="14.42578125" style="140"/>
    <col min="12580" max="12580" width="38.140625" style="140" customWidth="1"/>
    <col min="12581" max="12793" width="14.42578125" style="140"/>
    <col min="12794" max="12794" width="8.85546875" style="140" customWidth="1"/>
    <col min="12795" max="12795" width="12" style="140" customWidth="1"/>
    <col min="12796" max="12797" width="18.7109375" style="140" customWidth="1"/>
    <col min="12798" max="12798" width="18.140625" style="140" customWidth="1"/>
    <col min="12799" max="12799" width="28.42578125" style="140" customWidth="1"/>
    <col min="12800" max="12800" width="22.140625" style="140" customWidth="1"/>
    <col min="12801" max="12801" width="42.42578125" style="140" customWidth="1"/>
    <col min="12802" max="12802" width="28.42578125" style="140" customWidth="1"/>
    <col min="12803" max="12803" width="34.28515625" style="140" customWidth="1"/>
    <col min="12804" max="12804" width="41.7109375" style="140" customWidth="1"/>
    <col min="12805" max="12805" width="23" style="140" customWidth="1"/>
    <col min="12806" max="12806" width="29.42578125" style="140" customWidth="1"/>
    <col min="12807" max="12807" width="43" style="140" customWidth="1"/>
    <col min="12808" max="12808" width="25.42578125" style="140" customWidth="1"/>
    <col min="12809" max="12809" width="37.140625" style="140" customWidth="1"/>
    <col min="12810" max="12810" width="27.42578125" style="140" customWidth="1"/>
    <col min="12811" max="12811" width="22.42578125" style="140" customWidth="1"/>
    <col min="12812" max="12812" width="23.42578125" style="140" customWidth="1"/>
    <col min="12813" max="12813" width="22" style="140" customWidth="1"/>
    <col min="12814" max="12814" width="17.7109375" style="140" customWidth="1"/>
    <col min="12815" max="12815" width="25.7109375" style="140" customWidth="1"/>
    <col min="12816" max="12816" width="17.7109375" style="140" customWidth="1"/>
    <col min="12817" max="12822" width="25.7109375" style="140" customWidth="1"/>
    <col min="12823" max="12823" width="26" style="140" customWidth="1"/>
    <col min="12824" max="12825" width="58.7109375" style="140" customWidth="1"/>
    <col min="12826" max="12826" width="30" style="140" customWidth="1"/>
    <col min="12827" max="12827" width="25.7109375" style="140" customWidth="1"/>
    <col min="12828" max="12828" width="60.140625" style="140" customWidth="1"/>
    <col min="12829" max="12829" width="18.140625" style="140" customWidth="1"/>
    <col min="12830" max="12830" width="20.42578125" style="140" customWidth="1"/>
    <col min="12831" max="12835" width="14.42578125" style="140"/>
    <col min="12836" max="12836" width="38.140625" style="140" customWidth="1"/>
    <col min="12837" max="13049" width="14.42578125" style="140"/>
    <col min="13050" max="13050" width="8.85546875" style="140" customWidth="1"/>
    <col min="13051" max="13051" width="12" style="140" customWidth="1"/>
    <col min="13052" max="13053" width="18.7109375" style="140" customWidth="1"/>
    <col min="13054" max="13054" width="18.140625" style="140" customWidth="1"/>
    <col min="13055" max="13055" width="28.42578125" style="140" customWidth="1"/>
    <col min="13056" max="13056" width="22.140625" style="140" customWidth="1"/>
    <col min="13057" max="13057" width="42.42578125" style="140" customWidth="1"/>
    <col min="13058" max="13058" width="28.42578125" style="140" customWidth="1"/>
    <col min="13059" max="13059" width="34.28515625" style="140" customWidth="1"/>
    <col min="13060" max="13060" width="41.7109375" style="140" customWidth="1"/>
    <col min="13061" max="13061" width="23" style="140" customWidth="1"/>
    <col min="13062" max="13062" width="29.42578125" style="140" customWidth="1"/>
    <col min="13063" max="13063" width="43" style="140" customWidth="1"/>
    <col min="13064" max="13064" width="25.42578125" style="140" customWidth="1"/>
    <col min="13065" max="13065" width="37.140625" style="140" customWidth="1"/>
    <col min="13066" max="13066" width="27.42578125" style="140" customWidth="1"/>
    <col min="13067" max="13067" width="22.42578125" style="140" customWidth="1"/>
    <col min="13068" max="13068" width="23.42578125" style="140" customWidth="1"/>
    <col min="13069" max="13069" width="22" style="140" customWidth="1"/>
    <col min="13070" max="13070" width="17.7109375" style="140" customWidth="1"/>
    <col min="13071" max="13071" width="25.7109375" style="140" customWidth="1"/>
    <col min="13072" max="13072" width="17.7109375" style="140" customWidth="1"/>
    <col min="13073" max="13078" width="25.7109375" style="140" customWidth="1"/>
    <col min="13079" max="13079" width="26" style="140" customWidth="1"/>
    <col min="13080" max="13081" width="58.7109375" style="140" customWidth="1"/>
    <col min="13082" max="13082" width="30" style="140" customWidth="1"/>
    <col min="13083" max="13083" width="25.7109375" style="140" customWidth="1"/>
    <col min="13084" max="13084" width="60.140625" style="140" customWidth="1"/>
    <col min="13085" max="13085" width="18.140625" style="140" customWidth="1"/>
    <col min="13086" max="13086" width="20.42578125" style="140" customWidth="1"/>
    <col min="13087" max="13091" width="14.42578125" style="140"/>
    <col min="13092" max="13092" width="38.140625" style="140" customWidth="1"/>
    <col min="13093" max="13305" width="14.42578125" style="140"/>
    <col min="13306" max="13306" width="8.85546875" style="140" customWidth="1"/>
    <col min="13307" max="13307" width="12" style="140" customWidth="1"/>
    <col min="13308" max="13309" width="18.7109375" style="140" customWidth="1"/>
    <col min="13310" max="13310" width="18.140625" style="140" customWidth="1"/>
    <col min="13311" max="13311" width="28.42578125" style="140" customWidth="1"/>
    <col min="13312" max="13312" width="22.140625" style="140" customWidth="1"/>
    <col min="13313" max="13313" width="42.42578125" style="140" customWidth="1"/>
    <col min="13314" max="13314" width="28.42578125" style="140" customWidth="1"/>
    <col min="13315" max="13315" width="34.28515625" style="140" customWidth="1"/>
    <col min="13316" max="13316" width="41.7109375" style="140" customWidth="1"/>
    <col min="13317" max="13317" width="23" style="140" customWidth="1"/>
    <col min="13318" max="13318" width="29.42578125" style="140" customWidth="1"/>
    <col min="13319" max="13319" width="43" style="140" customWidth="1"/>
    <col min="13320" max="13320" width="25.42578125" style="140" customWidth="1"/>
    <col min="13321" max="13321" width="37.140625" style="140" customWidth="1"/>
    <col min="13322" max="13322" width="27.42578125" style="140" customWidth="1"/>
    <col min="13323" max="13323" width="22.42578125" style="140" customWidth="1"/>
    <col min="13324" max="13324" width="23.42578125" style="140" customWidth="1"/>
    <col min="13325" max="13325" width="22" style="140" customWidth="1"/>
    <col min="13326" max="13326" width="17.7109375" style="140" customWidth="1"/>
    <col min="13327" max="13327" width="25.7109375" style="140" customWidth="1"/>
    <col min="13328" max="13328" width="17.7109375" style="140" customWidth="1"/>
    <col min="13329" max="13334" width="25.7109375" style="140" customWidth="1"/>
    <col min="13335" max="13335" width="26" style="140" customWidth="1"/>
    <col min="13336" max="13337" width="58.7109375" style="140" customWidth="1"/>
    <col min="13338" max="13338" width="30" style="140" customWidth="1"/>
    <col min="13339" max="13339" width="25.7109375" style="140" customWidth="1"/>
    <col min="13340" max="13340" width="60.140625" style="140" customWidth="1"/>
    <col min="13341" max="13341" width="18.140625" style="140" customWidth="1"/>
    <col min="13342" max="13342" width="20.42578125" style="140" customWidth="1"/>
    <col min="13343" max="13347" width="14.42578125" style="140"/>
    <col min="13348" max="13348" width="38.140625" style="140" customWidth="1"/>
    <col min="13349" max="13561" width="14.42578125" style="140"/>
    <col min="13562" max="13562" width="8.85546875" style="140" customWidth="1"/>
    <col min="13563" max="13563" width="12" style="140" customWidth="1"/>
    <col min="13564" max="13565" width="18.7109375" style="140" customWidth="1"/>
    <col min="13566" max="13566" width="18.140625" style="140" customWidth="1"/>
    <col min="13567" max="13567" width="28.42578125" style="140" customWidth="1"/>
    <col min="13568" max="13568" width="22.140625" style="140" customWidth="1"/>
    <col min="13569" max="13569" width="42.42578125" style="140" customWidth="1"/>
    <col min="13570" max="13570" width="28.42578125" style="140" customWidth="1"/>
    <col min="13571" max="13571" width="34.28515625" style="140" customWidth="1"/>
    <col min="13572" max="13572" width="41.7109375" style="140" customWidth="1"/>
    <col min="13573" max="13573" width="23" style="140" customWidth="1"/>
    <col min="13574" max="13574" width="29.42578125" style="140" customWidth="1"/>
    <col min="13575" max="13575" width="43" style="140" customWidth="1"/>
    <col min="13576" max="13576" width="25.42578125" style="140" customWidth="1"/>
    <col min="13577" max="13577" width="37.140625" style="140" customWidth="1"/>
    <col min="13578" max="13578" width="27.42578125" style="140" customWidth="1"/>
    <col min="13579" max="13579" width="22.42578125" style="140" customWidth="1"/>
    <col min="13580" max="13580" width="23.42578125" style="140" customWidth="1"/>
    <col min="13581" max="13581" width="22" style="140" customWidth="1"/>
    <col min="13582" max="13582" width="17.7109375" style="140" customWidth="1"/>
    <col min="13583" max="13583" width="25.7109375" style="140" customWidth="1"/>
    <col min="13584" max="13584" width="17.7109375" style="140" customWidth="1"/>
    <col min="13585" max="13590" width="25.7109375" style="140" customWidth="1"/>
    <col min="13591" max="13591" width="26" style="140" customWidth="1"/>
    <col min="13592" max="13593" width="58.7109375" style="140" customWidth="1"/>
    <col min="13594" max="13594" width="30" style="140" customWidth="1"/>
    <col min="13595" max="13595" width="25.7109375" style="140" customWidth="1"/>
    <col min="13596" max="13596" width="60.140625" style="140" customWidth="1"/>
    <col min="13597" max="13597" width="18.140625" style="140" customWidth="1"/>
    <col min="13598" max="13598" width="20.42578125" style="140" customWidth="1"/>
    <col min="13599" max="13603" width="14.42578125" style="140"/>
    <col min="13604" max="13604" width="38.140625" style="140" customWidth="1"/>
    <col min="13605" max="13817" width="14.42578125" style="140"/>
    <col min="13818" max="13818" width="8.85546875" style="140" customWidth="1"/>
    <col min="13819" max="13819" width="12" style="140" customWidth="1"/>
    <col min="13820" max="13821" width="18.7109375" style="140" customWidth="1"/>
    <col min="13822" max="13822" width="18.140625" style="140" customWidth="1"/>
    <col min="13823" max="13823" width="28.42578125" style="140" customWidth="1"/>
    <col min="13824" max="13824" width="22.140625" style="140" customWidth="1"/>
    <col min="13825" max="13825" width="42.42578125" style="140" customWidth="1"/>
    <col min="13826" max="13826" width="28.42578125" style="140" customWidth="1"/>
    <col min="13827" max="13827" width="34.28515625" style="140" customWidth="1"/>
    <col min="13828" max="13828" width="41.7109375" style="140" customWidth="1"/>
    <col min="13829" max="13829" width="23" style="140" customWidth="1"/>
    <col min="13830" max="13830" width="29.42578125" style="140" customWidth="1"/>
    <col min="13831" max="13831" width="43" style="140" customWidth="1"/>
    <col min="13832" max="13832" width="25.42578125" style="140" customWidth="1"/>
    <col min="13833" max="13833" width="37.140625" style="140" customWidth="1"/>
    <col min="13834" max="13834" width="27.42578125" style="140" customWidth="1"/>
    <col min="13835" max="13835" width="22.42578125" style="140" customWidth="1"/>
    <col min="13836" max="13836" width="23.42578125" style="140" customWidth="1"/>
    <col min="13837" max="13837" width="22" style="140" customWidth="1"/>
    <col min="13838" max="13838" width="17.7109375" style="140" customWidth="1"/>
    <col min="13839" max="13839" width="25.7109375" style="140" customWidth="1"/>
    <col min="13840" max="13840" width="17.7109375" style="140" customWidth="1"/>
    <col min="13841" max="13846" width="25.7109375" style="140" customWidth="1"/>
    <col min="13847" max="13847" width="26" style="140" customWidth="1"/>
    <col min="13848" max="13849" width="58.7109375" style="140" customWidth="1"/>
    <col min="13850" max="13850" width="30" style="140" customWidth="1"/>
    <col min="13851" max="13851" width="25.7109375" style="140" customWidth="1"/>
    <col min="13852" max="13852" width="60.140625" style="140" customWidth="1"/>
    <col min="13853" max="13853" width="18.140625" style="140" customWidth="1"/>
    <col min="13854" max="13854" width="20.42578125" style="140" customWidth="1"/>
    <col min="13855" max="13859" width="14.42578125" style="140"/>
    <col min="13860" max="13860" width="38.140625" style="140" customWidth="1"/>
    <col min="13861" max="14073" width="14.42578125" style="140"/>
    <col min="14074" max="14074" width="8.85546875" style="140" customWidth="1"/>
    <col min="14075" max="14075" width="12" style="140" customWidth="1"/>
    <col min="14076" max="14077" width="18.7109375" style="140" customWidth="1"/>
    <col min="14078" max="14078" width="18.140625" style="140" customWidth="1"/>
    <col min="14079" max="14079" width="28.42578125" style="140" customWidth="1"/>
    <col min="14080" max="14080" width="22.140625" style="140" customWidth="1"/>
    <col min="14081" max="14081" width="42.42578125" style="140" customWidth="1"/>
    <col min="14082" max="14082" width="28.42578125" style="140" customWidth="1"/>
    <col min="14083" max="14083" width="34.28515625" style="140" customWidth="1"/>
    <col min="14084" max="14084" width="41.7109375" style="140" customWidth="1"/>
    <col min="14085" max="14085" width="23" style="140" customWidth="1"/>
    <col min="14086" max="14086" width="29.42578125" style="140" customWidth="1"/>
    <col min="14087" max="14087" width="43" style="140" customWidth="1"/>
    <col min="14088" max="14088" width="25.42578125" style="140" customWidth="1"/>
    <col min="14089" max="14089" width="37.140625" style="140" customWidth="1"/>
    <col min="14090" max="14090" width="27.42578125" style="140" customWidth="1"/>
    <col min="14091" max="14091" width="22.42578125" style="140" customWidth="1"/>
    <col min="14092" max="14092" width="23.42578125" style="140" customWidth="1"/>
    <col min="14093" max="14093" width="22" style="140" customWidth="1"/>
    <col min="14094" max="14094" width="17.7109375" style="140" customWidth="1"/>
    <col min="14095" max="14095" width="25.7109375" style="140" customWidth="1"/>
    <col min="14096" max="14096" width="17.7109375" style="140" customWidth="1"/>
    <col min="14097" max="14102" width="25.7109375" style="140" customWidth="1"/>
    <col min="14103" max="14103" width="26" style="140" customWidth="1"/>
    <col min="14104" max="14105" width="58.7109375" style="140" customWidth="1"/>
    <col min="14106" max="14106" width="30" style="140" customWidth="1"/>
    <col min="14107" max="14107" width="25.7109375" style="140" customWidth="1"/>
    <col min="14108" max="14108" width="60.140625" style="140" customWidth="1"/>
    <col min="14109" max="14109" width="18.140625" style="140" customWidth="1"/>
    <col min="14110" max="14110" width="20.42578125" style="140" customWidth="1"/>
    <col min="14111" max="14115" width="14.42578125" style="140"/>
    <col min="14116" max="14116" width="38.140625" style="140" customWidth="1"/>
    <col min="14117" max="14329" width="14.42578125" style="140"/>
    <col min="14330" max="14330" width="8.85546875" style="140" customWidth="1"/>
    <col min="14331" max="14331" width="12" style="140" customWidth="1"/>
    <col min="14332" max="14333" width="18.7109375" style="140" customWidth="1"/>
    <col min="14334" max="14334" width="18.140625" style="140" customWidth="1"/>
    <col min="14335" max="14335" width="28.42578125" style="140" customWidth="1"/>
    <col min="14336" max="14336" width="22.140625" style="140" customWidth="1"/>
    <col min="14337" max="14337" width="42.42578125" style="140" customWidth="1"/>
    <col min="14338" max="14338" width="28.42578125" style="140" customWidth="1"/>
    <col min="14339" max="14339" width="34.28515625" style="140" customWidth="1"/>
    <col min="14340" max="14340" width="41.7109375" style="140" customWidth="1"/>
    <col min="14341" max="14341" width="23" style="140" customWidth="1"/>
    <col min="14342" max="14342" width="29.42578125" style="140" customWidth="1"/>
    <col min="14343" max="14343" width="43" style="140" customWidth="1"/>
    <col min="14344" max="14344" width="25.42578125" style="140" customWidth="1"/>
    <col min="14345" max="14345" width="37.140625" style="140" customWidth="1"/>
    <col min="14346" max="14346" width="27.42578125" style="140" customWidth="1"/>
    <col min="14347" max="14347" width="22.42578125" style="140" customWidth="1"/>
    <col min="14348" max="14348" width="23.42578125" style="140" customWidth="1"/>
    <col min="14349" max="14349" width="22" style="140" customWidth="1"/>
    <col min="14350" max="14350" width="17.7109375" style="140" customWidth="1"/>
    <col min="14351" max="14351" width="25.7109375" style="140" customWidth="1"/>
    <col min="14352" max="14352" width="17.7109375" style="140" customWidth="1"/>
    <col min="14353" max="14358" width="25.7109375" style="140" customWidth="1"/>
    <col min="14359" max="14359" width="26" style="140" customWidth="1"/>
    <col min="14360" max="14361" width="58.7109375" style="140" customWidth="1"/>
    <col min="14362" max="14362" width="30" style="140" customWidth="1"/>
    <col min="14363" max="14363" width="25.7109375" style="140" customWidth="1"/>
    <col min="14364" max="14364" width="60.140625" style="140" customWidth="1"/>
    <col min="14365" max="14365" width="18.140625" style="140" customWidth="1"/>
    <col min="14366" max="14366" width="20.42578125" style="140" customWidth="1"/>
    <col min="14367" max="14371" width="14.42578125" style="140"/>
    <col min="14372" max="14372" width="38.140625" style="140" customWidth="1"/>
    <col min="14373" max="14585" width="14.42578125" style="140"/>
    <col min="14586" max="14586" width="8.85546875" style="140" customWidth="1"/>
    <col min="14587" max="14587" width="12" style="140" customWidth="1"/>
    <col min="14588" max="14589" width="18.7109375" style="140" customWidth="1"/>
    <col min="14590" max="14590" width="18.140625" style="140" customWidth="1"/>
    <col min="14591" max="14591" width="28.42578125" style="140" customWidth="1"/>
    <col min="14592" max="14592" width="22.140625" style="140" customWidth="1"/>
    <col min="14593" max="14593" width="42.42578125" style="140" customWidth="1"/>
    <col min="14594" max="14594" width="28.42578125" style="140" customWidth="1"/>
    <col min="14595" max="14595" width="34.28515625" style="140" customWidth="1"/>
    <col min="14596" max="14596" width="41.7109375" style="140" customWidth="1"/>
    <col min="14597" max="14597" width="23" style="140" customWidth="1"/>
    <col min="14598" max="14598" width="29.42578125" style="140" customWidth="1"/>
    <col min="14599" max="14599" width="43" style="140" customWidth="1"/>
    <col min="14600" max="14600" width="25.42578125" style="140" customWidth="1"/>
    <col min="14601" max="14601" width="37.140625" style="140" customWidth="1"/>
    <col min="14602" max="14602" width="27.42578125" style="140" customWidth="1"/>
    <col min="14603" max="14603" width="22.42578125" style="140" customWidth="1"/>
    <col min="14604" max="14604" width="23.42578125" style="140" customWidth="1"/>
    <col min="14605" max="14605" width="22" style="140" customWidth="1"/>
    <col min="14606" max="14606" width="17.7109375" style="140" customWidth="1"/>
    <col min="14607" max="14607" width="25.7109375" style="140" customWidth="1"/>
    <col min="14608" max="14608" width="17.7109375" style="140" customWidth="1"/>
    <col min="14609" max="14614" width="25.7109375" style="140" customWidth="1"/>
    <col min="14615" max="14615" width="26" style="140" customWidth="1"/>
    <col min="14616" max="14617" width="58.7109375" style="140" customWidth="1"/>
    <col min="14618" max="14618" width="30" style="140" customWidth="1"/>
    <col min="14619" max="14619" width="25.7109375" style="140" customWidth="1"/>
    <col min="14620" max="14620" width="60.140625" style="140" customWidth="1"/>
    <col min="14621" max="14621" width="18.140625" style="140" customWidth="1"/>
    <col min="14622" max="14622" width="20.42578125" style="140" customWidth="1"/>
    <col min="14623" max="14627" width="14.42578125" style="140"/>
    <col min="14628" max="14628" width="38.140625" style="140" customWidth="1"/>
    <col min="14629" max="14841" width="14.42578125" style="140"/>
    <col min="14842" max="14842" width="8.85546875" style="140" customWidth="1"/>
    <col min="14843" max="14843" width="12" style="140" customWidth="1"/>
    <col min="14844" max="14845" width="18.7109375" style="140" customWidth="1"/>
    <col min="14846" max="14846" width="18.140625" style="140" customWidth="1"/>
    <col min="14847" max="14847" width="28.42578125" style="140" customWidth="1"/>
    <col min="14848" max="14848" width="22.140625" style="140" customWidth="1"/>
    <col min="14849" max="14849" width="42.42578125" style="140" customWidth="1"/>
    <col min="14850" max="14850" width="28.42578125" style="140" customWidth="1"/>
    <col min="14851" max="14851" width="34.28515625" style="140" customWidth="1"/>
    <col min="14852" max="14852" width="41.7109375" style="140" customWidth="1"/>
    <col min="14853" max="14853" width="23" style="140" customWidth="1"/>
    <col min="14854" max="14854" width="29.42578125" style="140" customWidth="1"/>
    <col min="14855" max="14855" width="43" style="140" customWidth="1"/>
    <col min="14856" max="14856" width="25.42578125" style="140" customWidth="1"/>
    <col min="14857" max="14857" width="37.140625" style="140" customWidth="1"/>
    <col min="14858" max="14858" width="27.42578125" style="140" customWidth="1"/>
    <col min="14859" max="14859" width="22.42578125" style="140" customWidth="1"/>
    <col min="14860" max="14860" width="23.42578125" style="140" customWidth="1"/>
    <col min="14861" max="14861" width="22" style="140" customWidth="1"/>
    <col min="14862" max="14862" width="17.7109375" style="140" customWidth="1"/>
    <col min="14863" max="14863" width="25.7109375" style="140" customWidth="1"/>
    <col min="14864" max="14864" width="17.7109375" style="140" customWidth="1"/>
    <col min="14865" max="14870" width="25.7109375" style="140" customWidth="1"/>
    <col min="14871" max="14871" width="26" style="140" customWidth="1"/>
    <col min="14872" max="14873" width="58.7109375" style="140" customWidth="1"/>
    <col min="14874" max="14874" width="30" style="140" customWidth="1"/>
    <col min="14875" max="14875" width="25.7109375" style="140" customWidth="1"/>
    <col min="14876" max="14876" width="60.140625" style="140" customWidth="1"/>
    <col min="14877" max="14877" width="18.140625" style="140" customWidth="1"/>
    <col min="14878" max="14878" width="20.42578125" style="140" customWidth="1"/>
    <col min="14879" max="14883" width="14.42578125" style="140"/>
    <col min="14884" max="14884" width="38.140625" style="140" customWidth="1"/>
    <col min="14885" max="15097" width="14.42578125" style="140"/>
    <col min="15098" max="15098" width="8.85546875" style="140" customWidth="1"/>
    <col min="15099" max="15099" width="12" style="140" customWidth="1"/>
    <col min="15100" max="15101" width="18.7109375" style="140" customWidth="1"/>
    <col min="15102" max="15102" width="18.140625" style="140" customWidth="1"/>
    <col min="15103" max="15103" width="28.42578125" style="140" customWidth="1"/>
    <col min="15104" max="15104" width="22.140625" style="140" customWidth="1"/>
    <col min="15105" max="15105" width="42.42578125" style="140" customWidth="1"/>
    <col min="15106" max="15106" width="28.42578125" style="140" customWidth="1"/>
    <col min="15107" max="15107" width="34.28515625" style="140" customWidth="1"/>
    <col min="15108" max="15108" width="41.7109375" style="140" customWidth="1"/>
    <col min="15109" max="15109" width="23" style="140" customWidth="1"/>
    <col min="15110" max="15110" width="29.42578125" style="140" customWidth="1"/>
    <col min="15111" max="15111" width="43" style="140" customWidth="1"/>
    <col min="15112" max="15112" width="25.42578125" style="140" customWidth="1"/>
    <col min="15113" max="15113" width="37.140625" style="140" customWidth="1"/>
    <col min="15114" max="15114" width="27.42578125" style="140" customWidth="1"/>
    <col min="15115" max="15115" width="22.42578125" style="140" customWidth="1"/>
    <col min="15116" max="15116" width="23.42578125" style="140" customWidth="1"/>
    <col min="15117" max="15117" width="22" style="140" customWidth="1"/>
    <col min="15118" max="15118" width="17.7109375" style="140" customWidth="1"/>
    <col min="15119" max="15119" width="25.7109375" style="140" customWidth="1"/>
    <col min="15120" max="15120" width="17.7109375" style="140" customWidth="1"/>
    <col min="15121" max="15126" width="25.7109375" style="140" customWidth="1"/>
    <col min="15127" max="15127" width="26" style="140" customWidth="1"/>
    <col min="15128" max="15129" width="58.7109375" style="140" customWidth="1"/>
    <col min="15130" max="15130" width="30" style="140" customWidth="1"/>
    <col min="15131" max="15131" width="25.7109375" style="140" customWidth="1"/>
    <col min="15132" max="15132" width="60.140625" style="140" customWidth="1"/>
    <col min="15133" max="15133" width="18.140625" style="140" customWidth="1"/>
    <col min="15134" max="15134" width="20.42578125" style="140" customWidth="1"/>
    <col min="15135" max="15139" width="14.42578125" style="140"/>
    <col min="15140" max="15140" width="38.140625" style="140" customWidth="1"/>
    <col min="15141" max="15353" width="14.42578125" style="140"/>
    <col min="15354" max="15354" width="8.85546875" style="140" customWidth="1"/>
    <col min="15355" max="15355" width="12" style="140" customWidth="1"/>
    <col min="15356" max="15357" width="18.7109375" style="140" customWidth="1"/>
    <col min="15358" max="15358" width="18.140625" style="140" customWidth="1"/>
    <col min="15359" max="15359" width="28.42578125" style="140" customWidth="1"/>
    <col min="15360" max="15360" width="22.140625" style="140" customWidth="1"/>
    <col min="15361" max="15361" width="42.42578125" style="140" customWidth="1"/>
    <col min="15362" max="15362" width="28.42578125" style="140" customWidth="1"/>
    <col min="15363" max="15363" width="34.28515625" style="140" customWidth="1"/>
    <col min="15364" max="15364" width="41.7109375" style="140" customWidth="1"/>
    <col min="15365" max="15365" width="23" style="140" customWidth="1"/>
    <col min="15366" max="15366" width="29.42578125" style="140" customWidth="1"/>
    <col min="15367" max="15367" width="43" style="140" customWidth="1"/>
    <col min="15368" max="15368" width="25.42578125" style="140" customWidth="1"/>
    <col min="15369" max="15369" width="37.140625" style="140" customWidth="1"/>
    <col min="15370" max="15370" width="27.42578125" style="140" customWidth="1"/>
    <col min="15371" max="15371" width="22.42578125" style="140" customWidth="1"/>
    <col min="15372" max="15372" width="23.42578125" style="140" customWidth="1"/>
    <col min="15373" max="15373" width="22" style="140" customWidth="1"/>
    <col min="15374" max="15374" width="17.7109375" style="140" customWidth="1"/>
    <col min="15375" max="15375" width="25.7109375" style="140" customWidth="1"/>
    <col min="15376" max="15376" width="17.7109375" style="140" customWidth="1"/>
    <col min="15377" max="15382" width="25.7109375" style="140" customWidth="1"/>
    <col min="15383" max="15383" width="26" style="140" customWidth="1"/>
    <col min="15384" max="15385" width="58.7109375" style="140" customWidth="1"/>
    <col min="15386" max="15386" width="30" style="140" customWidth="1"/>
    <col min="15387" max="15387" width="25.7109375" style="140" customWidth="1"/>
    <col min="15388" max="15388" width="60.140625" style="140" customWidth="1"/>
    <col min="15389" max="15389" width="18.140625" style="140" customWidth="1"/>
    <col min="15390" max="15390" width="20.42578125" style="140" customWidth="1"/>
    <col min="15391" max="15395" width="14.42578125" style="140"/>
    <col min="15396" max="15396" width="38.140625" style="140" customWidth="1"/>
    <col min="15397" max="15609" width="14.42578125" style="140"/>
    <col min="15610" max="15610" width="8.85546875" style="140" customWidth="1"/>
    <col min="15611" max="15611" width="12" style="140" customWidth="1"/>
    <col min="15612" max="15613" width="18.7109375" style="140" customWidth="1"/>
    <col min="15614" max="15614" width="18.140625" style="140" customWidth="1"/>
    <col min="15615" max="15615" width="28.42578125" style="140" customWidth="1"/>
    <col min="15616" max="15616" width="22.140625" style="140" customWidth="1"/>
    <col min="15617" max="15617" width="42.42578125" style="140" customWidth="1"/>
    <col min="15618" max="15618" width="28.42578125" style="140" customWidth="1"/>
    <col min="15619" max="15619" width="34.28515625" style="140" customWidth="1"/>
    <col min="15620" max="15620" width="41.7109375" style="140" customWidth="1"/>
    <col min="15621" max="15621" width="23" style="140" customWidth="1"/>
    <col min="15622" max="15622" width="29.42578125" style="140" customWidth="1"/>
    <col min="15623" max="15623" width="43" style="140" customWidth="1"/>
    <col min="15624" max="15624" width="25.42578125" style="140" customWidth="1"/>
    <col min="15625" max="15625" width="37.140625" style="140" customWidth="1"/>
    <col min="15626" max="15626" width="27.42578125" style="140" customWidth="1"/>
    <col min="15627" max="15627" width="22.42578125" style="140" customWidth="1"/>
    <col min="15628" max="15628" width="23.42578125" style="140" customWidth="1"/>
    <col min="15629" max="15629" width="22" style="140" customWidth="1"/>
    <col min="15630" max="15630" width="17.7109375" style="140" customWidth="1"/>
    <col min="15631" max="15631" width="25.7109375" style="140" customWidth="1"/>
    <col min="15632" max="15632" width="17.7109375" style="140" customWidth="1"/>
    <col min="15633" max="15638" width="25.7109375" style="140" customWidth="1"/>
    <col min="15639" max="15639" width="26" style="140" customWidth="1"/>
    <col min="15640" max="15641" width="58.7109375" style="140" customWidth="1"/>
    <col min="15642" max="15642" width="30" style="140" customWidth="1"/>
    <col min="15643" max="15643" width="25.7109375" style="140" customWidth="1"/>
    <col min="15644" max="15644" width="60.140625" style="140" customWidth="1"/>
    <col min="15645" max="15645" width="18.140625" style="140" customWidth="1"/>
    <col min="15646" max="15646" width="20.42578125" style="140" customWidth="1"/>
    <col min="15647" max="15651" width="14.42578125" style="140"/>
    <col min="15652" max="15652" width="38.140625" style="140" customWidth="1"/>
    <col min="15653" max="15865" width="14.42578125" style="140"/>
    <col min="15866" max="15866" width="8.85546875" style="140" customWidth="1"/>
    <col min="15867" max="15867" width="12" style="140" customWidth="1"/>
    <col min="15868" max="15869" width="18.7109375" style="140" customWidth="1"/>
    <col min="15870" max="15870" width="18.140625" style="140" customWidth="1"/>
    <col min="15871" max="15871" width="28.42578125" style="140" customWidth="1"/>
    <col min="15872" max="15872" width="22.140625" style="140" customWidth="1"/>
    <col min="15873" max="15873" width="42.42578125" style="140" customWidth="1"/>
    <col min="15874" max="15874" width="28.42578125" style="140" customWidth="1"/>
    <col min="15875" max="15875" width="34.28515625" style="140" customWidth="1"/>
    <col min="15876" max="15876" width="41.7109375" style="140" customWidth="1"/>
    <col min="15877" max="15877" width="23" style="140" customWidth="1"/>
    <col min="15878" max="15878" width="29.42578125" style="140" customWidth="1"/>
    <col min="15879" max="15879" width="43" style="140" customWidth="1"/>
    <col min="15880" max="15880" width="25.42578125" style="140" customWidth="1"/>
    <col min="15881" max="15881" width="37.140625" style="140" customWidth="1"/>
    <col min="15882" max="15882" width="27.42578125" style="140" customWidth="1"/>
    <col min="15883" max="15883" width="22.42578125" style="140" customWidth="1"/>
    <col min="15884" max="15884" width="23.42578125" style="140" customWidth="1"/>
    <col min="15885" max="15885" width="22" style="140" customWidth="1"/>
    <col min="15886" max="15886" width="17.7109375" style="140" customWidth="1"/>
    <col min="15887" max="15887" width="25.7109375" style="140" customWidth="1"/>
    <col min="15888" max="15888" width="17.7109375" style="140" customWidth="1"/>
    <col min="15889" max="15894" width="25.7109375" style="140" customWidth="1"/>
    <col min="15895" max="15895" width="26" style="140" customWidth="1"/>
    <col min="15896" max="15897" width="58.7109375" style="140" customWidth="1"/>
    <col min="15898" max="15898" width="30" style="140" customWidth="1"/>
    <col min="15899" max="15899" width="25.7109375" style="140" customWidth="1"/>
    <col min="15900" max="15900" width="60.140625" style="140" customWidth="1"/>
    <col min="15901" max="15901" width="18.140625" style="140" customWidth="1"/>
    <col min="15902" max="15902" width="20.42578125" style="140" customWidth="1"/>
    <col min="15903" max="15907" width="14.42578125" style="140"/>
    <col min="15908" max="15908" width="38.140625" style="140" customWidth="1"/>
    <col min="15909" max="16121" width="14.42578125" style="140"/>
    <col min="16122" max="16122" width="8.85546875" style="140" customWidth="1"/>
    <col min="16123" max="16123" width="12" style="140" customWidth="1"/>
    <col min="16124" max="16125" width="18.7109375" style="140" customWidth="1"/>
    <col min="16126" max="16126" width="18.140625" style="140" customWidth="1"/>
    <col min="16127" max="16127" width="28.42578125" style="140" customWidth="1"/>
    <col min="16128" max="16128" width="22.140625" style="140" customWidth="1"/>
    <col min="16129" max="16129" width="42.42578125" style="140" customWidth="1"/>
    <col min="16130" max="16130" width="28.42578125" style="140" customWidth="1"/>
    <col min="16131" max="16131" width="34.28515625" style="140" customWidth="1"/>
    <col min="16132" max="16132" width="41.7109375" style="140" customWidth="1"/>
    <col min="16133" max="16133" width="23" style="140" customWidth="1"/>
    <col min="16134" max="16134" width="29.42578125" style="140" customWidth="1"/>
    <col min="16135" max="16135" width="43" style="140" customWidth="1"/>
    <col min="16136" max="16136" width="25.42578125" style="140" customWidth="1"/>
    <col min="16137" max="16137" width="37.140625" style="140" customWidth="1"/>
    <col min="16138" max="16138" width="27.42578125" style="140" customWidth="1"/>
    <col min="16139" max="16139" width="22.42578125" style="140" customWidth="1"/>
    <col min="16140" max="16140" width="23.42578125" style="140" customWidth="1"/>
    <col min="16141" max="16141" width="22" style="140" customWidth="1"/>
    <col min="16142" max="16142" width="17.7109375" style="140" customWidth="1"/>
    <col min="16143" max="16143" width="25.7109375" style="140" customWidth="1"/>
    <col min="16144" max="16144" width="17.7109375" style="140" customWidth="1"/>
    <col min="16145" max="16150" width="25.7109375" style="140" customWidth="1"/>
    <col min="16151" max="16151" width="26" style="140" customWidth="1"/>
    <col min="16152" max="16153" width="58.7109375" style="140" customWidth="1"/>
    <col min="16154" max="16154" width="30" style="140" customWidth="1"/>
    <col min="16155" max="16155" width="25.7109375" style="140" customWidth="1"/>
    <col min="16156" max="16156" width="60.140625" style="140" customWidth="1"/>
    <col min="16157" max="16157" width="18.140625" style="140" customWidth="1"/>
    <col min="16158" max="16158" width="20.42578125" style="140" customWidth="1"/>
    <col min="16159" max="16163" width="14.42578125" style="140"/>
    <col min="16164" max="16164" width="38.140625" style="140" customWidth="1"/>
    <col min="16165" max="16384" width="9.140625" style="140"/>
  </cols>
  <sheetData>
    <row r="1" spans="1:37" s="656" customFormat="1" ht="74.25" customHeight="1" x14ac:dyDescent="0.3">
      <c r="A1" s="644" t="s">
        <v>261</v>
      </c>
      <c r="B1" s="645" t="s">
        <v>262</v>
      </c>
      <c r="C1" s="644" t="s">
        <v>263</v>
      </c>
      <c r="D1" s="645" t="s">
        <v>264</v>
      </c>
      <c r="E1" s="645" t="s">
        <v>265</v>
      </c>
      <c r="F1" s="644" t="s">
        <v>266</v>
      </c>
      <c r="G1" s="645" t="s">
        <v>267</v>
      </c>
      <c r="H1" s="644" t="s">
        <v>268</v>
      </c>
      <c r="I1" s="644" t="s">
        <v>269</v>
      </c>
      <c r="J1" s="645" t="s">
        <v>270</v>
      </c>
      <c r="K1" s="645" t="s">
        <v>271</v>
      </c>
      <c r="L1" s="645" t="s">
        <v>272</v>
      </c>
      <c r="M1" s="657" t="s">
        <v>273</v>
      </c>
      <c r="N1" s="646" t="s">
        <v>274</v>
      </c>
      <c r="O1" s="644" t="s">
        <v>275</v>
      </c>
      <c r="P1" s="647" t="s">
        <v>276</v>
      </c>
      <c r="Q1" s="647" t="s">
        <v>277</v>
      </c>
      <c r="R1" s="649" t="s">
        <v>278</v>
      </c>
      <c r="S1" s="648" t="s">
        <v>279</v>
      </c>
      <c r="T1" s="649" t="s">
        <v>280</v>
      </c>
      <c r="U1" s="650" t="s">
        <v>281</v>
      </c>
      <c r="V1" s="647" t="s">
        <v>282</v>
      </c>
      <c r="W1" s="651" t="s">
        <v>283</v>
      </c>
      <c r="X1" s="652" t="s">
        <v>284</v>
      </c>
      <c r="Y1" s="647" t="s">
        <v>285</v>
      </c>
      <c r="Z1" s="653" t="s">
        <v>286</v>
      </c>
      <c r="AA1" s="653" t="s">
        <v>287</v>
      </c>
      <c r="AB1" s="647" t="s">
        <v>288</v>
      </c>
      <c r="AC1" s="647" t="s">
        <v>289</v>
      </c>
      <c r="AD1" s="649" t="s">
        <v>290</v>
      </c>
      <c r="AE1" s="647" t="s">
        <v>291</v>
      </c>
      <c r="AF1" s="644" t="s">
        <v>292</v>
      </c>
      <c r="AG1" s="654" t="s">
        <v>260</v>
      </c>
      <c r="AH1" s="654"/>
      <c r="AI1" s="654"/>
      <c r="AJ1" s="655" t="s">
        <v>293</v>
      </c>
      <c r="AK1" s="655"/>
    </row>
    <row r="2" spans="1:37" s="3" customFormat="1" ht="50.1" customHeight="1" x14ac:dyDescent="0.3">
      <c r="A2" s="6" t="s">
        <v>240</v>
      </c>
      <c r="B2" s="6" t="s">
        <v>137</v>
      </c>
      <c r="C2" s="6" t="s">
        <v>294</v>
      </c>
      <c r="D2" s="6" t="s">
        <v>139</v>
      </c>
      <c r="E2" s="230">
        <v>41598</v>
      </c>
      <c r="F2" s="6" t="s">
        <v>295</v>
      </c>
      <c r="G2" s="6" t="s">
        <v>29</v>
      </c>
      <c r="H2" s="6" t="s">
        <v>296</v>
      </c>
      <c r="I2" s="231" t="s">
        <v>297</v>
      </c>
      <c r="J2" s="6" t="s">
        <v>16</v>
      </c>
      <c r="K2" s="6" t="s">
        <v>298</v>
      </c>
      <c r="L2" s="6" t="s">
        <v>299</v>
      </c>
      <c r="M2" s="6" t="s">
        <v>23</v>
      </c>
      <c r="N2" s="25" t="s">
        <v>299</v>
      </c>
      <c r="O2" s="6" t="s">
        <v>300</v>
      </c>
      <c r="P2" s="6" t="s">
        <v>23</v>
      </c>
      <c r="Q2" s="6" t="s">
        <v>23</v>
      </c>
      <c r="R2" s="6" t="s">
        <v>96</v>
      </c>
      <c r="S2" s="15">
        <v>381</v>
      </c>
      <c r="T2" s="10" t="s">
        <v>21</v>
      </c>
      <c r="U2" s="12">
        <v>1850</v>
      </c>
      <c r="V2" s="6" t="s">
        <v>23</v>
      </c>
      <c r="W2" s="6" t="s">
        <v>23</v>
      </c>
      <c r="X2" s="12" t="s">
        <v>23</v>
      </c>
      <c r="Y2" s="10" t="s">
        <v>23</v>
      </c>
      <c r="Z2" s="13" t="s">
        <v>23</v>
      </c>
      <c r="AA2" s="10" t="s">
        <v>23</v>
      </c>
      <c r="AB2" s="10" t="s">
        <v>23</v>
      </c>
      <c r="AC2" s="10" t="s">
        <v>301</v>
      </c>
      <c r="AD2" s="10" t="s">
        <v>19</v>
      </c>
      <c r="AE2" s="10" t="s">
        <v>17</v>
      </c>
      <c r="AF2" s="6" t="s">
        <v>302</v>
      </c>
      <c r="AG2" s="14"/>
      <c r="AH2" s="14"/>
      <c r="AI2" s="14"/>
      <c r="AJ2" s="642" t="s">
        <v>303</v>
      </c>
      <c r="AK2" s="642">
        <f>(COUNTA($A:$A)+COUNTA('REPRESENTACIÓN JUDICIAL SJD'!$A:$A))-6</f>
        <v>551</v>
      </c>
    </row>
    <row r="3" spans="1:37" s="3" customFormat="1" ht="50.1" customHeight="1" x14ac:dyDescent="0.3">
      <c r="A3" s="6">
        <v>164816</v>
      </c>
      <c r="B3" s="6" t="s">
        <v>143</v>
      </c>
      <c r="C3" s="6" t="s">
        <v>304</v>
      </c>
      <c r="D3" s="6" t="s">
        <v>144</v>
      </c>
      <c r="E3" s="230">
        <v>38688</v>
      </c>
      <c r="F3" s="6" t="s">
        <v>305</v>
      </c>
      <c r="G3" s="7" t="s">
        <v>145</v>
      </c>
      <c r="H3" s="6" t="s">
        <v>296</v>
      </c>
      <c r="I3" s="6" t="s">
        <v>306</v>
      </c>
      <c r="J3" s="6" t="s">
        <v>16</v>
      </c>
      <c r="K3" s="6" t="s">
        <v>298</v>
      </c>
      <c r="L3" s="6" t="s">
        <v>307</v>
      </c>
      <c r="M3" s="6" t="s">
        <v>23</v>
      </c>
      <c r="N3" s="25" t="s">
        <v>307</v>
      </c>
      <c r="O3" s="6" t="s">
        <v>308</v>
      </c>
      <c r="P3" s="10" t="s">
        <v>23</v>
      </c>
      <c r="Q3" s="10" t="s">
        <v>23</v>
      </c>
      <c r="R3" s="6" t="s">
        <v>96</v>
      </c>
      <c r="S3" s="15">
        <v>615</v>
      </c>
      <c r="T3" s="10" t="s">
        <v>68</v>
      </c>
      <c r="U3" s="12">
        <v>60</v>
      </c>
      <c r="V3" s="10" t="s">
        <v>23</v>
      </c>
      <c r="W3" s="232" t="s">
        <v>23</v>
      </c>
      <c r="X3" s="10" t="s">
        <v>23</v>
      </c>
      <c r="Y3" s="10" t="s">
        <v>23</v>
      </c>
      <c r="Z3" s="13">
        <v>41304</v>
      </c>
      <c r="AA3" s="13" t="s">
        <v>23</v>
      </c>
      <c r="AB3" s="10" t="s">
        <v>309</v>
      </c>
      <c r="AC3" s="10" t="s">
        <v>310</v>
      </c>
      <c r="AD3" s="10" t="s">
        <v>19</v>
      </c>
      <c r="AE3" s="10" t="s">
        <v>17</v>
      </c>
      <c r="AF3" s="6" t="s">
        <v>311</v>
      </c>
      <c r="AG3" s="14"/>
      <c r="AH3" s="14"/>
      <c r="AI3" s="5"/>
      <c r="AJ3" s="642" t="s">
        <v>312</v>
      </c>
      <c r="AK3" s="642">
        <f>COUNTIF($D:$D,"ACCION POPULAR")+COUNTIF('REPRESENTACIÓN JUDICIAL SJD'!$A:$AF,"ACCION POPULAR")</f>
        <v>252</v>
      </c>
    </row>
    <row r="4" spans="1:37" s="3" customFormat="1" ht="50.1" customHeight="1" x14ac:dyDescent="0.3">
      <c r="A4" s="6">
        <v>715785</v>
      </c>
      <c r="B4" s="6" t="s">
        <v>227</v>
      </c>
      <c r="C4" s="6" t="s">
        <v>313</v>
      </c>
      <c r="D4" s="6" t="s">
        <v>228</v>
      </c>
      <c r="E4" s="230">
        <v>44568</v>
      </c>
      <c r="F4" s="6" t="s">
        <v>314</v>
      </c>
      <c r="G4" s="31" t="s">
        <v>229</v>
      </c>
      <c r="H4" s="6" t="s">
        <v>296</v>
      </c>
      <c r="I4" s="6" t="s">
        <v>315</v>
      </c>
      <c r="J4" s="6" t="s">
        <v>16</v>
      </c>
      <c r="K4" s="6" t="s">
        <v>316</v>
      </c>
      <c r="L4" s="6" t="s">
        <v>317</v>
      </c>
      <c r="M4" s="7" t="s">
        <v>318</v>
      </c>
      <c r="N4" s="25" t="s">
        <v>319</v>
      </c>
      <c r="O4" s="6" t="s">
        <v>320</v>
      </c>
      <c r="P4" s="6" t="s">
        <v>17</v>
      </c>
      <c r="Q4" s="6" t="s">
        <v>17</v>
      </c>
      <c r="R4" s="6" t="s">
        <v>96</v>
      </c>
      <c r="S4" s="6">
        <v>4028</v>
      </c>
      <c r="T4" s="6" t="s">
        <v>157</v>
      </c>
      <c r="U4" s="6" t="s">
        <v>17</v>
      </c>
      <c r="V4" s="6" t="s">
        <v>17</v>
      </c>
      <c r="W4" s="6" t="s">
        <v>17</v>
      </c>
      <c r="X4" s="6" t="s">
        <v>17</v>
      </c>
      <c r="Y4" s="6" t="s">
        <v>17</v>
      </c>
      <c r="Z4" s="6"/>
      <c r="AA4" s="6" t="s">
        <v>17</v>
      </c>
      <c r="AB4" s="6" t="s">
        <v>17</v>
      </c>
      <c r="AC4" s="6" t="s">
        <v>321</v>
      </c>
      <c r="AD4" s="6" t="s">
        <v>19</v>
      </c>
      <c r="AE4" s="10" t="s">
        <v>17</v>
      </c>
      <c r="AF4" s="6" t="s">
        <v>322</v>
      </c>
      <c r="AG4" s="140"/>
      <c r="AH4" s="140"/>
      <c r="AJ4" s="643"/>
      <c r="AK4" s="643"/>
    </row>
    <row r="5" spans="1:37" s="3" customFormat="1" ht="50.1" customHeight="1" x14ac:dyDescent="0.3">
      <c r="A5" s="6">
        <v>352796</v>
      </c>
      <c r="B5" s="6" t="s">
        <v>143</v>
      </c>
      <c r="C5" s="6" t="s">
        <v>323</v>
      </c>
      <c r="D5" s="6" t="s">
        <v>146</v>
      </c>
      <c r="E5" s="233">
        <v>33120</v>
      </c>
      <c r="F5" s="6" t="s">
        <v>324</v>
      </c>
      <c r="G5" s="31" t="s">
        <v>147</v>
      </c>
      <c r="H5" s="6" t="s">
        <v>325</v>
      </c>
      <c r="I5" s="6" t="s">
        <v>326</v>
      </c>
      <c r="J5" s="6" t="s">
        <v>16</v>
      </c>
      <c r="K5" s="6" t="s">
        <v>327</v>
      </c>
      <c r="L5" s="6" t="s">
        <v>328</v>
      </c>
      <c r="M5" s="6" t="s">
        <v>23</v>
      </c>
      <c r="N5" s="25" t="s">
        <v>328</v>
      </c>
      <c r="O5" s="6" t="s">
        <v>23</v>
      </c>
      <c r="P5" s="10" t="s">
        <v>23</v>
      </c>
      <c r="Q5" s="10" t="s">
        <v>23</v>
      </c>
      <c r="R5" s="10" t="s">
        <v>148</v>
      </c>
      <c r="S5" s="10" t="s">
        <v>329</v>
      </c>
      <c r="T5" s="10" t="s">
        <v>74</v>
      </c>
      <c r="U5" s="234">
        <v>555.5</v>
      </c>
      <c r="V5" s="10" t="s">
        <v>23</v>
      </c>
      <c r="W5" s="10" t="s">
        <v>23</v>
      </c>
      <c r="X5" s="12" t="s">
        <v>23</v>
      </c>
      <c r="Y5" s="10" t="s">
        <v>23</v>
      </c>
      <c r="Z5" s="10" t="s">
        <v>23</v>
      </c>
      <c r="AA5" s="10" t="s">
        <v>23</v>
      </c>
      <c r="AB5" s="10" t="s">
        <v>23</v>
      </c>
      <c r="AC5" s="11" t="s">
        <v>330</v>
      </c>
      <c r="AD5" s="6" t="s">
        <v>22</v>
      </c>
      <c r="AE5" s="10" t="s">
        <v>17</v>
      </c>
      <c r="AF5" s="10" t="s">
        <v>331</v>
      </c>
      <c r="AG5" s="5"/>
      <c r="AH5" s="5"/>
    </row>
    <row r="6" spans="1:37" s="3" customFormat="1" ht="50.1" customHeight="1" x14ac:dyDescent="0.3">
      <c r="A6" s="235">
        <v>543680</v>
      </c>
      <c r="B6" s="23" t="s">
        <v>31</v>
      </c>
      <c r="C6" s="23" t="s">
        <v>332</v>
      </c>
      <c r="D6" s="23" t="s">
        <v>36</v>
      </c>
      <c r="E6" s="236">
        <v>42751</v>
      </c>
      <c r="F6" s="235" t="s">
        <v>333</v>
      </c>
      <c r="G6" s="16" t="s">
        <v>39</v>
      </c>
      <c r="H6" s="23" t="s">
        <v>334</v>
      </c>
      <c r="I6" s="23" t="s">
        <v>335</v>
      </c>
      <c r="J6" s="6" t="s">
        <v>16</v>
      </c>
      <c r="K6" s="6" t="s">
        <v>298</v>
      </c>
      <c r="L6" s="214" t="s">
        <v>336</v>
      </c>
      <c r="M6" s="7" t="s">
        <v>17</v>
      </c>
      <c r="N6" s="237" t="s">
        <v>337</v>
      </c>
      <c r="O6" s="23" t="s">
        <v>17</v>
      </c>
      <c r="P6" s="6" t="s">
        <v>17</v>
      </c>
      <c r="Q6" s="6" t="s">
        <v>17</v>
      </c>
      <c r="R6" s="6" t="s">
        <v>338</v>
      </c>
      <c r="S6" s="35" t="s">
        <v>339</v>
      </c>
      <c r="T6" s="23" t="s">
        <v>57</v>
      </c>
      <c r="U6" s="23" t="s">
        <v>17</v>
      </c>
      <c r="V6" s="23" t="s">
        <v>17</v>
      </c>
      <c r="W6" s="23" t="s">
        <v>17</v>
      </c>
      <c r="X6" s="23" t="s">
        <v>17</v>
      </c>
      <c r="Y6" s="23" t="s">
        <v>17</v>
      </c>
      <c r="Z6" s="32" t="s">
        <v>17</v>
      </c>
      <c r="AA6" s="32" t="s">
        <v>17</v>
      </c>
      <c r="AB6" s="32" t="s">
        <v>17</v>
      </c>
      <c r="AC6" s="23" t="s">
        <v>340</v>
      </c>
      <c r="AD6" s="6" t="s">
        <v>22</v>
      </c>
      <c r="AE6" s="6" t="s">
        <v>341</v>
      </c>
      <c r="AF6" s="23" t="s">
        <v>342</v>
      </c>
      <c r="AG6" s="215"/>
      <c r="AH6" s="215"/>
      <c r="AI6" s="238"/>
      <c r="AJ6" s="238"/>
      <c r="AK6" s="238"/>
    </row>
    <row r="7" spans="1:37" s="3" customFormat="1" ht="50.1" customHeight="1" x14ac:dyDescent="0.3">
      <c r="A7" s="6">
        <v>432549</v>
      </c>
      <c r="B7" s="6" t="s">
        <v>228</v>
      </c>
      <c r="C7" s="6" t="s">
        <v>343</v>
      </c>
      <c r="D7" s="6" t="s">
        <v>228</v>
      </c>
      <c r="E7" s="230">
        <v>39708</v>
      </c>
      <c r="F7" s="6" t="s">
        <v>344</v>
      </c>
      <c r="G7" s="31" t="s">
        <v>229</v>
      </c>
      <c r="H7" s="6" t="s">
        <v>345</v>
      </c>
      <c r="I7" s="6" t="s">
        <v>346</v>
      </c>
      <c r="J7" s="6" t="s">
        <v>16</v>
      </c>
      <c r="K7" s="6" t="s">
        <v>316</v>
      </c>
      <c r="L7" s="6" t="s">
        <v>347</v>
      </c>
      <c r="M7" s="6" t="s">
        <v>348</v>
      </c>
      <c r="N7" s="25" t="s">
        <v>349</v>
      </c>
      <c r="O7" s="6" t="s">
        <v>350</v>
      </c>
      <c r="P7" s="10" t="s">
        <v>23</v>
      </c>
      <c r="Q7" s="10" t="s">
        <v>23</v>
      </c>
      <c r="R7" s="6" t="s">
        <v>96</v>
      </c>
      <c r="S7" s="15">
        <v>1355</v>
      </c>
      <c r="T7" s="10" t="s">
        <v>75</v>
      </c>
      <c r="U7" s="12" t="s">
        <v>23</v>
      </c>
      <c r="V7" s="10" t="s">
        <v>23</v>
      </c>
      <c r="W7" s="10" t="s">
        <v>23</v>
      </c>
      <c r="X7" s="10" t="s">
        <v>23</v>
      </c>
      <c r="Y7" s="10" t="s">
        <v>23</v>
      </c>
      <c r="Z7" s="13" t="s">
        <v>351</v>
      </c>
      <c r="AA7" s="13" t="s">
        <v>352</v>
      </c>
      <c r="AB7" s="13" t="s">
        <v>23</v>
      </c>
      <c r="AC7" s="10" t="s">
        <v>353</v>
      </c>
      <c r="AD7" s="10" t="s">
        <v>19</v>
      </c>
      <c r="AE7" s="10" t="s">
        <v>17</v>
      </c>
      <c r="AF7" s="6" t="s">
        <v>354</v>
      </c>
      <c r="AG7" s="5"/>
      <c r="AH7" s="5"/>
    </row>
    <row r="8" spans="1:37" s="3" customFormat="1" ht="50.1" customHeight="1" x14ac:dyDescent="0.3">
      <c r="A8" s="6">
        <v>416638</v>
      </c>
      <c r="B8" s="6" t="s">
        <v>137</v>
      </c>
      <c r="C8" s="6" t="s">
        <v>355</v>
      </c>
      <c r="D8" s="6" t="s">
        <v>139</v>
      </c>
      <c r="E8" s="230">
        <v>41438</v>
      </c>
      <c r="F8" s="6" t="s">
        <v>295</v>
      </c>
      <c r="G8" s="6" t="s">
        <v>29</v>
      </c>
      <c r="H8" s="6" t="s">
        <v>356</v>
      </c>
      <c r="I8" s="6" t="s">
        <v>357</v>
      </c>
      <c r="J8" s="6" t="s">
        <v>16</v>
      </c>
      <c r="K8" s="6" t="s">
        <v>298</v>
      </c>
      <c r="L8" s="6" t="s">
        <v>358</v>
      </c>
      <c r="M8" s="6" t="s">
        <v>23</v>
      </c>
      <c r="N8" s="25" t="s">
        <v>358</v>
      </c>
      <c r="O8" s="6" t="s">
        <v>359</v>
      </c>
      <c r="P8" s="10" t="s">
        <v>23</v>
      </c>
      <c r="Q8" s="10" t="s">
        <v>23</v>
      </c>
      <c r="R8" s="6" t="s">
        <v>96</v>
      </c>
      <c r="S8" s="15">
        <v>1481</v>
      </c>
      <c r="T8" s="10" t="s">
        <v>43</v>
      </c>
      <c r="U8" s="12" t="s">
        <v>23</v>
      </c>
      <c r="V8" s="10" t="s">
        <v>23</v>
      </c>
      <c r="W8" s="10" t="s">
        <v>23</v>
      </c>
      <c r="X8" s="12">
        <v>26985</v>
      </c>
      <c r="Y8" s="10" t="s">
        <v>23</v>
      </c>
      <c r="Z8" s="13">
        <v>42754</v>
      </c>
      <c r="AA8" s="13" t="s">
        <v>23</v>
      </c>
      <c r="AB8" s="10" t="s">
        <v>23</v>
      </c>
      <c r="AC8" s="10" t="s">
        <v>360</v>
      </c>
      <c r="AD8" s="10" t="s">
        <v>19</v>
      </c>
      <c r="AE8" s="10" t="s">
        <v>17</v>
      </c>
      <c r="AF8" s="10" t="s">
        <v>302</v>
      </c>
      <c r="AG8" s="14"/>
      <c r="AH8" s="14"/>
    </row>
    <row r="9" spans="1:37" s="3" customFormat="1" ht="50.1" customHeight="1" x14ac:dyDescent="0.3">
      <c r="A9" s="48">
        <v>632501</v>
      </c>
      <c r="B9" s="6" t="s">
        <v>143</v>
      </c>
      <c r="C9" s="239" t="s">
        <v>361</v>
      </c>
      <c r="D9" s="48" t="s">
        <v>149</v>
      </c>
      <c r="E9" s="240">
        <v>42331</v>
      </c>
      <c r="F9" s="23" t="s">
        <v>362</v>
      </c>
      <c r="G9" s="7" t="s">
        <v>145</v>
      </c>
      <c r="H9" s="23" t="s">
        <v>363</v>
      </c>
      <c r="I9" s="23" t="s">
        <v>364</v>
      </c>
      <c r="J9" s="6" t="s">
        <v>16</v>
      </c>
      <c r="K9" s="6" t="s">
        <v>327</v>
      </c>
      <c r="L9" s="23" t="s">
        <v>365</v>
      </c>
      <c r="M9" s="6" t="s">
        <v>17</v>
      </c>
      <c r="N9" s="25" t="s">
        <v>17</v>
      </c>
      <c r="O9" s="23" t="s">
        <v>366</v>
      </c>
      <c r="P9" s="48" t="s">
        <v>17</v>
      </c>
      <c r="Q9" s="6" t="s">
        <v>17</v>
      </c>
      <c r="R9" s="6" t="s">
        <v>96</v>
      </c>
      <c r="S9" s="239">
        <v>1533</v>
      </c>
      <c r="T9" s="23" t="s">
        <v>41</v>
      </c>
      <c r="U9" s="48" t="s">
        <v>150</v>
      </c>
      <c r="V9" s="48" t="s">
        <v>17</v>
      </c>
      <c r="W9" s="48" t="s">
        <v>17</v>
      </c>
      <c r="X9" s="23" t="s">
        <v>17</v>
      </c>
      <c r="Y9" s="23" t="s">
        <v>17</v>
      </c>
      <c r="Z9" s="48" t="s">
        <v>17</v>
      </c>
      <c r="AA9" s="23" t="s">
        <v>17</v>
      </c>
      <c r="AB9" s="23" t="s">
        <v>17</v>
      </c>
      <c r="AC9" s="23" t="s">
        <v>367</v>
      </c>
      <c r="AD9" s="23" t="s">
        <v>24</v>
      </c>
      <c r="AE9" s="10" t="s">
        <v>17</v>
      </c>
      <c r="AF9" s="23" t="s">
        <v>368</v>
      </c>
      <c r="AG9" s="5"/>
      <c r="AH9" s="5"/>
      <c r="AI9" s="238"/>
      <c r="AJ9" s="238"/>
      <c r="AK9" s="238"/>
    </row>
    <row r="10" spans="1:37" s="3" customFormat="1" ht="50.1" customHeight="1" x14ac:dyDescent="0.3">
      <c r="A10" s="7">
        <v>556925</v>
      </c>
      <c r="B10" s="7" t="s">
        <v>143</v>
      </c>
      <c r="C10" s="7" t="s">
        <v>369</v>
      </c>
      <c r="D10" s="7" t="s">
        <v>151</v>
      </c>
      <c r="E10" s="241">
        <v>35796</v>
      </c>
      <c r="F10" s="7" t="s">
        <v>370</v>
      </c>
      <c r="G10" s="6" t="s">
        <v>15</v>
      </c>
      <c r="H10" s="7" t="s">
        <v>371</v>
      </c>
      <c r="I10" s="7" t="s">
        <v>372</v>
      </c>
      <c r="J10" s="6" t="s">
        <v>16</v>
      </c>
      <c r="K10" s="6" t="s">
        <v>327</v>
      </c>
      <c r="L10" s="7" t="s">
        <v>373</v>
      </c>
      <c r="M10" s="7" t="s">
        <v>23</v>
      </c>
      <c r="N10" s="36" t="s">
        <v>373</v>
      </c>
      <c r="O10" s="7" t="s">
        <v>374</v>
      </c>
      <c r="P10" s="7" t="s">
        <v>23</v>
      </c>
      <c r="Q10" s="7" t="s">
        <v>23</v>
      </c>
      <c r="R10" s="6" t="s">
        <v>96</v>
      </c>
      <c r="S10" s="35" t="s">
        <v>375</v>
      </c>
      <c r="T10" s="32" t="s">
        <v>38</v>
      </c>
      <c r="U10" s="33">
        <v>2600</v>
      </c>
      <c r="V10" s="33" t="s">
        <v>23</v>
      </c>
      <c r="W10" s="33" t="s">
        <v>23</v>
      </c>
      <c r="X10" s="33" t="s">
        <v>23</v>
      </c>
      <c r="Y10" s="33" t="s">
        <v>23</v>
      </c>
      <c r="Z10" s="44">
        <v>32667</v>
      </c>
      <c r="AA10" s="33" t="s">
        <v>23</v>
      </c>
      <c r="AB10" s="33" t="s">
        <v>376</v>
      </c>
      <c r="AC10" s="32" t="s">
        <v>377</v>
      </c>
      <c r="AD10" s="6" t="s">
        <v>22</v>
      </c>
      <c r="AE10" s="10" t="s">
        <v>17</v>
      </c>
      <c r="AF10" s="7" t="s">
        <v>378</v>
      </c>
      <c r="AG10" s="14"/>
      <c r="AH10" s="14"/>
    </row>
    <row r="11" spans="1:37" s="3" customFormat="1" ht="50.1" customHeight="1" x14ac:dyDescent="0.3">
      <c r="A11" s="60">
        <v>709676</v>
      </c>
      <c r="B11" s="60" t="s">
        <v>143</v>
      </c>
      <c r="C11" s="60" t="s">
        <v>379</v>
      </c>
      <c r="D11" s="60" t="s">
        <v>149</v>
      </c>
      <c r="E11" s="233">
        <v>37231</v>
      </c>
      <c r="F11" s="60" t="s">
        <v>380</v>
      </c>
      <c r="G11" s="60" t="s">
        <v>147</v>
      </c>
      <c r="H11" s="60" t="s">
        <v>381</v>
      </c>
      <c r="I11" s="60" t="s">
        <v>382</v>
      </c>
      <c r="J11" s="6" t="s">
        <v>16</v>
      </c>
      <c r="K11" s="6" t="s">
        <v>327</v>
      </c>
      <c r="L11" s="60" t="s">
        <v>383</v>
      </c>
      <c r="M11" s="60" t="s">
        <v>23</v>
      </c>
      <c r="N11" s="60" t="s">
        <v>384</v>
      </c>
      <c r="O11" s="60" t="s">
        <v>23</v>
      </c>
      <c r="P11" s="60" t="s">
        <v>23</v>
      </c>
      <c r="Q11" s="60" t="s">
        <v>23</v>
      </c>
      <c r="R11" s="60" t="s">
        <v>148</v>
      </c>
      <c r="S11" s="60" t="s">
        <v>385</v>
      </c>
      <c r="T11" s="60" t="s">
        <v>252</v>
      </c>
      <c r="U11" s="60" t="s">
        <v>386</v>
      </c>
      <c r="V11" s="60" t="s">
        <v>23</v>
      </c>
      <c r="W11" s="60" t="s">
        <v>23</v>
      </c>
      <c r="X11" s="60" t="s">
        <v>23</v>
      </c>
      <c r="Y11" s="60" t="s">
        <v>23</v>
      </c>
      <c r="Z11" s="60" t="s">
        <v>387</v>
      </c>
      <c r="AA11" s="60" t="s">
        <v>23</v>
      </c>
      <c r="AB11" s="60" t="s">
        <v>23</v>
      </c>
      <c r="AC11" s="60" t="s">
        <v>388</v>
      </c>
      <c r="AD11" s="6" t="s">
        <v>22</v>
      </c>
      <c r="AE11" s="10" t="s">
        <v>389</v>
      </c>
      <c r="AF11" s="60" t="s">
        <v>390</v>
      </c>
      <c r="AG11" s="14"/>
      <c r="AH11" s="14"/>
    </row>
    <row r="12" spans="1:37" s="3" customFormat="1" ht="50.1" customHeight="1" x14ac:dyDescent="0.3">
      <c r="A12" s="7">
        <v>588924</v>
      </c>
      <c r="B12" s="7" t="s">
        <v>143</v>
      </c>
      <c r="C12" s="7" t="s">
        <v>391</v>
      </c>
      <c r="D12" s="7" t="s">
        <v>152</v>
      </c>
      <c r="E12" s="241">
        <v>36922</v>
      </c>
      <c r="F12" s="7" t="s">
        <v>392</v>
      </c>
      <c r="G12" s="7" t="s">
        <v>147</v>
      </c>
      <c r="H12" s="7" t="s">
        <v>393</v>
      </c>
      <c r="I12" s="7" t="s">
        <v>394</v>
      </c>
      <c r="J12" s="6" t="s">
        <v>16</v>
      </c>
      <c r="K12" s="6" t="s">
        <v>327</v>
      </c>
      <c r="L12" s="7" t="s">
        <v>395</v>
      </c>
      <c r="M12" s="7" t="s">
        <v>17</v>
      </c>
      <c r="N12" s="36" t="s">
        <v>396</v>
      </c>
      <c r="O12" s="7" t="s">
        <v>397</v>
      </c>
      <c r="P12" s="32" t="s">
        <v>17</v>
      </c>
      <c r="Q12" s="32" t="s">
        <v>17</v>
      </c>
      <c r="R12" s="6" t="s">
        <v>96</v>
      </c>
      <c r="S12" s="35" t="s">
        <v>398</v>
      </c>
      <c r="T12" s="32" t="s">
        <v>68</v>
      </c>
      <c r="U12" s="33" t="s">
        <v>153</v>
      </c>
      <c r="V12" s="32" t="s">
        <v>17</v>
      </c>
      <c r="W12" s="37" t="s">
        <v>17</v>
      </c>
      <c r="X12" s="33" t="s">
        <v>17</v>
      </c>
      <c r="Y12" s="32" t="s">
        <v>17</v>
      </c>
      <c r="Z12" s="44">
        <v>37369</v>
      </c>
      <c r="AA12" s="44">
        <v>37547</v>
      </c>
      <c r="AB12" s="32" t="s">
        <v>399</v>
      </c>
      <c r="AC12" s="32" t="s">
        <v>400</v>
      </c>
      <c r="AD12" s="6" t="s">
        <v>22</v>
      </c>
      <c r="AE12" s="10" t="s">
        <v>17</v>
      </c>
      <c r="AF12" s="7" t="s">
        <v>401</v>
      </c>
      <c r="AG12" s="5"/>
      <c r="AH12" s="5"/>
    </row>
    <row r="13" spans="1:37" s="3" customFormat="1" ht="50.1" customHeight="1" x14ac:dyDescent="0.3">
      <c r="A13" s="7">
        <v>597584</v>
      </c>
      <c r="B13" s="7" t="s">
        <v>143</v>
      </c>
      <c r="C13" s="7" t="s">
        <v>402</v>
      </c>
      <c r="D13" s="156" t="s">
        <v>144</v>
      </c>
      <c r="E13" s="242">
        <v>43452</v>
      </c>
      <c r="F13" s="156" t="s">
        <v>403</v>
      </c>
      <c r="G13" s="6" t="s">
        <v>15</v>
      </c>
      <c r="H13" s="7" t="s">
        <v>296</v>
      </c>
      <c r="I13" s="7" t="s">
        <v>404</v>
      </c>
      <c r="J13" s="6" t="s">
        <v>16</v>
      </c>
      <c r="K13" s="6" t="s">
        <v>298</v>
      </c>
      <c r="L13" s="7" t="s">
        <v>405</v>
      </c>
      <c r="M13" s="6" t="s">
        <v>17</v>
      </c>
      <c r="N13" s="36" t="s">
        <v>307</v>
      </c>
      <c r="O13" s="7" t="s">
        <v>406</v>
      </c>
      <c r="P13" s="32" t="s">
        <v>17</v>
      </c>
      <c r="Q13" s="32" t="s">
        <v>17</v>
      </c>
      <c r="R13" s="6" t="s">
        <v>96</v>
      </c>
      <c r="S13" s="70">
        <v>1878</v>
      </c>
      <c r="T13" s="32" t="s">
        <v>41</v>
      </c>
      <c r="U13" s="33">
        <v>19755</v>
      </c>
      <c r="V13" s="33" t="s">
        <v>17</v>
      </c>
      <c r="W13" s="33" t="s">
        <v>17</v>
      </c>
      <c r="X13" s="33" t="s">
        <v>17</v>
      </c>
      <c r="Y13" s="32" t="s">
        <v>17</v>
      </c>
      <c r="Z13" s="33" t="s">
        <v>17</v>
      </c>
      <c r="AA13" s="33" t="s">
        <v>17</v>
      </c>
      <c r="AB13" s="33" t="s">
        <v>17</v>
      </c>
      <c r="AC13" s="33" t="s">
        <v>407</v>
      </c>
      <c r="AD13" s="10" t="s">
        <v>19</v>
      </c>
      <c r="AE13" s="10" t="s">
        <v>17</v>
      </c>
      <c r="AF13" s="7" t="s">
        <v>408</v>
      </c>
      <c r="AG13" s="5"/>
      <c r="AH13" s="5"/>
    </row>
    <row r="14" spans="1:37" s="3" customFormat="1" ht="50.1" customHeight="1" x14ac:dyDescent="0.3">
      <c r="A14" s="6">
        <v>164016</v>
      </c>
      <c r="B14" s="6" t="s">
        <v>137</v>
      </c>
      <c r="C14" s="6" t="s">
        <v>409</v>
      </c>
      <c r="D14" s="6" t="s">
        <v>151</v>
      </c>
      <c r="E14" s="230">
        <v>38580</v>
      </c>
      <c r="F14" s="6" t="s">
        <v>410</v>
      </c>
      <c r="G14" s="7" t="s">
        <v>147</v>
      </c>
      <c r="H14" s="6" t="s">
        <v>296</v>
      </c>
      <c r="I14" s="6" t="s">
        <v>411</v>
      </c>
      <c r="J14" s="6" t="s">
        <v>16</v>
      </c>
      <c r="K14" s="6" t="s">
        <v>298</v>
      </c>
      <c r="L14" s="6" t="s">
        <v>412</v>
      </c>
      <c r="M14" s="6" t="s">
        <v>23</v>
      </c>
      <c r="N14" s="25" t="s">
        <v>412</v>
      </c>
      <c r="O14" s="6" t="s">
        <v>23</v>
      </c>
      <c r="P14" s="10">
        <v>24676716</v>
      </c>
      <c r="Q14" s="10" t="s">
        <v>23</v>
      </c>
      <c r="R14" s="10" t="s">
        <v>163</v>
      </c>
      <c r="S14" s="10" t="s">
        <v>23</v>
      </c>
      <c r="T14" s="10" t="s">
        <v>57</v>
      </c>
      <c r="U14" s="12" t="s">
        <v>23</v>
      </c>
      <c r="V14" s="10" t="s">
        <v>23</v>
      </c>
      <c r="W14" s="10" t="s">
        <v>23</v>
      </c>
      <c r="X14" s="10" t="s">
        <v>23</v>
      </c>
      <c r="Y14" s="10" t="s">
        <v>23</v>
      </c>
      <c r="Z14" s="13">
        <v>40855</v>
      </c>
      <c r="AA14" s="10" t="s">
        <v>23</v>
      </c>
      <c r="AB14" s="10" t="s">
        <v>23</v>
      </c>
      <c r="AC14" s="10" t="s">
        <v>413</v>
      </c>
      <c r="AD14" s="10" t="s">
        <v>19</v>
      </c>
      <c r="AE14" s="10" t="s">
        <v>17</v>
      </c>
      <c r="AF14" s="6" t="s">
        <v>414</v>
      </c>
    </row>
    <row r="15" spans="1:37" s="3" customFormat="1" ht="50.1" customHeight="1" x14ac:dyDescent="0.3">
      <c r="A15" s="6">
        <v>705577</v>
      </c>
      <c r="B15" s="6" t="s">
        <v>228</v>
      </c>
      <c r="C15" s="6" t="s">
        <v>415</v>
      </c>
      <c r="D15" s="6" t="s">
        <v>228</v>
      </c>
      <c r="E15" s="230">
        <v>44807</v>
      </c>
      <c r="F15" s="6" t="s">
        <v>416</v>
      </c>
      <c r="G15" s="31" t="s">
        <v>229</v>
      </c>
      <c r="H15" s="6" t="s">
        <v>296</v>
      </c>
      <c r="I15" s="6" t="s">
        <v>417</v>
      </c>
      <c r="J15" s="6" t="s">
        <v>16</v>
      </c>
      <c r="K15" s="6" t="s">
        <v>316</v>
      </c>
      <c r="L15" s="6" t="s">
        <v>418</v>
      </c>
      <c r="M15" s="7" t="s">
        <v>419</v>
      </c>
      <c r="N15" s="25" t="s">
        <v>420</v>
      </c>
      <c r="O15" s="6" t="s">
        <v>421</v>
      </c>
      <c r="P15" s="6" t="s">
        <v>17</v>
      </c>
      <c r="Q15" s="6" t="s">
        <v>17</v>
      </c>
      <c r="R15" s="6" t="s">
        <v>17</v>
      </c>
      <c r="S15" s="6">
        <v>2545</v>
      </c>
      <c r="T15" s="6" t="s">
        <v>157</v>
      </c>
      <c r="U15" s="6" t="s">
        <v>17</v>
      </c>
      <c r="V15" s="6" t="s">
        <v>17</v>
      </c>
      <c r="W15" s="6" t="s">
        <v>17</v>
      </c>
      <c r="X15" s="6" t="s">
        <v>17</v>
      </c>
      <c r="Y15" s="6" t="s">
        <v>17</v>
      </c>
      <c r="Z15" s="6" t="s">
        <v>17</v>
      </c>
      <c r="AA15" s="6" t="s">
        <v>17</v>
      </c>
      <c r="AB15" s="6" t="s">
        <v>17</v>
      </c>
      <c r="AC15" s="18" t="s">
        <v>422</v>
      </c>
      <c r="AD15" s="6" t="s">
        <v>19</v>
      </c>
      <c r="AE15" s="10" t="s">
        <v>17</v>
      </c>
      <c r="AF15" s="6" t="s">
        <v>423</v>
      </c>
      <c r="AG15" s="140"/>
      <c r="AH15" s="140"/>
    </row>
    <row r="16" spans="1:37" s="3" customFormat="1" ht="50.1" customHeight="1" x14ac:dyDescent="0.3">
      <c r="A16" s="6">
        <v>163864</v>
      </c>
      <c r="B16" s="6" t="s">
        <v>137</v>
      </c>
      <c r="C16" s="6" t="s">
        <v>424</v>
      </c>
      <c r="D16" s="6" t="s">
        <v>151</v>
      </c>
      <c r="E16" s="230">
        <v>38502</v>
      </c>
      <c r="F16" s="6" t="s">
        <v>425</v>
      </c>
      <c r="G16" s="7" t="s">
        <v>145</v>
      </c>
      <c r="H16" s="6" t="s">
        <v>296</v>
      </c>
      <c r="I16" s="6" t="s">
        <v>426</v>
      </c>
      <c r="J16" s="6" t="s">
        <v>16</v>
      </c>
      <c r="K16" s="6" t="s">
        <v>298</v>
      </c>
      <c r="L16" s="6" t="s">
        <v>427</v>
      </c>
      <c r="M16" s="6" t="s">
        <v>23</v>
      </c>
      <c r="N16" s="25" t="s">
        <v>427</v>
      </c>
      <c r="O16" s="6" t="s">
        <v>23</v>
      </c>
      <c r="P16" s="10">
        <v>26976535</v>
      </c>
      <c r="Q16" s="10" t="s">
        <v>23</v>
      </c>
      <c r="R16" s="60" t="s">
        <v>148</v>
      </c>
      <c r="S16" s="10" t="s">
        <v>428</v>
      </c>
      <c r="T16" s="10" t="s">
        <v>46</v>
      </c>
      <c r="U16" s="12" t="s">
        <v>23</v>
      </c>
      <c r="V16" s="10" t="s">
        <v>23</v>
      </c>
      <c r="W16" s="10" t="s">
        <v>23</v>
      </c>
      <c r="X16" s="10" t="s">
        <v>23</v>
      </c>
      <c r="Y16" s="10" t="s">
        <v>23</v>
      </c>
      <c r="Z16" s="13">
        <v>38827</v>
      </c>
      <c r="AA16" s="10" t="s">
        <v>23</v>
      </c>
      <c r="AB16" s="10" t="s">
        <v>23</v>
      </c>
      <c r="AC16" s="6" t="s">
        <v>429</v>
      </c>
      <c r="AD16" s="6" t="s">
        <v>22</v>
      </c>
      <c r="AE16" s="10" t="s">
        <v>17</v>
      </c>
      <c r="AF16" s="6" t="s">
        <v>430</v>
      </c>
      <c r="AG16" s="5"/>
      <c r="AH16" s="5"/>
    </row>
    <row r="17" spans="1:37" s="3" customFormat="1" ht="50.1" customHeight="1" x14ac:dyDescent="0.3">
      <c r="A17" s="7">
        <v>563426</v>
      </c>
      <c r="B17" s="7" t="s">
        <v>31</v>
      </c>
      <c r="C17" s="7" t="s">
        <v>431</v>
      </c>
      <c r="D17" s="7" t="s">
        <v>36</v>
      </c>
      <c r="E17" s="241">
        <v>43039</v>
      </c>
      <c r="F17" s="156" t="s">
        <v>432</v>
      </c>
      <c r="G17" s="16" t="s">
        <v>52</v>
      </c>
      <c r="H17" s="7" t="s">
        <v>296</v>
      </c>
      <c r="I17" s="6" t="s">
        <v>433</v>
      </c>
      <c r="J17" s="6" t="s">
        <v>16</v>
      </c>
      <c r="K17" s="6" t="s">
        <v>298</v>
      </c>
      <c r="L17" s="7" t="s">
        <v>434</v>
      </c>
      <c r="M17" s="6" t="s">
        <v>23</v>
      </c>
      <c r="N17" s="243" t="s">
        <v>435</v>
      </c>
      <c r="O17" s="6" t="s">
        <v>436</v>
      </c>
      <c r="P17" s="6" t="s">
        <v>17</v>
      </c>
      <c r="Q17" s="6" t="s">
        <v>17</v>
      </c>
      <c r="R17" s="6" t="s">
        <v>96</v>
      </c>
      <c r="S17" s="244" t="s">
        <v>437</v>
      </c>
      <c r="T17" s="6" t="s">
        <v>41</v>
      </c>
      <c r="U17" s="6"/>
      <c r="V17" s="6" t="s">
        <v>17</v>
      </c>
      <c r="W17" s="6" t="s">
        <v>17</v>
      </c>
      <c r="X17" s="6" t="s">
        <v>17</v>
      </c>
      <c r="Y17" s="6" t="s">
        <v>17</v>
      </c>
      <c r="Z17" s="6" t="s">
        <v>17</v>
      </c>
      <c r="AA17" s="6" t="s">
        <v>17</v>
      </c>
      <c r="AB17" s="6" t="s">
        <v>17</v>
      </c>
      <c r="AC17" s="7" t="s">
        <v>438</v>
      </c>
      <c r="AD17" s="10" t="s">
        <v>19</v>
      </c>
      <c r="AE17" s="10" t="s">
        <v>439</v>
      </c>
      <c r="AF17" s="7" t="s">
        <v>440</v>
      </c>
      <c r="AG17" s="245"/>
      <c r="AH17" s="245"/>
      <c r="AI17" s="231"/>
      <c r="AJ17" s="246"/>
      <c r="AK17" s="231"/>
    </row>
    <row r="18" spans="1:37" s="3" customFormat="1" ht="50.1" customHeight="1" x14ac:dyDescent="0.3">
      <c r="A18" s="6">
        <v>526574</v>
      </c>
      <c r="B18" s="6" t="s">
        <v>31</v>
      </c>
      <c r="C18" s="6" t="s">
        <v>441</v>
      </c>
      <c r="D18" s="7" t="s">
        <v>36</v>
      </c>
      <c r="E18" s="230">
        <v>42262</v>
      </c>
      <c r="F18" s="6" t="s">
        <v>442</v>
      </c>
      <c r="G18" s="9" t="s">
        <v>33</v>
      </c>
      <c r="H18" s="6" t="s">
        <v>296</v>
      </c>
      <c r="I18" s="6" t="s">
        <v>443</v>
      </c>
      <c r="J18" s="6" t="s">
        <v>16</v>
      </c>
      <c r="K18" s="6" t="s">
        <v>298</v>
      </c>
      <c r="L18" s="6" t="s">
        <v>444</v>
      </c>
      <c r="M18" s="6" t="s">
        <v>23</v>
      </c>
      <c r="N18" s="25" t="s">
        <v>445</v>
      </c>
      <c r="O18" s="6" t="s">
        <v>446</v>
      </c>
      <c r="P18" s="10" t="s">
        <v>23</v>
      </c>
      <c r="Q18" s="10" t="s">
        <v>23</v>
      </c>
      <c r="R18" s="6" t="s">
        <v>96</v>
      </c>
      <c r="S18" s="15">
        <v>3205</v>
      </c>
      <c r="T18" s="32" t="s">
        <v>38</v>
      </c>
      <c r="U18" s="12">
        <v>145038.70000000001</v>
      </c>
      <c r="V18" s="10" t="s">
        <v>23</v>
      </c>
      <c r="W18" s="10" t="s">
        <v>23</v>
      </c>
      <c r="X18" s="10" t="s">
        <v>23</v>
      </c>
      <c r="Y18" s="10" t="s">
        <v>23</v>
      </c>
      <c r="Z18" s="10" t="s">
        <v>23</v>
      </c>
      <c r="AA18" s="10" t="s">
        <v>23</v>
      </c>
      <c r="AB18" s="10" t="s">
        <v>23</v>
      </c>
      <c r="AC18" s="15" t="s">
        <v>447</v>
      </c>
      <c r="AD18" s="10" t="s">
        <v>82</v>
      </c>
      <c r="AE18" s="10" t="s">
        <v>439</v>
      </c>
      <c r="AF18" s="10" t="s">
        <v>448</v>
      </c>
      <c r="AG18" s="14"/>
      <c r="AH18" s="14"/>
    </row>
    <row r="19" spans="1:37" s="3" customFormat="1" ht="50.1" customHeight="1" x14ac:dyDescent="0.3">
      <c r="A19" s="6">
        <v>255193</v>
      </c>
      <c r="B19" s="6" t="s">
        <v>137</v>
      </c>
      <c r="C19" s="6" t="s">
        <v>449</v>
      </c>
      <c r="D19" s="6" t="s">
        <v>151</v>
      </c>
      <c r="E19" s="230">
        <v>38985</v>
      </c>
      <c r="F19" s="6" t="s">
        <v>450</v>
      </c>
      <c r="G19" s="6" t="s">
        <v>15</v>
      </c>
      <c r="H19" s="6" t="s">
        <v>296</v>
      </c>
      <c r="I19" s="218" t="s">
        <v>451</v>
      </c>
      <c r="J19" s="6" t="s">
        <v>16</v>
      </c>
      <c r="K19" s="6" t="s">
        <v>298</v>
      </c>
      <c r="L19" s="6" t="s">
        <v>452</v>
      </c>
      <c r="M19" s="6" t="s">
        <v>23</v>
      </c>
      <c r="N19" s="25" t="s">
        <v>452</v>
      </c>
      <c r="O19" s="6" t="s">
        <v>23</v>
      </c>
      <c r="P19" s="10">
        <v>75357472</v>
      </c>
      <c r="Q19" s="10" t="s">
        <v>23</v>
      </c>
      <c r="R19" s="60" t="s">
        <v>148</v>
      </c>
      <c r="S19" s="10" t="s">
        <v>428</v>
      </c>
      <c r="T19" s="10" t="s">
        <v>46</v>
      </c>
      <c r="U19" s="12" t="s">
        <v>23</v>
      </c>
      <c r="V19" s="10" t="s">
        <v>23</v>
      </c>
      <c r="W19" s="10" t="s">
        <v>23</v>
      </c>
      <c r="X19" s="10" t="s">
        <v>23</v>
      </c>
      <c r="Y19" s="10" t="s">
        <v>23</v>
      </c>
      <c r="Z19" s="13">
        <v>40305</v>
      </c>
      <c r="AA19" s="10" t="s">
        <v>23</v>
      </c>
      <c r="AB19" s="10" t="s">
        <v>23</v>
      </c>
      <c r="AC19" s="11" t="s">
        <v>453</v>
      </c>
      <c r="AD19" s="6" t="s">
        <v>22</v>
      </c>
      <c r="AE19" s="10" t="s">
        <v>17</v>
      </c>
      <c r="AF19" s="6" t="s">
        <v>454</v>
      </c>
      <c r="AG19" s="14"/>
      <c r="AH19" s="14"/>
      <c r="AI19" s="5"/>
      <c r="AJ19" s="5"/>
      <c r="AK19" s="5"/>
    </row>
    <row r="20" spans="1:37" s="3" customFormat="1" ht="50.1" customHeight="1" x14ac:dyDescent="0.3">
      <c r="A20" s="47">
        <v>617610</v>
      </c>
      <c r="B20" s="7" t="s">
        <v>31</v>
      </c>
      <c r="C20" s="22" t="s">
        <v>455</v>
      </c>
      <c r="D20" s="7" t="s">
        <v>78</v>
      </c>
      <c r="E20" s="247">
        <v>43776</v>
      </c>
      <c r="F20" s="22" t="s">
        <v>456</v>
      </c>
      <c r="G20" s="16" t="s">
        <v>52</v>
      </c>
      <c r="H20" s="7" t="s">
        <v>296</v>
      </c>
      <c r="I20" s="22" t="s">
        <v>457</v>
      </c>
      <c r="J20" s="6" t="s">
        <v>16</v>
      </c>
      <c r="K20" s="6" t="s">
        <v>298</v>
      </c>
      <c r="L20" s="7" t="s">
        <v>434</v>
      </c>
      <c r="M20" s="7" t="s">
        <v>17</v>
      </c>
      <c r="N20" s="248" t="s">
        <v>458</v>
      </c>
      <c r="O20" s="47" t="s">
        <v>459</v>
      </c>
      <c r="P20" s="32" t="s">
        <v>17</v>
      </c>
      <c r="Q20" s="32" t="s">
        <v>17</v>
      </c>
      <c r="R20" s="6" t="s">
        <v>96</v>
      </c>
      <c r="S20" s="47">
        <v>3616</v>
      </c>
      <c r="T20" s="32" t="s">
        <v>38</v>
      </c>
      <c r="U20" s="249">
        <v>8305</v>
      </c>
      <c r="V20" s="47" t="s">
        <v>460</v>
      </c>
      <c r="W20" s="37" t="s">
        <v>17</v>
      </c>
      <c r="X20" s="37" t="s">
        <v>17</v>
      </c>
      <c r="Y20" s="37" t="s">
        <v>17</v>
      </c>
      <c r="Z20" s="37" t="s">
        <v>17</v>
      </c>
      <c r="AA20" s="37" t="s">
        <v>17</v>
      </c>
      <c r="AB20" s="37" t="s">
        <v>17</v>
      </c>
      <c r="AC20" s="22" t="s">
        <v>461</v>
      </c>
      <c r="AD20" s="10" t="s">
        <v>82</v>
      </c>
      <c r="AE20" s="10" t="s">
        <v>17</v>
      </c>
      <c r="AF20" s="7" t="s">
        <v>462</v>
      </c>
      <c r="AG20" s="245"/>
      <c r="AH20" s="245"/>
      <c r="AI20" s="14"/>
      <c r="AJ20" s="14"/>
      <c r="AK20" s="14"/>
    </row>
    <row r="21" spans="1:37" s="3" customFormat="1" ht="50.1" customHeight="1" x14ac:dyDescent="0.3">
      <c r="A21" s="7">
        <v>574069</v>
      </c>
      <c r="B21" s="7" t="s">
        <v>31</v>
      </c>
      <c r="C21" s="7" t="s">
        <v>463</v>
      </c>
      <c r="D21" s="156" t="s">
        <v>36</v>
      </c>
      <c r="E21" s="242">
        <v>43083</v>
      </c>
      <c r="F21" s="156" t="s">
        <v>464</v>
      </c>
      <c r="G21" s="16" t="s">
        <v>39</v>
      </c>
      <c r="H21" s="7" t="s">
        <v>296</v>
      </c>
      <c r="I21" s="6" t="s">
        <v>465</v>
      </c>
      <c r="J21" s="6" t="s">
        <v>16</v>
      </c>
      <c r="K21" s="6" t="s">
        <v>298</v>
      </c>
      <c r="L21" s="7" t="s">
        <v>466</v>
      </c>
      <c r="M21" s="6" t="s">
        <v>17</v>
      </c>
      <c r="N21" s="36" t="s">
        <v>467</v>
      </c>
      <c r="O21" s="6" t="s">
        <v>468</v>
      </c>
      <c r="P21" s="6" t="s">
        <v>17</v>
      </c>
      <c r="Q21" s="6" t="s">
        <v>17</v>
      </c>
      <c r="R21" s="6" t="s">
        <v>96</v>
      </c>
      <c r="S21" s="6">
        <v>3626</v>
      </c>
      <c r="T21" s="6" t="s">
        <v>157</v>
      </c>
      <c r="U21" s="6">
        <v>33938.199999999997</v>
      </c>
      <c r="V21" s="6" t="s">
        <v>17</v>
      </c>
      <c r="W21" s="6" t="s">
        <v>17</v>
      </c>
      <c r="X21" s="6" t="s">
        <v>17</v>
      </c>
      <c r="Y21" s="6" t="s">
        <v>17</v>
      </c>
      <c r="Z21" s="6" t="s">
        <v>17</v>
      </c>
      <c r="AA21" s="6" t="s">
        <v>17</v>
      </c>
      <c r="AB21" s="6" t="s">
        <v>17</v>
      </c>
      <c r="AC21" s="7" t="s">
        <v>469</v>
      </c>
      <c r="AD21" s="10" t="s">
        <v>82</v>
      </c>
      <c r="AE21" s="10" t="s">
        <v>439</v>
      </c>
      <c r="AF21" s="7" t="s">
        <v>470</v>
      </c>
      <c r="AG21" s="140"/>
      <c r="AH21" s="140"/>
      <c r="AI21" s="250"/>
      <c r="AJ21" s="250"/>
      <c r="AK21" s="250"/>
    </row>
    <row r="22" spans="1:37" s="3" customFormat="1" ht="50.1" customHeight="1" x14ac:dyDescent="0.3">
      <c r="A22" s="6">
        <v>255007</v>
      </c>
      <c r="B22" s="6" t="s">
        <v>137</v>
      </c>
      <c r="C22" s="6" t="s">
        <v>471</v>
      </c>
      <c r="D22" s="6" t="s">
        <v>151</v>
      </c>
      <c r="E22" s="230">
        <v>39028</v>
      </c>
      <c r="F22" s="6" t="s">
        <v>472</v>
      </c>
      <c r="G22" s="6" t="s">
        <v>15</v>
      </c>
      <c r="H22" s="6" t="s">
        <v>296</v>
      </c>
      <c r="I22" s="6" t="s">
        <v>473</v>
      </c>
      <c r="J22" s="6" t="s">
        <v>16</v>
      </c>
      <c r="K22" s="6" t="s">
        <v>298</v>
      </c>
      <c r="L22" s="6" t="s">
        <v>474</v>
      </c>
      <c r="M22" s="6" t="s">
        <v>23</v>
      </c>
      <c r="N22" s="25" t="s">
        <v>474</v>
      </c>
      <c r="O22" s="6" t="s">
        <v>23</v>
      </c>
      <c r="P22" s="10">
        <v>26979466</v>
      </c>
      <c r="Q22" s="10" t="s">
        <v>23</v>
      </c>
      <c r="R22" s="60" t="s">
        <v>148</v>
      </c>
      <c r="S22" s="10" t="s">
        <v>428</v>
      </c>
      <c r="T22" s="10" t="s">
        <v>46</v>
      </c>
      <c r="U22" s="12" t="s">
        <v>23</v>
      </c>
      <c r="V22" s="10" t="s">
        <v>23</v>
      </c>
      <c r="W22" s="10" t="s">
        <v>23</v>
      </c>
      <c r="X22" s="10" t="s">
        <v>23</v>
      </c>
      <c r="Y22" s="10" t="s">
        <v>23</v>
      </c>
      <c r="Z22" s="13">
        <v>40622</v>
      </c>
      <c r="AA22" s="10" t="s">
        <v>23</v>
      </c>
      <c r="AB22" s="10" t="s">
        <v>23</v>
      </c>
      <c r="AC22" s="11" t="s">
        <v>475</v>
      </c>
      <c r="AD22" s="6" t="s">
        <v>22</v>
      </c>
      <c r="AE22" s="10" t="s">
        <v>17</v>
      </c>
      <c r="AF22" s="6" t="s">
        <v>476</v>
      </c>
      <c r="AG22" s="5"/>
      <c r="AH22" s="5"/>
      <c r="AI22" s="5"/>
      <c r="AJ22" s="5"/>
      <c r="AK22" s="5"/>
    </row>
    <row r="23" spans="1:37" s="3" customFormat="1" ht="50.1" customHeight="1" x14ac:dyDescent="0.3">
      <c r="A23" s="6">
        <v>681651</v>
      </c>
      <c r="B23" s="6" t="s">
        <v>143</v>
      </c>
      <c r="C23" s="6" t="s">
        <v>477</v>
      </c>
      <c r="D23" s="6" t="s">
        <v>149</v>
      </c>
      <c r="E23" s="230">
        <v>39135</v>
      </c>
      <c r="F23" s="251" t="s">
        <v>478</v>
      </c>
      <c r="G23" s="6" t="s">
        <v>15</v>
      </c>
      <c r="H23" s="6" t="s">
        <v>479</v>
      </c>
      <c r="I23" s="6" t="s">
        <v>480</v>
      </c>
      <c r="J23" s="6" t="s">
        <v>16</v>
      </c>
      <c r="K23" s="6" t="s">
        <v>327</v>
      </c>
      <c r="L23" s="6" t="s">
        <v>149</v>
      </c>
      <c r="M23" s="6" t="s">
        <v>460</v>
      </c>
      <c r="N23" s="25" t="s">
        <v>481</v>
      </c>
      <c r="O23" s="6" t="s">
        <v>482</v>
      </c>
      <c r="P23" s="32" t="s">
        <v>17</v>
      </c>
      <c r="Q23" s="32" t="s">
        <v>17</v>
      </c>
      <c r="R23" s="6" t="s">
        <v>96</v>
      </c>
      <c r="S23" s="253" t="s">
        <v>483</v>
      </c>
      <c r="T23" s="252" t="s">
        <v>68</v>
      </c>
      <c r="U23" s="12" t="s">
        <v>154</v>
      </c>
      <c r="V23" s="32" t="s">
        <v>17</v>
      </c>
      <c r="W23" s="32" t="s">
        <v>17</v>
      </c>
      <c r="X23" s="32" t="s">
        <v>17</v>
      </c>
      <c r="Y23" s="32" t="s">
        <v>17</v>
      </c>
      <c r="Z23" s="254">
        <v>40158</v>
      </c>
      <c r="AA23" s="254" t="s">
        <v>17</v>
      </c>
      <c r="AB23" s="252" t="s">
        <v>17</v>
      </c>
      <c r="AC23" s="252" t="s">
        <v>484</v>
      </c>
      <c r="AD23" s="6" t="s">
        <v>22</v>
      </c>
      <c r="AE23" s="10" t="s">
        <v>17</v>
      </c>
      <c r="AF23" s="6" t="s">
        <v>485</v>
      </c>
      <c r="AI23" s="14"/>
      <c r="AJ23" s="14"/>
      <c r="AK23" s="14"/>
    </row>
    <row r="24" spans="1:37" s="3" customFormat="1" ht="50.1" customHeight="1" x14ac:dyDescent="0.3">
      <c r="A24" s="7">
        <v>606071</v>
      </c>
      <c r="B24" s="7" t="s">
        <v>31</v>
      </c>
      <c r="C24" s="7" t="s">
        <v>486</v>
      </c>
      <c r="D24" s="7" t="s">
        <v>36</v>
      </c>
      <c r="E24" s="241">
        <v>43664</v>
      </c>
      <c r="F24" s="7" t="s">
        <v>487</v>
      </c>
      <c r="G24" s="9" t="s">
        <v>33</v>
      </c>
      <c r="H24" s="7" t="s">
        <v>296</v>
      </c>
      <c r="I24" s="7" t="s">
        <v>488</v>
      </c>
      <c r="J24" s="6" t="s">
        <v>16</v>
      </c>
      <c r="K24" s="6" t="s">
        <v>298</v>
      </c>
      <c r="L24" s="6" t="s">
        <v>444</v>
      </c>
      <c r="M24" s="7" t="s">
        <v>17</v>
      </c>
      <c r="N24" s="36" t="s">
        <v>489</v>
      </c>
      <c r="O24" s="7" t="s">
        <v>490</v>
      </c>
      <c r="P24" s="32" t="s">
        <v>17</v>
      </c>
      <c r="Q24" s="32" t="s">
        <v>17</v>
      </c>
      <c r="R24" s="6" t="s">
        <v>96</v>
      </c>
      <c r="S24" s="35" t="s">
        <v>491</v>
      </c>
      <c r="T24" s="32" t="s">
        <v>38</v>
      </c>
      <c r="U24" s="33" t="s">
        <v>118</v>
      </c>
      <c r="V24" s="32" t="s">
        <v>17</v>
      </c>
      <c r="W24" s="37" t="s">
        <v>17</v>
      </c>
      <c r="X24" s="33" t="s">
        <v>17</v>
      </c>
      <c r="Y24" s="32" t="s">
        <v>17</v>
      </c>
      <c r="Z24" s="44" t="s">
        <v>17</v>
      </c>
      <c r="AA24" s="44" t="s">
        <v>17</v>
      </c>
      <c r="AB24" s="32" t="s">
        <v>17</v>
      </c>
      <c r="AC24" s="255" t="s">
        <v>492</v>
      </c>
      <c r="AD24" s="6" t="s">
        <v>22</v>
      </c>
      <c r="AE24" s="32" t="s">
        <v>439</v>
      </c>
      <c r="AF24" s="46" t="s">
        <v>493</v>
      </c>
      <c r="AG24" s="5"/>
      <c r="AH24" s="5"/>
      <c r="AI24" s="5"/>
      <c r="AJ24" s="5"/>
      <c r="AK24" s="5"/>
    </row>
    <row r="25" spans="1:37" s="3" customFormat="1" ht="50.1" customHeight="1" x14ac:dyDescent="0.3">
      <c r="A25" s="6" t="s">
        <v>241</v>
      </c>
      <c r="B25" s="6" t="s">
        <v>137</v>
      </c>
      <c r="C25" s="6" t="s">
        <v>494</v>
      </c>
      <c r="D25" s="6" t="s">
        <v>151</v>
      </c>
      <c r="E25" s="230">
        <v>38580</v>
      </c>
      <c r="F25" s="6" t="s">
        <v>495</v>
      </c>
      <c r="G25" s="7" t="s">
        <v>147</v>
      </c>
      <c r="H25" s="6" t="s">
        <v>296</v>
      </c>
      <c r="I25" s="6" t="s">
        <v>496</v>
      </c>
      <c r="J25" s="6" t="s">
        <v>16</v>
      </c>
      <c r="K25" s="6" t="s">
        <v>298</v>
      </c>
      <c r="L25" s="6" t="s">
        <v>497</v>
      </c>
      <c r="M25" s="6" t="s">
        <v>23</v>
      </c>
      <c r="N25" s="25" t="s">
        <v>497</v>
      </c>
      <c r="O25" s="6" t="s">
        <v>23</v>
      </c>
      <c r="P25" s="10">
        <v>51941169</v>
      </c>
      <c r="Q25" s="10" t="s">
        <v>23</v>
      </c>
      <c r="R25" s="60" t="s">
        <v>148</v>
      </c>
      <c r="S25" s="10" t="s">
        <v>428</v>
      </c>
      <c r="T25" s="10" t="s">
        <v>46</v>
      </c>
      <c r="U25" s="12" t="s">
        <v>23</v>
      </c>
      <c r="V25" s="10" t="s">
        <v>23</v>
      </c>
      <c r="W25" s="10" t="s">
        <v>23</v>
      </c>
      <c r="X25" s="10" t="s">
        <v>23</v>
      </c>
      <c r="Y25" s="10" t="s">
        <v>23</v>
      </c>
      <c r="Z25" s="13">
        <v>40415</v>
      </c>
      <c r="AA25" s="10" t="s">
        <v>23</v>
      </c>
      <c r="AB25" s="10" t="s">
        <v>23</v>
      </c>
      <c r="AC25" s="10" t="s">
        <v>413</v>
      </c>
      <c r="AD25" s="10" t="s">
        <v>19</v>
      </c>
      <c r="AE25" s="10" t="s">
        <v>17</v>
      </c>
      <c r="AF25" s="6" t="s">
        <v>498</v>
      </c>
      <c r="AG25" s="14"/>
      <c r="AH25" s="14"/>
      <c r="AI25" s="5"/>
      <c r="AJ25" s="5"/>
      <c r="AK25" s="5"/>
    </row>
    <row r="26" spans="1:37" s="3" customFormat="1" ht="50.1" customHeight="1" x14ac:dyDescent="0.3">
      <c r="A26" s="47">
        <v>617584</v>
      </c>
      <c r="B26" s="7" t="s">
        <v>31</v>
      </c>
      <c r="C26" s="7" t="s">
        <v>499</v>
      </c>
      <c r="D26" s="7" t="s">
        <v>78</v>
      </c>
      <c r="E26" s="247">
        <v>43664</v>
      </c>
      <c r="F26" s="22" t="s">
        <v>500</v>
      </c>
      <c r="G26" s="16" t="s">
        <v>52</v>
      </c>
      <c r="H26" s="7" t="s">
        <v>296</v>
      </c>
      <c r="I26" s="22" t="s">
        <v>501</v>
      </c>
      <c r="J26" s="6" t="s">
        <v>16</v>
      </c>
      <c r="K26" s="6" t="s">
        <v>298</v>
      </c>
      <c r="L26" s="7" t="s">
        <v>434</v>
      </c>
      <c r="M26" s="7" t="s">
        <v>17</v>
      </c>
      <c r="N26" s="248" t="s">
        <v>458</v>
      </c>
      <c r="O26" s="47" t="s">
        <v>502</v>
      </c>
      <c r="P26" s="32" t="s">
        <v>17</v>
      </c>
      <c r="Q26" s="32" t="s">
        <v>17</v>
      </c>
      <c r="R26" s="6" t="s">
        <v>96</v>
      </c>
      <c r="S26" s="47">
        <v>3892</v>
      </c>
      <c r="T26" s="47" t="s">
        <v>55</v>
      </c>
      <c r="U26" s="249">
        <v>14900</v>
      </c>
      <c r="V26" s="47" t="s">
        <v>17</v>
      </c>
      <c r="W26" s="37" t="s">
        <v>17</v>
      </c>
      <c r="X26" s="37" t="s">
        <v>17</v>
      </c>
      <c r="Y26" s="37" t="s">
        <v>17</v>
      </c>
      <c r="Z26" s="37" t="s">
        <v>17</v>
      </c>
      <c r="AA26" s="37" t="s">
        <v>17</v>
      </c>
      <c r="AB26" s="37" t="s">
        <v>17</v>
      </c>
      <c r="AC26" s="22" t="s">
        <v>503</v>
      </c>
      <c r="AD26" s="10" t="s">
        <v>82</v>
      </c>
      <c r="AE26" s="10" t="s">
        <v>17</v>
      </c>
      <c r="AF26" s="7" t="s">
        <v>504</v>
      </c>
      <c r="AG26" s="5"/>
      <c r="AH26" s="5"/>
      <c r="AI26" s="14"/>
      <c r="AJ26" s="14"/>
      <c r="AK26" s="14"/>
    </row>
    <row r="27" spans="1:37" s="3" customFormat="1" ht="50.1" customHeight="1" x14ac:dyDescent="0.3">
      <c r="A27" s="6">
        <v>391844</v>
      </c>
      <c r="B27" s="6" t="s">
        <v>31</v>
      </c>
      <c r="C27" s="6" t="s">
        <v>505</v>
      </c>
      <c r="D27" s="7" t="s">
        <v>36</v>
      </c>
      <c r="E27" s="230">
        <v>41151</v>
      </c>
      <c r="F27" s="6" t="s">
        <v>487</v>
      </c>
      <c r="G27" s="16" t="s">
        <v>39</v>
      </c>
      <c r="H27" s="6" t="s">
        <v>296</v>
      </c>
      <c r="I27" s="6" t="s">
        <v>506</v>
      </c>
      <c r="J27" s="6" t="s">
        <v>16</v>
      </c>
      <c r="K27" s="6" t="s">
        <v>298</v>
      </c>
      <c r="L27" s="6" t="s">
        <v>507</v>
      </c>
      <c r="M27" s="6" t="s">
        <v>23</v>
      </c>
      <c r="N27" s="25" t="s">
        <v>507</v>
      </c>
      <c r="O27" s="6" t="s">
        <v>508</v>
      </c>
      <c r="P27" s="10" t="s">
        <v>23</v>
      </c>
      <c r="Q27" s="10" t="s">
        <v>23</v>
      </c>
      <c r="R27" s="6" t="s">
        <v>96</v>
      </c>
      <c r="S27" s="15">
        <v>3977</v>
      </c>
      <c r="T27" s="10" t="s">
        <v>41</v>
      </c>
      <c r="U27" s="12">
        <v>3065</v>
      </c>
      <c r="V27" s="10" t="s">
        <v>23</v>
      </c>
      <c r="W27" s="10" t="s">
        <v>23</v>
      </c>
      <c r="X27" s="10" t="s">
        <v>23</v>
      </c>
      <c r="Y27" s="10" t="s">
        <v>23</v>
      </c>
      <c r="Z27" s="13" t="s">
        <v>23</v>
      </c>
      <c r="AA27" s="13" t="s">
        <v>23</v>
      </c>
      <c r="AB27" s="10" t="s">
        <v>23</v>
      </c>
      <c r="AC27" s="256" t="s">
        <v>509</v>
      </c>
      <c r="AD27" s="10" t="s">
        <v>82</v>
      </c>
      <c r="AE27" s="10" t="s">
        <v>439</v>
      </c>
      <c r="AF27" s="7" t="s">
        <v>510</v>
      </c>
      <c r="AG27" s="5"/>
      <c r="AH27" s="5"/>
      <c r="AI27" s="5"/>
      <c r="AJ27" s="5"/>
      <c r="AK27" s="5"/>
    </row>
    <row r="28" spans="1:37" s="3" customFormat="1" ht="50.1" customHeight="1" x14ac:dyDescent="0.3">
      <c r="A28" s="91">
        <v>764789</v>
      </c>
      <c r="B28" s="6" t="s">
        <v>143</v>
      </c>
      <c r="C28" s="6" t="s">
        <v>511</v>
      </c>
      <c r="D28" s="6" t="s">
        <v>144</v>
      </c>
      <c r="E28" s="230">
        <v>45243</v>
      </c>
      <c r="F28" s="6" t="s">
        <v>512</v>
      </c>
      <c r="G28" s="6" t="s">
        <v>15</v>
      </c>
      <c r="H28" s="91" t="s">
        <v>296</v>
      </c>
      <c r="I28" s="6" t="s">
        <v>513</v>
      </c>
      <c r="J28" s="6" t="s">
        <v>16</v>
      </c>
      <c r="K28" s="6" t="s">
        <v>298</v>
      </c>
      <c r="L28" s="75" t="s">
        <v>514</v>
      </c>
      <c r="M28" s="7" t="s">
        <v>17</v>
      </c>
      <c r="N28" s="257" t="s">
        <v>515</v>
      </c>
      <c r="O28" s="258" t="s">
        <v>516</v>
      </c>
      <c r="P28" s="258" t="s">
        <v>17</v>
      </c>
      <c r="Q28" s="258" t="s">
        <v>17</v>
      </c>
      <c r="R28" s="6" t="s">
        <v>96</v>
      </c>
      <c r="S28" s="259">
        <v>26330</v>
      </c>
      <c r="T28" s="32" t="s">
        <v>38</v>
      </c>
      <c r="U28" s="258" t="s">
        <v>155</v>
      </c>
      <c r="V28" s="258" t="s">
        <v>17</v>
      </c>
      <c r="W28" s="258" t="s">
        <v>17</v>
      </c>
      <c r="X28" s="258" t="s">
        <v>17</v>
      </c>
      <c r="Y28" s="258" t="s">
        <v>17</v>
      </c>
      <c r="Z28" s="258" t="s">
        <v>19</v>
      </c>
      <c r="AA28" s="258" t="s">
        <v>19</v>
      </c>
      <c r="AB28" s="258" t="s">
        <v>19</v>
      </c>
      <c r="AC28" s="199" t="s">
        <v>517</v>
      </c>
      <c r="AD28" s="258" t="s">
        <v>19</v>
      </c>
      <c r="AE28" s="10" t="s">
        <v>17</v>
      </c>
      <c r="AF28" s="199" t="s">
        <v>518</v>
      </c>
      <c r="AG28" s="14"/>
      <c r="AH28" s="14"/>
      <c r="AI28" s="14"/>
      <c r="AJ28" s="14"/>
      <c r="AK28" s="14"/>
    </row>
    <row r="29" spans="1:37" s="3" customFormat="1" ht="50.1" customHeight="1" x14ac:dyDescent="0.3">
      <c r="A29" s="7">
        <v>558364</v>
      </c>
      <c r="B29" s="6" t="s">
        <v>137</v>
      </c>
      <c r="C29" s="7" t="s">
        <v>519</v>
      </c>
      <c r="D29" s="260" t="s">
        <v>242</v>
      </c>
      <c r="E29" s="241">
        <v>42970</v>
      </c>
      <c r="F29" s="7" t="s">
        <v>520</v>
      </c>
      <c r="G29" s="6" t="s">
        <v>29</v>
      </c>
      <c r="H29" s="7" t="s">
        <v>521</v>
      </c>
      <c r="I29" s="6" t="s">
        <v>522</v>
      </c>
      <c r="J29" s="6" t="s">
        <v>16</v>
      </c>
      <c r="K29" s="6" t="s">
        <v>298</v>
      </c>
      <c r="L29" s="7" t="s">
        <v>523</v>
      </c>
      <c r="M29" s="6" t="s">
        <v>23</v>
      </c>
      <c r="N29" s="36" t="s">
        <v>523</v>
      </c>
      <c r="O29" s="7" t="s">
        <v>17</v>
      </c>
      <c r="P29" s="10" t="s">
        <v>17</v>
      </c>
      <c r="Q29" s="10" t="s">
        <v>23</v>
      </c>
      <c r="R29" s="6" t="s">
        <v>96</v>
      </c>
      <c r="S29" s="7">
        <v>110223</v>
      </c>
      <c r="T29" s="7" t="s">
        <v>157</v>
      </c>
      <c r="U29" s="261">
        <v>472.82</v>
      </c>
      <c r="V29" s="10" t="s">
        <v>23</v>
      </c>
      <c r="W29" s="10" t="s">
        <v>23</v>
      </c>
      <c r="X29" s="261">
        <v>472.82</v>
      </c>
      <c r="Y29" s="10" t="s">
        <v>524</v>
      </c>
      <c r="Z29" s="10" t="s">
        <v>525</v>
      </c>
      <c r="AA29" s="10" t="s">
        <v>23</v>
      </c>
      <c r="AB29" s="10" t="s">
        <v>23</v>
      </c>
      <c r="AC29" s="7" t="s">
        <v>526</v>
      </c>
      <c r="AD29" s="10" t="s">
        <v>24</v>
      </c>
      <c r="AE29" s="10" t="s">
        <v>17</v>
      </c>
      <c r="AF29" s="7" t="s">
        <v>527</v>
      </c>
      <c r="AG29" s="5"/>
      <c r="AH29" s="5"/>
      <c r="AI29" s="5"/>
      <c r="AJ29" s="5"/>
      <c r="AK29" s="5"/>
    </row>
    <row r="30" spans="1:37" s="3" customFormat="1" ht="50.1" customHeight="1" x14ac:dyDescent="0.3">
      <c r="A30" s="262">
        <v>674820</v>
      </c>
      <c r="B30" s="262" t="s">
        <v>227</v>
      </c>
      <c r="C30" s="262" t="s">
        <v>528</v>
      </c>
      <c r="D30" s="262" t="s">
        <v>227</v>
      </c>
      <c r="E30" s="230">
        <v>44347</v>
      </c>
      <c r="F30" s="6" t="s">
        <v>529</v>
      </c>
      <c r="G30" s="31" t="s">
        <v>229</v>
      </c>
      <c r="H30" s="262" t="s">
        <v>296</v>
      </c>
      <c r="I30" s="6" t="s">
        <v>530</v>
      </c>
      <c r="J30" s="6" t="s">
        <v>16</v>
      </c>
      <c r="K30" s="6" t="s">
        <v>316</v>
      </c>
      <c r="L30" s="6" t="s">
        <v>531</v>
      </c>
      <c r="M30" s="6" t="s">
        <v>532</v>
      </c>
      <c r="N30" s="25" t="s">
        <v>533</v>
      </c>
      <c r="O30" s="6" t="s">
        <v>534</v>
      </c>
      <c r="P30" s="262" t="s">
        <v>17</v>
      </c>
      <c r="Q30" s="262" t="s">
        <v>17</v>
      </c>
      <c r="R30" s="60" t="s">
        <v>148</v>
      </c>
      <c r="S30" s="6" t="s">
        <v>535</v>
      </c>
      <c r="T30" s="10" t="s">
        <v>75</v>
      </c>
      <c r="U30" s="262" t="s">
        <v>17</v>
      </c>
      <c r="V30" s="262" t="s">
        <v>17</v>
      </c>
      <c r="W30" s="262" t="s">
        <v>17</v>
      </c>
      <c r="X30" s="262" t="s">
        <v>17</v>
      </c>
      <c r="Y30" s="262" t="s">
        <v>17</v>
      </c>
      <c r="Z30" s="262" t="s">
        <v>17</v>
      </c>
      <c r="AA30" s="262" t="s">
        <v>17</v>
      </c>
      <c r="AB30" s="262" t="s">
        <v>17</v>
      </c>
      <c r="AC30" s="6" t="s">
        <v>536</v>
      </c>
      <c r="AD30" s="6" t="s">
        <v>19</v>
      </c>
      <c r="AE30" s="10" t="s">
        <v>17</v>
      </c>
      <c r="AF30" s="262" t="s">
        <v>537</v>
      </c>
      <c r="AG30" s="215"/>
      <c r="AH30" s="215"/>
      <c r="AI30" s="14"/>
      <c r="AJ30" s="14"/>
      <c r="AK30" s="14"/>
    </row>
    <row r="31" spans="1:37" s="263" customFormat="1" ht="50.1" customHeight="1" x14ac:dyDescent="0.3">
      <c r="A31" s="6">
        <v>359396</v>
      </c>
      <c r="B31" s="6" t="s">
        <v>31</v>
      </c>
      <c r="C31" s="6" t="s">
        <v>538</v>
      </c>
      <c r="D31" s="7" t="s">
        <v>36</v>
      </c>
      <c r="E31" s="230">
        <v>40431</v>
      </c>
      <c r="F31" s="6" t="s">
        <v>539</v>
      </c>
      <c r="G31" s="9" t="s">
        <v>33</v>
      </c>
      <c r="H31" s="6" t="s">
        <v>296</v>
      </c>
      <c r="I31" s="6" t="s">
        <v>540</v>
      </c>
      <c r="J31" s="6" t="s">
        <v>16</v>
      </c>
      <c r="K31" s="6" t="s">
        <v>298</v>
      </c>
      <c r="L31" s="6" t="s">
        <v>444</v>
      </c>
      <c r="M31" s="6" t="s">
        <v>23</v>
      </c>
      <c r="N31" s="25" t="s">
        <v>541</v>
      </c>
      <c r="O31" s="6" t="s">
        <v>542</v>
      </c>
      <c r="P31" s="10" t="s">
        <v>23</v>
      </c>
      <c r="Q31" s="10" t="s">
        <v>23</v>
      </c>
      <c r="R31" s="6" t="s">
        <v>96</v>
      </c>
      <c r="S31" s="15" t="s">
        <v>543</v>
      </c>
      <c r="T31" s="10" t="s">
        <v>51</v>
      </c>
      <c r="U31" s="12">
        <v>41341</v>
      </c>
      <c r="V31" s="10" t="s">
        <v>23</v>
      </c>
      <c r="W31" s="10" t="s">
        <v>23</v>
      </c>
      <c r="X31" s="10" t="s">
        <v>23</v>
      </c>
      <c r="Y31" s="10" t="s">
        <v>23</v>
      </c>
      <c r="Z31" s="13">
        <v>41822</v>
      </c>
      <c r="AA31" s="13">
        <v>41983</v>
      </c>
      <c r="AB31" s="10" t="s">
        <v>544</v>
      </c>
      <c r="AC31" s="15" t="s">
        <v>545</v>
      </c>
      <c r="AD31" s="6" t="s">
        <v>22</v>
      </c>
      <c r="AE31" s="10" t="s">
        <v>439</v>
      </c>
      <c r="AF31" s="6" t="s">
        <v>546</v>
      </c>
      <c r="AG31" s="5"/>
      <c r="AH31" s="5"/>
      <c r="AI31" s="5"/>
      <c r="AJ31" s="5"/>
      <c r="AK31" s="5"/>
    </row>
    <row r="32" spans="1:37" s="3" customFormat="1" ht="50.1" customHeight="1" x14ac:dyDescent="0.3">
      <c r="A32" s="6">
        <v>286585</v>
      </c>
      <c r="B32" s="6" t="s">
        <v>31</v>
      </c>
      <c r="C32" s="6" t="s">
        <v>547</v>
      </c>
      <c r="D32" s="7" t="s">
        <v>36</v>
      </c>
      <c r="E32" s="230">
        <v>40029</v>
      </c>
      <c r="F32" s="6" t="s">
        <v>548</v>
      </c>
      <c r="G32" s="16" t="s">
        <v>39</v>
      </c>
      <c r="H32" s="6" t="s">
        <v>296</v>
      </c>
      <c r="I32" s="6" t="s">
        <v>549</v>
      </c>
      <c r="J32" s="6" t="s">
        <v>16</v>
      </c>
      <c r="K32" s="6" t="s">
        <v>298</v>
      </c>
      <c r="L32" s="6" t="s">
        <v>550</v>
      </c>
      <c r="M32" s="6" t="s">
        <v>23</v>
      </c>
      <c r="N32" s="25" t="s">
        <v>551</v>
      </c>
      <c r="O32" s="6" t="s">
        <v>552</v>
      </c>
      <c r="P32" s="10" t="s">
        <v>23</v>
      </c>
      <c r="Q32" s="10" t="s">
        <v>23</v>
      </c>
      <c r="R32" s="6" t="s">
        <v>96</v>
      </c>
      <c r="S32" s="15">
        <v>953</v>
      </c>
      <c r="T32" s="10" t="s">
        <v>59</v>
      </c>
      <c r="U32" s="12">
        <v>6804</v>
      </c>
      <c r="V32" s="10" t="s">
        <v>23</v>
      </c>
      <c r="W32" s="10" t="s">
        <v>23</v>
      </c>
      <c r="X32" s="10" t="s">
        <v>23</v>
      </c>
      <c r="Y32" s="10" t="s">
        <v>23</v>
      </c>
      <c r="Z32" s="13">
        <v>42888</v>
      </c>
      <c r="AA32" s="13">
        <v>44124</v>
      </c>
      <c r="AB32" s="10" t="s">
        <v>23</v>
      </c>
      <c r="AC32" s="11" t="s">
        <v>553</v>
      </c>
      <c r="AD32" s="6" t="s">
        <v>22</v>
      </c>
      <c r="AE32" s="10" t="s">
        <v>439</v>
      </c>
      <c r="AF32" s="6" t="s">
        <v>554</v>
      </c>
      <c r="AG32" s="245"/>
      <c r="AH32" s="245"/>
      <c r="AI32" s="14"/>
      <c r="AJ32" s="14"/>
      <c r="AK32" s="14"/>
    </row>
    <row r="33" spans="1:37" s="3" customFormat="1" ht="50.1" customHeight="1" x14ac:dyDescent="0.3">
      <c r="A33" s="251">
        <v>672915</v>
      </c>
      <c r="B33" s="251" t="s">
        <v>31</v>
      </c>
      <c r="C33" s="251" t="s">
        <v>555</v>
      </c>
      <c r="D33" s="251" t="s">
        <v>36</v>
      </c>
      <c r="E33" s="264">
        <v>44296</v>
      </c>
      <c r="F33" s="251" t="s">
        <v>556</v>
      </c>
      <c r="G33" s="16" t="s">
        <v>52</v>
      </c>
      <c r="H33" s="251" t="s">
        <v>296</v>
      </c>
      <c r="I33" s="251" t="s">
        <v>557</v>
      </c>
      <c r="J33" s="6" t="s">
        <v>16</v>
      </c>
      <c r="K33" s="6" t="s">
        <v>298</v>
      </c>
      <c r="L33" s="251" t="s">
        <v>434</v>
      </c>
      <c r="M33" s="251" t="s">
        <v>17</v>
      </c>
      <c r="N33" s="265" t="s">
        <v>558</v>
      </c>
      <c r="O33" s="251" t="s">
        <v>559</v>
      </c>
      <c r="P33" s="32" t="s">
        <v>17</v>
      </c>
      <c r="Q33" s="32" t="s">
        <v>17</v>
      </c>
      <c r="R33" s="6" t="s">
        <v>96</v>
      </c>
      <c r="S33" s="253" t="s">
        <v>560</v>
      </c>
      <c r="T33" s="252" t="s">
        <v>119</v>
      </c>
      <c r="U33" s="266" t="s">
        <v>120</v>
      </c>
      <c r="V33" s="32" t="s">
        <v>17</v>
      </c>
      <c r="W33" s="32" t="s">
        <v>17</v>
      </c>
      <c r="X33" s="32" t="s">
        <v>17</v>
      </c>
      <c r="Y33" s="32" t="s">
        <v>17</v>
      </c>
      <c r="Z33" s="32" t="s">
        <v>17</v>
      </c>
      <c r="AA33" s="32" t="s">
        <v>17</v>
      </c>
      <c r="AB33" s="32" t="s">
        <v>17</v>
      </c>
      <c r="AC33" s="252" t="s">
        <v>561</v>
      </c>
      <c r="AD33" s="10" t="s">
        <v>82</v>
      </c>
      <c r="AE33" s="10" t="s">
        <v>17</v>
      </c>
      <c r="AF33" s="251" t="s">
        <v>562</v>
      </c>
      <c r="AI33" s="5"/>
      <c r="AJ33" s="5"/>
      <c r="AK33" s="5"/>
    </row>
    <row r="34" spans="1:37" s="3" customFormat="1" ht="50.1" customHeight="1" x14ac:dyDescent="0.3">
      <c r="A34" s="6">
        <v>718471</v>
      </c>
      <c r="B34" s="6" t="s">
        <v>143</v>
      </c>
      <c r="C34" s="6" t="s">
        <v>563</v>
      </c>
      <c r="D34" s="6" t="s">
        <v>156</v>
      </c>
      <c r="E34" s="230">
        <v>44842</v>
      </c>
      <c r="F34" s="6" t="s">
        <v>564</v>
      </c>
      <c r="G34" s="6" t="s">
        <v>15</v>
      </c>
      <c r="H34" s="6" t="s">
        <v>565</v>
      </c>
      <c r="I34" s="6" t="s">
        <v>566</v>
      </c>
      <c r="J34" s="6" t="s">
        <v>16</v>
      </c>
      <c r="K34" s="6" t="s">
        <v>298</v>
      </c>
      <c r="L34" s="6" t="s">
        <v>567</v>
      </c>
      <c r="M34" s="7" t="s">
        <v>17</v>
      </c>
      <c r="N34" s="36" t="s">
        <v>568</v>
      </c>
      <c r="O34" s="6" t="s">
        <v>569</v>
      </c>
      <c r="P34" s="6" t="s">
        <v>17</v>
      </c>
      <c r="Q34" s="6" t="s">
        <v>17</v>
      </c>
      <c r="R34" s="6" t="s">
        <v>96</v>
      </c>
      <c r="S34" s="6" t="s">
        <v>570</v>
      </c>
      <c r="T34" s="6" t="s">
        <v>157</v>
      </c>
      <c r="U34" s="6" t="s">
        <v>158</v>
      </c>
      <c r="V34" s="6" t="s">
        <v>17</v>
      </c>
      <c r="W34" s="6" t="s">
        <v>17</v>
      </c>
      <c r="X34" s="6" t="s">
        <v>17</v>
      </c>
      <c r="Y34" s="6" t="s">
        <v>17</v>
      </c>
      <c r="Z34" s="6" t="s">
        <v>571</v>
      </c>
      <c r="AA34" s="6" t="s">
        <v>571</v>
      </c>
      <c r="AB34" s="6" t="s">
        <v>17</v>
      </c>
      <c r="AC34" s="6" t="s">
        <v>572</v>
      </c>
      <c r="AD34" s="6" t="s">
        <v>19</v>
      </c>
      <c r="AE34" s="10" t="s">
        <v>17</v>
      </c>
      <c r="AF34" s="6" t="s">
        <v>573</v>
      </c>
      <c r="AI34" s="5"/>
      <c r="AJ34" s="5"/>
      <c r="AK34" s="5"/>
    </row>
    <row r="35" spans="1:37" s="3" customFormat="1" ht="50.1" customHeight="1" x14ac:dyDescent="0.3">
      <c r="A35" s="6">
        <v>336200</v>
      </c>
      <c r="B35" s="6" t="s">
        <v>228</v>
      </c>
      <c r="C35" s="6" t="s">
        <v>574</v>
      </c>
      <c r="D35" s="6" t="s">
        <v>228</v>
      </c>
      <c r="E35" s="230">
        <v>39406</v>
      </c>
      <c r="F35" s="6" t="s">
        <v>575</v>
      </c>
      <c r="G35" s="31" t="s">
        <v>229</v>
      </c>
      <c r="H35" s="6" t="s">
        <v>576</v>
      </c>
      <c r="I35" s="6" t="s">
        <v>577</v>
      </c>
      <c r="J35" s="6" t="s">
        <v>16</v>
      </c>
      <c r="K35" s="6" t="s">
        <v>327</v>
      </c>
      <c r="L35" s="6" t="s">
        <v>578</v>
      </c>
      <c r="M35" s="6" t="s">
        <v>579</v>
      </c>
      <c r="N35" s="25" t="s">
        <v>580</v>
      </c>
      <c r="O35" s="6" t="s">
        <v>581</v>
      </c>
      <c r="P35" s="10" t="s">
        <v>23</v>
      </c>
      <c r="Q35" s="10" t="s">
        <v>23</v>
      </c>
      <c r="R35" s="6" t="s">
        <v>96</v>
      </c>
      <c r="S35" s="10" t="s">
        <v>582</v>
      </c>
      <c r="T35" s="10" t="s">
        <v>59</v>
      </c>
      <c r="U35" s="12" t="s">
        <v>23</v>
      </c>
      <c r="V35" s="10" t="s">
        <v>23</v>
      </c>
      <c r="W35" s="10" t="s">
        <v>23</v>
      </c>
      <c r="X35" s="10" t="s">
        <v>23</v>
      </c>
      <c r="Y35" s="10" t="s">
        <v>23</v>
      </c>
      <c r="Z35" s="10" t="s">
        <v>23</v>
      </c>
      <c r="AA35" s="10" t="s">
        <v>23</v>
      </c>
      <c r="AB35" s="10" t="s">
        <v>23</v>
      </c>
      <c r="AC35" s="217" t="s">
        <v>583</v>
      </c>
      <c r="AD35" s="10" t="s">
        <v>19</v>
      </c>
      <c r="AE35" s="10" t="s">
        <v>17</v>
      </c>
      <c r="AF35" s="6" t="s">
        <v>537</v>
      </c>
      <c r="AG35" s="14"/>
      <c r="AH35" s="14"/>
      <c r="AI35" s="14"/>
      <c r="AJ35" s="14"/>
      <c r="AK35" s="14"/>
    </row>
    <row r="36" spans="1:37" ht="50.1" customHeight="1" x14ac:dyDescent="0.3">
      <c r="A36" s="6">
        <v>523266</v>
      </c>
      <c r="B36" s="6" t="s">
        <v>228</v>
      </c>
      <c r="C36" s="6" t="s">
        <v>584</v>
      </c>
      <c r="D36" s="6" t="s">
        <v>228</v>
      </c>
      <c r="E36" s="230">
        <v>42188</v>
      </c>
      <c r="F36" s="6" t="s">
        <v>585</v>
      </c>
      <c r="G36" s="31" t="s">
        <v>229</v>
      </c>
      <c r="H36" s="6" t="s">
        <v>296</v>
      </c>
      <c r="I36" s="6" t="s">
        <v>586</v>
      </c>
      <c r="J36" s="6" t="s">
        <v>16</v>
      </c>
      <c r="K36" s="6" t="s">
        <v>316</v>
      </c>
      <c r="L36" s="6" t="s">
        <v>587</v>
      </c>
      <c r="M36" s="6" t="s">
        <v>588</v>
      </c>
      <c r="N36" s="25" t="s">
        <v>589</v>
      </c>
      <c r="O36" s="6" t="s">
        <v>587</v>
      </c>
      <c r="P36" s="10" t="s">
        <v>23</v>
      </c>
      <c r="Q36" s="10" t="s">
        <v>23</v>
      </c>
      <c r="R36" s="60" t="s">
        <v>148</v>
      </c>
      <c r="S36" s="11" t="s">
        <v>590</v>
      </c>
      <c r="T36" s="32" t="s">
        <v>38</v>
      </c>
      <c r="U36" s="12" t="s">
        <v>23</v>
      </c>
      <c r="V36" s="10" t="s">
        <v>23</v>
      </c>
      <c r="W36" s="10" t="s">
        <v>23</v>
      </c>
      <c r="X36" s="10" t="s">
        <v>23</v>
      </c>
      <c r="Y36" s="10" t="s">
        <v>23</v>
      </c>
      <c r="Z36" s="10" t="s">
        <v>23</v>
      </c>
      <c r="AA36" s="10" t="s">
        <v>23</v>
      </c>
      <c r="AB36" s="10" t="s">
        <v>23</v>
      </c>
      <c r="AC36" s="267" t="s">
        <v>591</v>
      </c>
      <c r="AD36" s="10" t="s">
        <v>19</v>
      </c>
      <c r="AE36" s="10" t="s">
        <v>17</v>
      </c>
      <c r="AF36" s="6" t="s">
        <v>423</v>
      </c>
      <c r="AG36" s="5"/>
      <c r="AH36" s="5"/>
      <c r="AI36" s="5"/>
      <c r="AJ36" s="5"/>
      <c r="AK36" s="5"/>
    </row>
    <row r="37" spans="1:37" s="3" customFormat="1" ht="50.1" customHeight="1" x14ac:dyDescent="0.3">
      <c r="A37" s="6">
        <v>391750</v>
      </c>
      <c r="B37" s="6" t="s">
        <v>31</v>
      </c>
      <c r="C37" s="6" t="s">
        <v>592</v>
      </c>
      <c r="D37" s="7" t="s">
        <v>36</v>
      </c>
      <c r="E37" s="230">
        <v>40088</v>
      </c>
      <c r="F37" s="6" t="s">
        <v>593</v>
      </c>
      <c r="G37" s="16" t="s">
        <v>39</v>
      </c>
      <c r="H37" s="6" t="s">
        <v>296</v>
      </c>
      <c r="I37" s="6" t="s">
        <v>594</v>
      </c>
      <c r="J37" s="6" t="s">
        <v>16</v>
      </c>
      <c r="K37" s="6" t="s">
        <v>298</v>
      </c>
      <c r="L37" s="6" t="s">
        <v>595</v>
      </c>
      <c r="M37" s="6" t="s">
        <v>23</v>
      </c>
      <c r="N37" s="25" t="s">
        <v>596</v>
      </c>
      <c r="O37" s="6" t="s">
        <v>597</v>
      </c>
      <c r="P37" s="10" t="s">
        <v>23</v>
      </c>
      <c r="Q37" s="10" t="s">
        <v>23</v>
      </c>
      <c r="R37" s="6" t="s">
        <v>96</v>
      </c>
      <c r="S37" s="15">
        <v>953</v>
      </c>
      <c r="T37" s="10" t="s">
        <v>59</v>
      </c>
      <c r="U37" s="12">
        <v>56443</v>
      </c>
      <c r="V37" s="10" t="s">
        <v>23</v>
      </c>
      <c r="W37" s="10" t="s">
        <v>23</v>
      </c>
      <c r="X37" s="10" t="s">
        <v>23</v>
      </c>
      <c r="Y37" s="10" t="s">
        <v>23</v>
      </c>
      <c r="Z37" s="13">
        <v>41418</v>
      </c>
      <c r="AA37" s="13">
        <v>41548</v>
      </c>
      <c r="AB37" s="10" t="s">
        <v>598</v>
      </c>
      <c r="AC37" s="15" t="s">
        <v>599</v>
      </c>
      <c r="AD37" s="6" t="s">
        <v>22</v>
      </c>
      <c r="AE37" s="10" t="s">
        <v>439</v>
      </c>
      <c r="AF37" s="6" t="s">
        <v>600</v>
      </c>
      <c r="AG37" s="5"/>
      <c r="AH37" s="5"/>
      <c r="AI37" s="14"/>
      <c r="AJ37" s="14"/>
      <c r="AK37" s="14"/>
    </row>
    <row r="38" spans="1:37" s="3" customFormat="1" ht="50.1" customHeight="1" x14ac:dyDescent="0.3">
      <c r="A38" s="6">
        <v>407780</v>
      </c>
      <c r="B38" s="6" t="s">
        <v>137</v>
      </c>
      <c r="C38" s="6" t="s">
        <v>601</v>
      </c>
      <c r="D38" s="6" t="s">
        <v>243</v>
      </c>
      <c r="E38" s="230">
        <v>41399</v>
      </c>
      <c r="F38" s="6" t="s">
        <v>295</v>
      </c>
      <c r="G38" s="6" t="s">
        <v>29</v>
      </c>
      <c r="H38" s="6" t="s">
        <v>602</v>
      </c>
      <c r="I38" s="6" t="s">
        <v>603</v>
      </c>
      <c r="J38" s="6" t="s">
        <v>16</v>
      </c>
      <c r="K38" s="6" t="s">
        <v>298</v>
      </c>
      <c r="L38" s="6" t="s">
        <v>604</v>
      </c>
      <c r="M38" s="6" t="s">
        <v>23</v>
      </c>
      <c r="N38" s="25" t="s">
        <v>604</v>
      </c>
      <c r="O38" s="6" t="s">
        <v>605</v>
      </c>
      <c r="P38" s="10" t="s">
        <v>23</v>
      </c>
      <c r="Q38" s="10" t="s">
        <v>23</v>
      </c>
      <c r="R38" s="10" t="s">
        <v>191</v>
      </c>
      <c r="S38" s="10" t="s">
        <v>606</v>
      </c>
      <c r="T38" s="10" t="s">
        <v>68</v>
      </c>
      <c r="U38" s="12" t="s">
        <v>23</v>
      </c>
      <c r="V38" s="10" t="s">
        <v>23</v>
      </c>
      <c r="W38" s="10" t="s">
        <v>23</v>
      </c>
      <c r="X38" s="12">
        <v>2789.44</v>
      </c>
      <c r="Y38" s="10">
        <v>224193767</v>
      </c>
      <c r="Z38" s="13">
        <v>41548</v>
      </c>
      <c r="AA38" s="13" t="s">
        <v>23</v>
      </c>
      <c r="AB38" s="10" t="s">
        <v>23</v>
      </c>
      <c r="AC38" s="10" t="s">
        <v>607</v>
      </c>
      <c r="AD38" s="10" t="s">
        <v>19</v>
      </c>
      <c r="AE38" s="10" t="s">
        <v>17</v>
      </c>
      <c r="AF38" s="10" t="s">
        <v>302</v>
      </c>
      <c r="AG38" s="5"/>
      <c r="AH38" s="5"/>
      <c r="AI38" s="14"/>
      <c r="AJ38" s="14"/>
      <c r="AK38" s="14"/>
    </row>
    <row r="39" spans="1:37" s="3" customFormat="1" ht="50.1" customHeight="1" x14ac:dyDescent="0.3">
      <c r="A39" s="258">
        <v>749798</v>
      </c>
      <c r="B39" s="258" t="s">
        <v>143</v>
      </c>
      <c r="C39" s="268" t="s">
        <v>608</v>
      </c>
      <c r="D39" s="258" t="s">
        <v>149</v>
      </c>
      <c r="E39" s="236">
        <v>44988</v>
      </c>
      <c r="F39" s="258" t="s">
        <v>609</v>
      </c>
      <c r="G39" s="7" t="s">
        <v>145</v>
      </c>
      <c r="H39" s="258" t="s">
        <v>610</v>
      </c>
      <c r="I39" s="258" t="s">
        <v>382</v>
      </c>
      <c r="J39" s="6" t="s">
        <v>16</v>
      </c>
      <c r="K39" s="6" t="s">
        <v>327</v>
      </c>
      <c r="L39" s="6" t="s">
        <v>611</v>
      </c>
      <c r="M39" s="6" t="s">
        <v>17</v>
      </c>
      <c r="N39" s="25" t="s">
        <v>612</v>
      </c>
      <c r="O39" s="6" t="s">
        <v>17</v>
      </c>
      <c r="P39" s="10" t="s">
        <v>17</v>
      </c>
      <c r="Q39" s="10" t="s">
        <v>17</v>
      </c>
      <c r="R39" s="6" t="s">
        <v>96</v>
      </c>
      <c r="S39" s="11" t="s">
        <v>613</v>
      </c>
      <c r="T39" s="10" t="s">
        <v>75</v>
      </c>
      <c r="U39" s="12" t="s">
        <v>17</v>
      </c>
      <c r="V39" s="10" t="s">
        <v>17</v>
      </c>
      <c r="W39" s="232" t="s">
        <v>17</v>
      </c>
      <c r="X39" s="12" t="s">
        <v>17</v>
      </c>
      <c r="Y39" s="10" t="s">
        <v>17</v>
      </c>
      <c r="Z39" s="13" t="s">
        <v>17</v>
      </c>
      <c r="AA39" s="13" t="s">
        <v>17</v>
      </c>
      <c r="AB39" s="10" t="s">
        <v>17</v>
      </c>
      <c r="AC39" s="10" t="s">
        <v>614</v>
      </c>
      <c r="AD39" s="6" t="s">
        <v>22</v>
      </c>
      <c r="AE39" s="10" t="s">
        <v>17</v>
      </c>
      <c r="AF39" s="10" t="s">
        <v>368</v>
      </c>
      <c r="AG39" s="245"/>
      <c r="AH39" s="245"/>
      <c r="AI39" s="5"/>
      <c r="AJ39" s="5"/>
      <c r="AK39" s="5"/>
    </row>
    <row r="40" spans="1:37" s="3" customFormat="1" ht="50.1" customHeight="1" x14ac:dyDescent="0.3">
      <c r="A40" s="6">
        <v>163873</v>
      </c>
      <c r="B40" s="6" t="s">
        <v>137</v>
      </c>
      <c r="C40" s="6" t="s">
        <v>615</v>
      </c>
      <c r="D40" s="6" t="s">
        <v>151</v>
      </c>
      <c r="E40" s="230">
        <v>38502</v>
      </c>
      <c r="F40" s="6" t="s">
        <v>616</v>
      </c>
      <c r="G40" s="104" t="s">
        <v>147</v>
      </c>
      <c r="H40" s="6" t="s">
        <v>296</v>
      </c>
      <c r="I40" s="6" t="s">
        <v>617</v>
      </c>
      <c r="J40" s="6" t="s">
        <v>16</v>
      </c>
      <c r="K40" s="6" t="s">
        <v>298</v>
      </c>
      <c r="L40" s="6" t="s">
        <v>618</v>
      </c>
      <c r="M40" s="6" t="s">
        <v>23</v>
      </c>
      <c r="N40" s="25" t="s">
        <v>618</v>
      </c>
      <c r="O40" s="6" t="s">
        <v>23</v>
      </c>
      <c r="P40" s="10">
        <v>22819121</v>
      </c>
      <c r="Q40" s="10" t="s">
        <v>23</v>
      </c>
      <c r="R40" s="60" t="s">
        <v>148</v>
      </c>
      <c r="S40" s="10" t="s">
        <v>428</v>
      </c>
      <c r="T40" s="10" t="s">
        <v>46</v>
      </c>
      <c r="U40" s="12" t="s">
        <v>23</v>
      </c>
      <c r="V40" s="10" t="s">
        <v>23</v>
      </c>
      <c r="W40" s="10" t="s">
        <v>23</v>
      </c>
      <c r="X40" s="10" t="s">
        <v>23</v>
      </c>
      <c r="Y40" s="10" t="s">
        <v>23</v>
      </c>
      <c r="Z40" s="13">
        <v>39112</v>
      </c>
      <c r="AA40" s="10" t="s">
        <v>23</v>
      </c>
      <c r="AB40" s="10" t="s">
        <v>23</v>
      </c>
      <c r="AC40" s="10" t="s">
        <v>619</v>
      </c>
      <c r="AD40" s="10" t="s">
        <v>19</v>
      </c>
      <c r="AE40" s="10" t="s">
        <v>17</v>
      </c>
      <c r="AF40" s="6" t="s">
        <v>620</v>
      </c>
      <c r="AG40" s="14"/>
      <c r="AH40" s="14"/>
      <c r="AI40" s="5"/>
      <c r="AJ40" s="5"/>
      <c r="AK40" s="5"/>
    </row>
    <row r="41" spans="1:37" s="3" customFormat="1" ht="50.1" customHeight="1" x14ac:dyDescent="0.3">
      <c r="A41" s="6">
        <v>190121</v>
      </c>
      <c r="B41" s="6" t="s">
        <v>143</v>
      </c>
      <c r="C41" s="6" t="s">
        <v>621</v>
      </c>
      <c r="D41" s="6" t="s">
        <v>159</v>
      </c>
      <c r="E41" s="230">
        <v>38810</v>
      </c>
      <c r="F41" s="6" t="s">
        <v>622</v>
      </c>
      <c r="G41" s="31" t="s">
        <v>147</v>
      </c>
      <c r="H41" s="6" t="s">
        <v>296</v>
      </c>
      <c r="I41" s="6" t="s">
        <v>623</v>
      </c>
      <c r="J41" s="6" t="s">
        <v>16</v>
      </c>
      <c r="K41" s="6" t="s">
        <v>298</v>
      </c>
      <c r="L41" s="6" t="s">
        <v>624</v>
      </c>
      <c r="M41" s="6" t="s">
        <v>23</v>
      </c>
      <c r="N41" s="25" t="s">
        <v>624</v>
      </c>
      <c r="O41" s="6" t="s">
        <v>23</v>
      </c>
      <c r="P41" s="10" t="s">
        <v>23</v>
      </c>
      <c r="Q41" s="10" t="s">
        <v>23</v>
      </c>
      <c r="R41" s="60" t="s">
        <v>148</v>
      </c>
      <c r="S41" s="10" t="s">
        <v>625</v>
      </c>
      <c r="T41" s="10" t="s">
        <v>75</v>
      </c>
      <c r="U41" s="269">
        <v>186.1</v>
      </c>
      <c r="V41" s="10" t="s">
        <v>23</v>
      </c>
      <c r="W41" s="10" t="s">
        <v>23</v>
      </c>
      <c r="X41" s="10" t="s">
        <v>23</v>
      </c>
      <c r="Y41" s="10" t="s">
        <v>23</v>
      </c>
      <c r="Z41" s="13">
        <v>40317</v>
      </c>
      <c r="AA41" s="13" t="s">
        <v>23</v>
      </c>
      <c r="AB41" s="10" t="s">
        <v>23</v>
      </c>
      <c r="AC41" s="217" t="s">
        <v>626</v>
      </c>
      <c r="AD41" s="6" t="s">
        <v>22</v>
      </c>
      <c r="AE41" s="10" t="s">
        <v>17</v>
      </c>
      <c r="AF41" s="6" t="s">
        <v>627</v>
      </c>
      <c r="AG41" s="14"/>
      <c r="AH41" s="14"/>
      <c r="AI41" s="14"/>
      <c r="AJ41" s="14"/>
      <c r="AK41" s="14"/>
    </row>
    <row r="42" spans="1:37" s="3" customFormat="1" ht="50.1" customHeight="1" x14ac:dyDescent="0.3">
      <c r="A42" s="6">
        <v>478069</v>
      </c>
      <c r="B42" s="6" t="s">
        <v>228</v>
      </c>
      <c r="C42" s="6" t="s">
        <v>628</v>
      </c>
      <c r="D42" s="6" t="s">
        <v>228</v>
      </c>
      <c r="E42" s="230">
        <v>41892</v>
      </c>
      <c r="F42" s="6" t="s">
        <v>629</v>
      </c>
      <c r="G42" s="31" t="s">
        <v>229</v>
      </c>
      <c r="H42" s="6" t="s">
        <v>296</v>
      </c>
      <c r="I42" s="6" t="s">
        <v>630</v>
      </c>
      <c r="J42" s="6" t="s">
        <v>16</v>
      </c>
      <c r="K42" s="6" t="s">
        <v>316</v>
      </c>
      <c r="L42" s="6" t="s">
        <v>631</v>
      </c>
      <c r="M42" s="6" t="s">
        <v>588</v>
      </c>
      <c r="N42" s="25" t="s">
        <v>632</v>
      </c>
      <c r="O42" s="6" t="s">
        <v>631</v>
      </c>
      <c r="P42" s="10" t="s">
        <v>23</v>
      </c>
      <c r="Q42" s="10" t="s">
        <v>23</v>
      </c>
      <c r="R42" s="10" t="s">
        <v>163</v>
      </c>
      <c r="S42" s="11" t="s">
        <v>633</v>
      </c>
      <c r="T42" s="10" t="s">
        <v>68</v>
      </c>
      <c r="U42" s="12" t="s">
        <v>23</v>
      </c>
      <c r="V42" s="10" t="s">
        <v>23</v>
      </c>
      <c r="W42" s="10" t="s">
        <v>23</v>
      </c>
      <c r="X42" s="10" t="s">
        <v>23</v>
      </c>
      <c r="Y42" s="10" t="s">
        <v>23</v>
      </c>
      <c r="Z42" s="10" t="s">
        <v>23</v>
      </c>
      <c r="AA42" s="10" t="s">
        <v>23</v>
      </c>
      <c r="AB42" s="10" t="s">
        <v>23</v>
      </c>
      <c r="AC42" s="18" t="s">
        <v>634</v>
      </c>
      <c r="AD42" s="10" t="s">
        <v>19</v>
      </c>
      <c r="AE42" s="10" t="s">
        <v>17</v>
      </c>
      <c r="AF42" s="10" t="s">
        <v>635</v>
      </c>
      <c r="AG42" s="14"/>
      <c r="AH42" s="14"/>
      <c r="AI42" s="5"/>
      <c r="AJ42" s="5"/>
      <c r="AK42" s="5"/>
    </row>
    <row r="43" spans="1:37" s="3" customFormat="1" ht="50.1" customHeight="1" x14ac:dyDescent="0.3">
      <c r="A43" s="7">
        <v>539716</v>
      </c>
      <c r="B43" s="6" t="s">
        <v>228</v>
      </c>
      <c r="C43" s="7" t="s">
        <v>636</v>
      </c>
      <c r="D43" s="7" t="s">
        <v>228</v>
      </c>
      <c r="E43" s="241">
        <v>42644</v>
      </c>
      <c r="F43" s="7" t="s">
        <v>637</v>
      </c>
      <c r="G43" s="31" t="s">
        <v>229</v>
      </c>
      <c r="H43" s="7" t="s">
        <v>638</v>
      </c>
      <c r="I43" s="7" t="s">
        <v>639</v>
      </c>
      <c r="J43" s="6" t="s">
        <v>16</v>
      </c>
      <c r="K43" s="6" t="s">
        <v>327</v>
      </c>
      <c r="L43" s="7" t="s">
        <v>640</v>
      </c>
      <c r="M43" s="7" t="s">
        <v>641</v>
      </c>
      <c r="N43" s="36" t="s">
        <v>642</v>
      </c>
      <c r="O43" s="7" t="s">
        <v>643</v>
      </c>
      <c r="P43" s="32" t="s">
        <v>23</v>
      </c>
      <c r="Q43" s="32" t="s">
        <v>23</v>
      </c>
      <c r="R43" s="10" t="s">
        <v>163</v>
      </c>
      <c r="S43" s="35" t="s">
        <v>644</v>
      </c>
      <c r="T43" s="10" t="s">
        <v>43</v>
      </c>
      <c r="U43" s="33" t="s">
        <v>23</v>
      </c>
      <c r="V43" s="33" t="s">
        <v>23</v>
      </c>
      <c r="W43" s="33" t="s">
        <v>23</v>
      </c>
      <c r="X43" s="33" t="s">
        <v>23</v>
      </c>
      <c r="Y43" s="33" t="s">
        <v>23</v>
      </c>
      <c r="Z43" s="33" t="s">
        <v>23</v>
      </c>
      <c r="AA43" s="33" t="s">
        <v>23</v>
      </c>
      <c r="AB43" s="33" t="s">
        <v>23</v>
      </c>
      <c r="AC43" s="32" t="s">
        <v>645</v>
      </c>
      <c r="AD43" s="10" t="s">
        <v>19</v>
      </c>
      <c r="AE43" s="10" t="s">
        <v>17</v>
      </c>
      <c r="AF43" s="7" t="s">
        <v>423</v>
      </c>
      <c r="AG43" s="5"/>
      <c r="AH43" s="5"/>
      <c r="AI43" s="5"/>
      <c r="AJ43" s="5"/>
      <c r="AK43" s="5"/>
    </row>
    <row r="44" spans="1:37" s="3" customFormat="1" ht="50.1" customHeight="1" x14ac:dyDescent="0.3">
      <c r="A44" s="7">
        <v>632510</v>
      </c>
      <c r="B44" s="7" t="s">
        <v>143</v>
      </c>
      <c r="C44" s="7" t="s">
        <v>646</v>
      </c>
      <c r="D44" s="7" t="s">
        <v>160</v>
      </c>
      <c r="E44" s="241">
        <v>43804</v>
      </c>
      <c r="F44" s="7" t="s">
        <v>647</v>
      </c>
      <c r="G44" s="7" t="s">
        <v>145</v>
      </c>
      <c r="H44" s="7" t="s">
        <v>648</v>
      </c>
      <c r="I44" s="7" t="s">
        <v>649</v>
      </c>
      <c r="J44" s="6" t="s">
        <v>16</v>
      </c>
      <c r="K44" s="6" t="s">
        <v>298</v>
      </c>
      <c r="L44" s="23" t="s">
        <v>650</v>
      </c>
      <c r="M44" s="6" t="s">
        <v>17</v>
      </c>
      <c r="N44" s="25" t="s">
        <v>650</v>
      </c>
      <c r="O44" s="23" t="s">
        <v>17</v>
      </c>
      <c r="P44" s="48" t="s">
        <v>17</v>
      </c>
      <c r="Q44" s="6" t="s">
        <v>17</v>
      </c>
      <c r="R44" s="6" t="s">
        <v>96</v>
      </c>
      <c r="S44" s="7" t="s">
        <v>651</v>
      </c>
      <c r="T44" s="7" t="s">
        <v>41</v>
      </c>
      <c r="U44" s="48" t="s">
        <v>17</v>
      </c>
      <c r="V44" s="48" t="s">
        <v>17</v>
      </c>
      <c r="W44" s="48" t="s">
        <v>17</v>
      </c>
      <c r="X44" s="23" t="s">
        <v>17</v>
      </c>
      <c r="Y44" s="23" t="s">
        <v>17</v>
      </c>
      <c r="Z44" s="48" t="s">
        <v>17</v>
      </c>
      <c r="AA44" s="23" t="s">
        <v>17</v>
      </c>
      <c r="AB44" s="23" t="s">
        <v>17</v>
      </c>
      <c r="AC44" s="23" t="s">
        <v>652</v>
      </c>
      <c r="AD44" s="23" t="s">
        <v>19</v>
      </c>
      <c r="AE44" s="10" t="s">
        <v>17</v>
      </c>
      <c r="AF44" s="23" t="s">
        <v>653</v>
      </c>
      <c r="AG44" s="5"/>
      <c r="AH44" s="5"/>
      <c r="AI44" s="5"/>
      <c r="AJ44" s="5"/>
      <c r="AK44" s="5"/>
    </row>
    <row r="45" spans="1:37" s="3" customFormat="1" ht="50.1" customHeight="1" x14ac:dyDescent="0.3">
      <c r="A45" s="7">
        <v>563425</v>
      </c>
      <c r="B45" s="7" t="s">
        <v>31</v>
      </c>
      <c r="C45" s="7" t="s">
        <v>654</v>
      </c>
      <c r="D45" s="7" t="s">
        <v>36</v>
      </c>
      <c r="E45" s="241">
        <v>43039</v>
      </c>
      <c r="F45" s="156" t="s">
        <v>655</v>
      </c>
      <c r="G45" s="9" t="s">
        <v>33</v>
      </c>
      <c r="H45" s="7" t="s">
        <v>296</v>
      </c>
      <c r="I45" s="6" t="s">
        <v>656</v>
      </c>
      <c r="J45" s="6" t="s">
        <v>16</v>
      </c>
      <c r="K45" s="6" t="s">
        <v>298</v>
      </c>
      <c r="L45" s="6" t="s">
        <v>444</v>
      </c>
      <c r="M45" s="6" t="s">
        <v>23</v>
      </c>
      <c r="N45" s="243" t="s">
        <v>657</v>
      </c>
      <c r="O45" s="6" t="s">
        <v>658</v>
      </c>
      <c r="P45" s="6" t="s">
        <v>17</v>
      </c>
      <c r="Q45" s="6" t="s">
        <v>17</v>
      </c>
      <c r="R45" s="6" t="s">
        <v>96</v>
      </c>
      <c r="S45" s="15">
        <v>1468</v>
      </c>
      <c r="T45" s="6" t="s">
        <v>41</v>
      </c>
      <c r="U45" s="6"/>
      <c r="V45" s="270" t="s">
        <v>87</v>
      </c>
      <c r="W45" s="270" t="s">
        <v>87</v>
      </c>
      <c r="X45" s="6" t="s">
        <v>17</v>
      </c>
      <c r="Y45" s="6" t="s">
        <v>17</v>
      </c>
      <c r="Z45" s="6" t="s">
        <v>17</v>
      </c>
      <c r="AA45" s="6" t="s">
        <v>17</v>
      </c>
      <c r="AB45" s="6" t="s">
        <v>17</v>
      </c>
      <c r="AC45" s="7" t="s">
        <v>659</v>
      </c>
      <c r="AD45" s="10" t="s">
        <v>82</v>
      </c>
      <c r="AE45" s="10" t="s">
        <v>439</v>
      </c>
      <c r="AF45" s="7" t="s">
        <v>660</v>
      </c>
      <c r="AG45" s="5"/>
      <c r="AH45" s="5"/>
      <c r="AI45" s="5"/>
      <c r="AJ45" s="5"/>
      <c r="AK45" s="5"/>
    </row>
    <row r="46" spans="1:37" s="3" customFormat="1" ht="50.1" customHeight="1" x14ac:dyDescent="0.3">
      <c r="A46" s="6">
        <v>539715</v>
      </c>
      <c r="B46" s="6" t="s">
        <v>228</v>
      </c>
      <c r="C46" s="6" t="s">
        <v>661</v>
      </c>
      <c r="D46" s="6" t="s">
        <v>228</v>
      </c>
      <c r="E46" s="230">
        <v>42625</v>
      </c>
      <c r="F46" s="6" t="s">
        <v>662</v>
      </c>
      <c r="G46" s="31" t="s">
        <v>229</v>
      </c>
      <c r="H46" s="6" t="s">
        <v>296</v>
      </c>
      <c r="I46" s="6" t="s">
        <v>663</v>
      </c>
      <c r="J46" s="6" t="s">
        <v>16</v>
      </c>
      <c r="K46" s="6" t="s">
        <v>316</v>
      </c>
      <c r="L46" s="6" t="s">
        <v>374</v>
      </c>
      <c r="M46" s="6" t="s">
        <v>588</v>
      </c>
      <c r="N46" s="25" t="s">
        <v>664</v>
      </c>
      <c r="O46" s="6" t="s">
        <v>665</v>
      </c>
      <c r="P46" s="10" t="s">
        <v>23</v>
      </c>
      <c r="Q46" s="10" t="s">
        <v>23</v>
      </c>
      <c r="R46" s="10" t="s">
        <v>163</v>
      </c>
      <c r="S46" s="11" t="s">
        <v>666</v>
      </c>
      <c r="T46" s="32" t="s">
        <v>38</v>
      </c>
      <c r="U46" s="12" t="s">
        <v>23</v>
      </c>
      <c r="V46" s="15" t="s">
        <v>23</v>
      </c>
      <c r="W46" s="15" t="s">
        <v>23</v>
      </c>
      <c r="X46" s="10" t="s">
        <v>23</v>
      </c>
      <c r="Y46" s="15" t="s">
        <v>23</v>
      </c>
      <c r="Z46" s="15" t="s">
        <v>23</v>
      </c>
      <c r="AA46" s="15" t="s">
        <v>23</v>
      </c>
      <c r="AB46" s="15" t="s">
        <v>23</v>
      </c>
      <c r="AC46" s="10" t="s">
        <v>645</v>
      </c>
      <c r="AD46" s="10" t="s">
        <v>19</v>
      </c>
      <c r="AE46" s="10" t="s">
        <v>17</v>
      </c>
      <c r="AF46" s="6" t="s">
        <v>423</v>
      </c>
      <c r="AG46" s="5"/>
      <c r="AH46" s="5"/>
      <c r="AI46" s="245"/>
      <c r="AJ46" s="245"/>
      <c r="AK46" s="245"/>
    </row>
    <row r="47" spans="1:37" s="3" customFormat="1" ht="50.1" customHeight="1" x14ac:dyDescent="0.3">
      <c r="A47" s="7">
        <v>541723</v>
      </c>
      <c r="B47" s="6" t="s">
        <v>137</v>
      </c>
      <c r="C47" s="7" t="s">
        <v>667</v>
      </c>
      <c r="D47" s="156" t="s">
        <v>139</v>
      </c>
      <c r="E47" s="242">
        <v>43133</v>
      </c>
      <c r="F47" s="156" t="s">
        <v>668</v>
      </c>
      <c r="G47" s="100" t="s">
        <v>29</v>
      </c>
      <c r="H47" s="7" t="s">
        <v>296</v>
      </c>
      <c r="I47" s="6" t="s">
        <v>669</v>
      </c>
      <c r="J47" s="6" t="s">
        <v>16</v>
      </c>
      <c r="K47" s="157" t="s">
        <v>670</v>
      </c>
      <c r="L47" s="7" t="s">
        <v>671</v>
      </c>
      <c r="M47" s="6" t="s">
        <v>17</v>
      </c>
      <c r="N47" s="36" t="s">
        <v>672</v>
      </c>
      <c r="O47" s="6" t="s">
        <v>374</v>
      </c>
      <c r="P47" s="6" t="s">
        <v>17</v>
      </c>
      <c r="Q47" s="6" t="s">
        <v>17</v>
      </c>
      <c r="R47" s="6" t="s">
        <v>96</v>
      </c>
      <c r="S47" s="6" t="s">
        <v>673</v>
      </c>
      <c r="T47" s="32" t="s">
        <v>38</v>
      </c>
      <c r="U47" s="6" t="s">
        <v>245</v>
      </c>
      <c r="V47" s="6" t="s">
        <v>17</v>
      </c>
      <c r="W47" s="6" t="s">
        <v>17</v>
      </c>
      <c r="X47" s="6" t="s">
        <v>17</v>
      </c>
      <c r="Y47" s="6" t="s">
        <v>17</v>
      </c>
      <c r="Z47" s="6" t="s">
        <v>674</v>
      </c>
      <c r="AA47" s="6" t="s">
        <v>17</v>
      </c>
      <c r="AB47" s="6" t="s">
        <v>17</v>
      </c>
      <c r="AC47" s="7" t="s">
        <v>675</v>
      </c>
      <c r="AD47" s="10" t="s">
        <v>24</v>
      </c>
      <c r="AE47" s="10" t="s">
        <v>17</v>
      </c>
      <c r="AF47" s="7" t="s">
        <v>676</v>
      </c>
      <c r="AG47" s="5"/>
      <c r="AH47" s="5"/>
      <c r="AI47" s="5"/>
      <c r="AJ47" s="5"/>
      <c r="AK47" s="5"/>
    </row>
    <row r="48" spans="1:37" s="3" customFormat="1" ht="50.1" customHeight="1" x14ac:dyDescent="0.3">
      <c r="A48" s="6">
        <v>419787</v>
      </c>
      <c r="B48" s="6" t="s">
        <v>31</v>
      </c>
      <c r="C48" s="6" t="s">
        <v>677</v>
      </c>
      <c r="D48" s="7" t="s">
        <v>36</v>
      </c>
      <c r="E48" s="230">
        <v>41527</v>
      </c>
      <c r="F48" s="6" t="s">
        <v>678</v>
      </c>
      <c r="G48" s="9" t="s">
        <v>33</v>
      </c>
      <c r="H48" s="6" t="s">
        <v>296</v>
      </c>
      <c r="I48" s="6" t="s">
        <v>679</v>
      </c>
      <c r="J48" s="6" t="s">
        <v>16</v>
      </c>
      <c r="K48" s="6" t="s">
        <v>298</v>
      </c>
      <c r="L48" s="6" t="s">
        <v>444</v>
      </c>
      <c r="M48" s="6" t="s">
        <v>23</v>
      </c>
      <c r="N48" s="25" t="s">
        <v>680</v>
      </c>
      <c r="O48" s="6" t="s">
        <v>681</v>
      </c>
      <c r="P48" s="10" t="s">
        <v>23</v>
      </c>
      <c r="Q48" s="10" t="s">
        <v>23</v>
      </c>
      <c r="R48" s="6" t="s">
        <v>96</v>
      </c>
      <c r="S48" s="15">
        <v>1553</v>
      </c>
      <c r="T48" s="10" t="s">
        <v>68</v>
      </c>
      <c r="U48" s="12">
        <v>8981</v>
      </c>
      <c r="V48" s="10" t="s">
        <v>23</v>
      </c>
      <c r="W48" s="10" t="s">
        <v>23</v>
      </c>
      <c r="X48" s="10" t="s">
        <v>23</v>
      </c>
      <c r="Y48" s="10" t="s">
        <v>23</v>
      </c>
      <c r="Z48" s="10" t="s">
        <v>23</v>
      </c>
      <c r="AA48" s="10" t="s">
        <v>23</v>
      </c>
      <c r="AB48" s="10" t="s">
        <v>23</v>
      </c>
      <c r="AC48" s="11" t="s">
        <v>682</v>
      </c>
      <c r="AD48" s="6" t="s">
        <v>22</v>
      </c>
      <c r="AE48" s="10" t="s">
        <v>439</v>
      </c>
      <c r="AF48" s="6" t="s">
        <v>546</v>
      </c>
      <c r="AG48" s="14"/>
      <c r="AH48" s="14"/>
      <c r="AI48" s="5"/>
      <c r="AJ48" s="5"/>
      <c r="AK48" s="5"/>
    </row>
    <row r="49" spans="1:37" s="3" customFormat="1" ht="50.1" customHeight="1" x14ac:dyDescent="0.3">
      <c r="A49" s="6">
        <v>523930</v>
      </c>
      <c r="B49" s="6" t="s">
        <v>228</v>
      </c>
      <c r="C49" s="6" t="s">
        <v>683</v>
      </c>
      <c r="D49" s="6" t="s">
        <v>228</v>
      </c>
      <c r="E49" s="230">
        <v>42389</v>
      </c>
      <c r="F49" s="6" t="s">
        <v>684</v>
      </c>
      <c r="G49" s="31" t="s">
        <v>229</v>
      </c>
      <c r="H49" s="6" t="s">
        <v>685</v>
      </c>
      <c r="I49" s="6" t="s">
        <v>686</v>
      </c>
      <c r="J49" s="6" t="s">
        <v>16</v>
      </c>
      <c r="K49" s="6" t="s">
        <v>327</v>
      </c>
      <c r="L49" s="6" t="s">
        <v>687</v>
      </c>
      <c r="M49" s="6" t="s">
        <v>688</v>
      </c>
      <c r="N49" s="25" t="s">
        <v>689</v>
      </c>
      <c r="O49" s="6" t="s">
        <v>690</v>
      </c>
      <c r="P49" s="10" t="s">
        <v>23</v>
      </c>
      <c r="Q49" s="10" t="s">
        <v>23</v>
      </c>
      <c r="R49" s="6" t="s">
        <v>96</v>
      </c>
      <c r="S49" s="15">
        <v>2589</v>
      </c>
      <c r="T49" s="10" t="s">
        <v>43</v>
      </c>
      <c r="U49" s="12" t="s">
        <v>23</v>
      </c>
      <c r="V49" s="10" t="s">
        <v>23</v>
      </c>
      <c r="W49" s="10" t="s">
        <v>23</v>
      </c>
      <c r="X49" s="10" t="s">
        <v>23</v>
      </c>
      <c r="Y49" s="10" t="s">
        <v>23</v>
      </c>
      <c r="Z49" s="13">
        <v>42579</v>
      </c>
      <c r="AA49" s="13">
        <v>42690</v>
      </c>
      <c r="AB49" s="13" t="s">
        <v>23</v>
      </c>
      <c r="AC49" s="11" t="s">
        <v>691</v>
      </c>
      <c r="AD49" s="6" t="s">
        <v>22</v>
      </c>
      <c r="AE49" s="10" t="s">
        <v>17</v>
      </c>
      <c r="AF49" s="6" t="s">
        <v>692</v>
      </c>
      <c r="AG49" s="5"/>
      <c r="AH49" s="5"/>
      <c r="AI49" s="5"/>
      <c r="AJ49" s="5"/>
      <c r="AK49" s="5"/>
    </row>
    <row r="50" spans="1:37" s="3" customFormat="1" ht="50.1" customHeight="1" x14ac:dyDescent="0.3">
      <c r="A50" s="6">
        <v>479932</v>
      </c>
      <c r="B50" s="6" t="s">
        <v>228</v>
      </c>
      <c r="C50" s="6" t="s">
        <v>693</v>
      </c>
      <c r="D50" s="6" t="s">
        <v>228</v>
      </c>
      <c r="E50" s="230">
        <v>41885</v>
      </c>
      <c r="F50" s="6" t="s">
        <v>694</v>
      </c>
      <c r="G50" s="31" t="s">
        <v>229</v>
      </c>
      <c r="H50" s="6" t="s">
        <v>296</v>
      </c>
      <c r="I50" s="6" t="s">
        <v>695</v>
      </c>
      <c r="J50" s="6" t="s">
        <v>16</v>
      </c>
      <c r="K50" s="6" t="s">
        <v>316</v>
      </c>
      <c r="L50" s="6" t="s">
        <v>696</v>
      </c>
      <c r="M50" s="6" t="s">
        <v>697</v>
      </c>
      <c r="N50" s="25" t="s">
        <v>698</v>
      </c>
      <c r="O50" s="6" t="s">
        <v>699</v>
      </c>
      <c r="P50" s="10" t="s">
        <v>23</v>
      </c>
      <c r="Q50" s="10" t="s">
        <v>23</v>
      </c>
      <c r="R50" s="6" t="s">
        <v>96</v>
      </c>
      <c r="S50" s="11" t="s">
        <v>700</v>
      </c>
      <c r="T50" s="10" t="s">
        <v>68</v>
      </c>
      <c r="U50" s="12" t="s">
        <v>23</v>
      </c>
      <c r="V50" s="10" t="s">
        <v>23</v>
      </c>
      <c r="W50" s="10" t="s">
        <v>23</v>
      </c>
      <c r="X50" s="10" t="s">
        <v>23</v>
      </c>
      <c r="Y50" s="10" t="s">
        <v>23</v>
      </c>
      <c r="Z50" s="10" t="s">
        <v>23</v>
      </c>
      <c r="AA50" s="10" t="s">
        <v>23</v>
      </c>
      <c r="AB50" s="10" t="s">
        <v>23</v>
      </c>
      <c r="AC50" s="18" t="s">
        <v>701</v>
      </c>
      <c r="AD50" s="10" t="s">
        <v>19</v>
      </c>
      <c r="AE50" s="10" t="s">
        <v>17</v>
      </c>
      <c r="AF50" s="6" t="s">
        <v>702</v>
      </c>
      <c r="AG50" s="14"/>
      <c r="AH50" s="14"/>
      <c r="AI50" s="5"/>
      <c r="AJ50" s="5"/>
      <c r="AK50" s="5"/>
    </row>
    <row r="51" spans="1:37" s="3" customFormat="1" ht="50.1" customHeight="1" x14ac:dyDescent="0.3">
      <c r="A51" s="6">
        <v>513957</v>
      </c>
      <c r="B51" s="6" t="s">
        <v>31</v>
      </c>
      <c r="C51" s="6" t="s">
        <v>703</v>
      </c>
      <c r="D51" s="7" t="s">
        <v>36</v>
      </c>
      <c r="E51" s="230">
        <v>42148</v>
      </c>
      <c r="F51" s="6" t="s">
        <v>704</v>
      </c>
      <c r="G51" s="16" t="s">
        <v>39</v>
      </c>
      <c r="H51" s="6" t="s">
        <v>296</v>
      </c>
      <c r="I51" s="6" t="s">
        <v>705</v>
      </c>
      <c r="J51" s="6" t="s">
        <v>16</v>
      </c>
      <c r="K51" s="6" t="s">
        <v>298</v>
      </c>
      <c r="L51" s="6" t="s">
        <v>706</v>
      </c>
      <c r="M51" s="6" t="s">
        <v>23</v>
      </c>
      <c r="N51" s="25" t="s">
        <v>706</v>
      </c>
      <c r="O51" s="6" t="s">
        <v>707</v>
      </c>
      <c r="P51" s="10" t="s">
        <v>23</v>
      </c>
      <c r="Q51" s="10" t="s">
        <v>23</v>
      </c>
      <c r="R51" s="6" t="s">
        <v>96</v>
      </c>
      <c r="S51" s="15">
        <v>3346</v>
      </c>
      <c r="T51" s="10" t="s">
        <v>41</v>
      </c>
      <c r="U51" s="12">
        <v>41680</v>
      </c>
      <c r="V51" s="10" t="s">
        <v>23</v>
      </c>
      <c r="W51" s="10" t="s">
        <v>23</v>
      </c>
      <c r="X51" s="10" t="s">
        <v>23</v>
      </c>
      <c r="Y51" s="10" t="s">
        <v>23</v>
      </c>
      <c r="Z51" s="13" t="s">
        <v>23</v>
      </c>
      <c r="AA51" s="10" t="s">
        <v>23</v>
      </c>
      <c r="AB51" s="10" t="s">
        <v>23</v>
      </c>
      <c r="AC51" s="11" t="s">
        <v>708</v>
      </c>
      <c r="AD51" s="6" t="s">
        <v>22</v>
      </c>
      <c r="AE51" s="10" t="s">
        <v>439</v>
      </c>
      <c r="AF51" s="6" t="s">
        <v>709</v>
      </c>
      <c r="AG51" s="14"/>
      <c r="AH51" s="14"/>
      <c r="AI51" s="5"/>
      <c r="AJ51" s="5"/>
      <c r="AK51" s="5"/>
    </row>
    <row r="52" spans="1:37" s="3" customFormat="1" ht="50.1" customHeight="1" x14ac:dyDescent="0.3">
      <c r="A52" s="6">
        <v>390260</v>
      </c>
      <c r="B52" s="6" t="s">
        <v>137</v>
      </c>
      <c r="C52" s="6" t="s">
        <v>710</v>
      </c>
      <c r="D52" s="260" t="s">
        <v>242</v>
      </c>
      <c r="E52" s="230">
        <v>41172</v>
      </c>
      <c r="F52" s="6" t="s">
        <v>711</v>
      </c>
      <c r="G52" s="6" t="s">
        <v>29</v>
      </c>
      <c r="H52" s="6" t="s">
        <v>712</v>
      </c>
      <c r="I52" s="6" t="s">
        <v>713</v>
      </c>
      <c r="J52" s="6" t="s">
        <v>16</v>
      </c>
      <c r="K52" s="6" t="s">
        <v>298</v>
      </c>
      <c r="L52" s="6" t="s">
        <v>714</v>
      </c>
      <c r="M52" s="6" t="s">
        <v>23</v>
      </c>
      <c r="N52" s="25" t="s">
        <v>23</v>
      </c>
      <c r="O52" s="6" t="s">
        <v>715</v>
      </c>
      <c r="P52" s="10" t="s">
        <v>23</v>
      </c>
      <c r="Q52" s="10" t="s">
        <v>23</v>
      </c>
      <c r="R52" s="6" t="s">
        <v>96</v>
      </c>
      <c r="S52" s="10" t="s">
        <v>716</v>
      </c>
      <c r="T52" s="10" t="s">
        <v>212</v>
      </c>
      <c r="U52" s="12" t="s">
        <v>23</v>
      </c>
      <c r="V52" s="10" t="s">
        <v>23</v>
      </c>
      <c r="W52" s="10" t="s">
        <v>23</v>
      </c>
      <c r="X52" s="12" t="s">
        <v>23</v>
      </c>
      <c r="Y52" s="10">
        <v>166998817</v>
      </c>
      <c r="Z52" s="13" t="s">
        <v>717</v>
      </c>
      <c r="AA52" s="13" t="s">
        <v>23</v>
      </c>
      <c r="AB52" s="10" t="s">
        <v>23</v>
      </c>
      <c r="AC52" s="13" t="s">
        <v>718</v>
      </c>
      <c r="AD52" s="6" t="s">
        <v>22</v>
      </c>
      <c r="AE52" s="10" t="s">
        <v>17</v>
      </c>
      <c r="AF52" s="10" t="s">
        <v>719</v>
      </c>
      <c r="AG52" s="5"/>
      <c r="AH52" s="5"/>
      <c r="AI52" s="5"/>
      <c r="AJ52" s="5"/>
      <c r="AK52" s="5"/>
    </row>
    <row r="53" spans="1:37" ht="50.1" customHeight="1" x14ac:dyDescent="0.3">
      <c r="A53" s="6">
        <v>255133</v>
      </c>
      <c r="B53" s="6" t="s">
        <v>137</v>
      </c>
      <c r="C53" s="6" t="s">
        <v>720</v>
      </c>
      <c r="D53" s="6" t="s">
        <v>151</v>
      </c>
      <c r="E53" s="230">
        <v>39204</v>
      </c>
      <c r="F53" s="6" t="s">
        <v>721</v>
      </c>
      <c r="G53" s="7" t="s">
        <v>147</v>
      </c>
      <c r="H53" s="6" t="s">
        <v>296</v>
      </c>
      <c r="I53" s="6" t="s">
        <v>722</v>
      </c>
      <c r="J53" s="6" t="s">
        <v>16</v>
      </c>
      <c r="K53" s="6" t="s">
        <v>298</v>
      </c>
      <c r="L53" s="6" t="s">
        <v>723</v>
      </c>
      <c r="M53" s="6" t="s">
        <v>23</v>
      </c>
      <c r="N53" s="25" t="s">
        <v>723</v>
      </c>
      <c r="O53" s="6" t="s">
        <v>23</v>
      </c>
      <c r="P53" s="10">
        <v>49479714</v>
      </c>
      <c r="Q53" s="10" t="s">
        <v>23</v>
      </c>
      <c r="R53" s="60" t="s">
        <v>148</v>
      </c>
      <c r="S53" s="10" t="s">
        <v>428</v>
      </c>
      <c r="T53" s="10" t="s">
        <v>46</v>
      </c>
      <c r="U53" s="12" t="s">
        <v>23</v>
      </c>
      <c r="V53" s="10" t="s">
        <v>23</v>
      </c>
      <c r="W53" s="10" t="s">
        <v>23</v>
      </c>
      <c r="X53" s="10" t="s">
        <v>23</v>
      </c>
      <c r="Y53" s="10" t="s">
        <v>23</v>
      </c>
      <c r="Z53" s="13">
        <v>40193</v>
      </c>
      <c r="AA53" s="10" t="s">
        <v>23</v>
      </c>
      <c r="AB53" s="10" t="s">
        <v>23</v>
      </c>
      <c r="AC53" s="10" t="s">
        <v>413</v>
      </c>
      <c r="AD53" s="10" t="s">
        <v>19</v>
      </c>
      <c r="AE53" s="10" t="s">
        <v>17</v>
      </c>
      <c r="AF53" s="6" t="s">
        <v>724</v>
      </c>
      <c r="AG53" s="14"/>
      <c r="AH53" s="14"/>
      <c r="AI53" s="5"/>
      <c r="AJ53" s="5"/>
      <c r="AK53" s="5"/>
    </row>
    <row r="54" spans="1:37" s="3" customFormat="1" ht="50.1" customHeight="1" x14ac:dyDescent="0.3">
      <c r="A54" s="6">
        <v>514409</v>
      </c>
      <c r="B54" s="6" t="s">
        <v>137</v>
      </c>
      <c r="C54" s="6" t="s">
        <v>725</v>
      </c>
      <c r="D54" s="260" t="s">
        <v>242</v>
      </c>
      <c r="E54" s="230">
        <v>42240</v>
      </c>
      <c r="F54" s="6" t="s">
        <v>726</v>
      </c>
      <c r="G54" s="6" t="s">
        <v>29</v>
      </c>
      <c r="H54" s="6" t="s">
        <v>727</v>
      </c>
      <c r="I54" s="6" t="s">
        <v>728</v>
      </c>
      <c r="J54" s="6" t="s">
        <v>16</v>
      </c>
      <c r="K54" s="6" t="s">
        <v>298</v>
      </c>
      <c r="L54" s="6" t="s">
        <v>729</v>
      </c>
      <c r="M54" s="6" t="s">
        <v>23</v>
      </c>
      <c r="N54" s="25" t="s">
        <v>729</v>
      </c>
      <c r="O54" s="6" t="s">
        <v>23</v>
      </c>
      <c r="P54" s="10" t="s">
        <v>23</v>
      </c>
      <c r="Q54" s="10" t="s">
        <v>23</v>
      </c>
      <c r="R54" s="6" t="s">
        <v>96</v>
      </c>
      <c r="S54" s="10" t="s">
        <v>730</v>
      </c>
      <c r="T54" s="10" t="s">
        <v>43</v>
      </c>
      <c r="U54" s="12" t="s">
        <v>23</v>
      </c>
      <c r="V54" s="11" t="s">
        <v>23</v>
      </c>
      <c r="W54" s="11" t="s">
        <v>23</v>
      </c>
      <c r="X54" s="12">
        <v>159.80000000000001</v>
      </c>
      <c r="Y54" s="10">
        <v>344727500</v>
      </c>
      <c r="Z54" s="13">
        <v>42949</v>
      </c>
      <c r="AA54" s="10" t="s">
        <v>731</v>
      </c>
      <c r="AB54" s="10" t="s">
        <v>23</v>
      </c>
      <c r="AC54" s="11" t="s">
        <v>732</v>
      </c>
      <c r="AD54" s="6" t="s">
        <v>22</v>
      </c>
      <c r="AE54" s="10" t="s">
        <v>17</v>
      </c>
      <c r="AF54" s="10" t="s">
        <v>733</v>
      </c>
      <c r="AG54" s="14"/>
      <c r="AH54" s="14"/>
      <c r="AI54" s="5"/>
      <c r="AJ54" s="5"/>
      <c r="AK54" s="5"/>
    </row>
    <row r="55" spans="1:37" s="3" customFormat="1" ht="50.1" customHeight="1" x14ac:dyDescent="0.3">
      <c r="A55" s="6">
        <v>701116</v>
      </c>
      <c r="B55" s="6" t="s">
        <v>143</v>
      </c>
      <c r="C55" s="6" t="s">
        <v>734</v>
      </c>
      <c r="D55" s="6" t="s">
        <v>149</v>
      </c>
      <c r="E55" s="230">
        <v>44477</v>
      </c>
      <c r="F55" s="6" t="s">
        <v>735</v>
      </c>
      <c r="G55" s="7" t="s">
        <v>145</v>
      </c>
      <c r="H55" s="6" t="s">
        <v>736</v>
      </c>
      <c r="I55" s="6" t="s">
        <v>737</v>
      </c>
      <c r="J55" s="6" t="s">
        <v>16</v>
      </c>
      <c r="K55" s="6" t="s">
        <v>327</v>
      </c>
      <c r="L55" s="6" t="s">
        <v>738</v>
      </c>
      <c r="M55" s="7" t="s">
        <v>23</v>
      </c>
      <c r="N55" s="25" t="s">
        <v>738</v>
      </c>
      <c r="O55" s="6" t="s">
        <v>17</v>
      </c>
      <c r="P55" s="10" t="s">
        <v>17</v>
      </c>
      <c r="Q55" s="10" t="s">
        <v>17</v>
      </c>
      <c r="R55" s="6" t="s">
        <v>96</v>
      </c>
      <c r="S55" s="11" t="s">
        <v>739</v>
      </c>
      <c r="T55" s="10" t="s">
        <v>74</v>
      </c>
      <c r="U55" s="12" t="s">
        <v>17</v>
      </c>
      <c r="V55" s="6" t="s">
        <v>17</v>
      </c>
      <c r="W55" s="6" t="s">
        <v>17</v>
      </c>
      <c r="X55" s="6" t="s">
        <v>17</v>
      </c>
      <c r="Y55" s="6" t="s">
        <v>17</v>
      </c>
      <c r="Z55" s="6" t="s">
        <v>17</v>
      </c>
      <c r="AA55" s="6" t="s">
        <v>17</v>
      </c>
      <c r="AB55" s="6" t="s">
        <v>17</v>
      </c>
      <c r="AC55" s="10" t="s">
        <v>740</v>
      </c>
      <c r="AD55" s="10" t="s">
        <v>19</v>
      </c>
      <c r="AE55" s="10" t="s">
        <v>17</v>
      </c>
      <c r="AF55" s="6" t="s">
        <v>741</v>
      </c>
      <c r="AI55" s="250"/>
      <c r="AJ55" s="250"/>
      <c r="AK55" s="250"/>
    </row>
    <row r="56" spans="1:37" s="3" customFormat="1" ht="50.1" customHeight="1" x14ac:dyDescent="0.3">
      <c r="A56" s="7">
        <v>607901</v>
      </c>
      <c r="B56" s="7" t="s">
        <v>228</v>
      </c>
      <c r="C56" s="7" t="s">
        <v>742</v>
      </c>
      <c r="D56" s="7" t="s">
        <v>228</v>
      </c>
      <c r="E56" s="241">
        <v>43670</v>
      </c>
      <c r="F56" s="7" t="s">
        <v>743</v>
      </c>
      <c r="G56" s="31" t="s">
        <v>229</v>
      </c>
      <c r="H56" s="7" t="s">
        <v>296</v>
      </c>
      <c r="I56" s="7" t="s">
        <v>744</v>
      </c>
      <c r="J56" s="6" t="s">
        <v>16</v>
      </c>
      <c r="K56" s="7" t="s">
        <v>316</v>
      </c>
      <c r="L56" s="7" t="s">
        <v>745</v>
      </c>
      <c r="M56" s="7" t="s">
        <v>746</v>
      </c>
      <c r="N56" s="36" t="s">
        <v>747</v>
      </c>
      <c r="O56" s="7" t="s">
        <v>745</v>
      </c>
      <c r="P56" s="32" t="s">
        <v>17</v>
      </c>
      <c r="Q56" s="32" t="s">
        <v>17</v>
      </c>
      <c r="R56" s="6" t="s">
        <v>17</v>
      </c>
      <c r="S56" s="35" t="s">
        <v>748</v>
      </c>
      <c r="T56" s="32" t="s">
        <v>21</v>
      </c>
      <c r="U56" s="33" t="s">
        <v>17</v>
      </c>
      <c r="V56" s="32" t="s">
        <v>17</v>
      </c>
      <c r="W56" s="37" t="s">
        <v>17</v>
      </c>
      <c r="X56" s="33" t="s">
        <v>17</v>
      </c>
      <c r="Y56" s="32" t="s">
        <v>17</v>
      </c>
      <c r="Z56" s="44" t="s">
        <v>17</v>
      </c>
      <c r="AA56" s="44" t="s">
        <v>17</v>
      </c>
      <c r="AB56" s="32" t="s">
        <v>17</v>
      </c>
      <c r="AC56" s="32" t="s">
        <v>749</v>
      </c>
      <c r="AD56" s="32" t="s">
        <v>19</v>
      </c>
      <c r="AE56" s="10" t="s">
        <v>17</v>
      </c>
      <c r="AF56" s="7" t="s">
        <v>750</v>
      </c>
      <c r="AG56" s="140"/>
      <c r="AH56" s="140"/>
      <c r="AI56" s="271"/>
      <c r="AJ56" s="271"/>
      <c r="AK56" s="271"/>
    </row>
    <row r="57" spans="1:37" s="3" customFormat="1" ht="50.1" customHeight="1" x14ac:dyDescent="0.3">
      <c r="A57" s="6">
        <v>516361</v>
      </c>
      <c r="B57" s="6" t="s">
        <v>137</v>
      </c>
      <c r="C57" s="6" t="s">
        <v>751</v>
      </c>
      <c r="D57" s="6" t="s">
        <v>146</v>
      </c>
      <c r="E57" s="230">
        <v>42284</v>
      </c>
      <c r="F57" s="6" t="s">
        <v>752</v>
      </c>
      <c r="G57" s="6" t="s">
        <v>15</v>
      </c>
      <c r="H57" s="6" t="s">
        <v>296</v>
      </c>
      <c r="I57" s="6" t="s">
        <v>753</v>
      </c>
      <c r="J57" s="6" t="s">
        <v>16</v>
      </c>
      <c r="K57" s="6" t="s">
        <v>298</v>
      </c>
      <c r="L57" s="6" t="s">
        <v>754</v>
      </c>
      <c r="M57" s="6" t="s">
        <v>23</v>
      </c>
      <c r="N57" s="25" t="s">
        <v>754</v>
      </c>
      <c r="O57" s="6" t="s">
        <v>755</v>
      </c>
      <c r="P57" s="10" t="s">
        <v>23</v>
      </c>
      <c r="Q57" s="10" t="s">
        <v>23</v>
      </c>
      <c r="R57" s="6" t="s">
        <v>96</v>
      </c>
      <c r="S57" s="10" t="s">
        <v>756</v>
      </c>
      <c r="T57" s="10" t="s">
        <v>46</v>
      </c>
      <c r="U57" s="12">
        <v>410.16</v>
      </c>
      <c r="V57" s="10" t="s">
        <v>23</v>
      </c>
      <c r="W57" s="10" t="s">
        <v>23</v>
      </c>
      <c r="X57" s="12" t="s">
        <v>23</v>
      </c>
      <c r="Y57" s="10" t="s">
        <v>23</v>
      </c>
      <c r="Z57" s="10" t="s">
        <v>23</v>
      </c>
      <c r="AA57" s="10" t="s">
        <v>23</v>
      </c>
      <c r="AB57" s="10" t="s">
        <v>23</v>
      </c>
      <c r="AC57" s="10" t="s">
        <v>757</v>
      </c>
      <c r="AD57" s="10" t="s">
        <v>19</v>
      </c>
      <c r="AE57" s="10" t="s">
        <v>17</v>
      </c>
      <c r="AF57" s="10" t="s">
        <v>758</v>
      </c>
      <c r="AG57" s="14"/>
      <c r="AH57" s="14"/>
      <c r="AI57" s="5"/>
      <c r="AJ57" s="5"/>
      <c r="AK57" s="5"/>
    </row>
    <row r="58" spans="1:37" s="3" customFormat="1" ht="50.1" customHeight="1" x14ac:dyDescent="0.3">
      <c r="A58" s="6">
        <v>981906</v>
      </c>
      <c r="B58" s="6" t="s">
        <v>143</v>
      </c>
      <c r="C58" s="6" t="s">
        <v>759</v>
      </c>
      <c r="D58" s="6" t="s">
        <v>156</v>
      </c>
      <c r="E58" s="230">
        <v>44899</v>
      </c>
      <c r="F58" s="6" t="s">
        <v>760</v>
      </c>
      <c r="G58" s="7" t="s">
        <v>145</v>
      </c>
      <c r="H58" s="6" t="s">
        <v>761</v>
      </c>
      <c r="I58" s="6" t="s">
        <v>762</v>
      </c>
      <c r="J58" s="6" t="s">
        <v>16</v>
      </c>
      <c r="K58" s="6" t="s">
        <v>298</v>
      </c>
      <c r="L58" s="272" t="s">
        <v>763</v>
      </c>
      <c r="M58" s="7" t="s">
        <v>23</v>
      </c>
      <c r="N58" s="273" t="s">
        <v>764</v>
      </c>
      <c r="O58" s="6" t="s">
        <v>765</v>
      </c>
      <c r="P58" s="10" t="s">
        <v>17</v>
      </c>
      <c r="Q58" s="10" t="s">
        <v>17</v>
      </c>
      <c r="R58" s="6" t="s">
        <v>96</v>
      </c>
      <c r="S58" s="11" t="s">
        <v>766</v>
      </c>
      <c r="T58" s="10" t="s">
        <v>59</v>
      </c>
      <c r="U58" s="12" t="s">
        <v>17</v>
      </c>
      <c r="V58" s="6" t="s">
        <v>17</v>
      </c>
      <c r="W58" s="6" t="s">
        <v>17</v>
      </c>
      <c r="X58" s="6" t="s">
        <v>17</v>
      </c>
      <c r="Y58" s="6" t="s">
        <v>17</v>
      </c>
      <c r="Z58" s="6" t="s">
        <v>17</v>
      </c>
      <c r="AA58" s="6" t="s">
        <v>17</v>
      </c>
      <c r="AB58" s="6" t="s">
        <v>17</v>
      </c>
      <c r="AC58" s="10" t="s">
        <v>767</v>
      </c>
      <c r="AD58" s="10" t="s">
        <v>19</v>
      </c>
      <c r="AE58" s="10" t="s">
        <v>17</v>
      </c>
      <c r="AF58" s="6" t="s">
        <v>768</v>
      </c>
      <c r="AG58" s="5"/>
      <c r="AH58" s="5"/>
      <c r="AI58" s="5"/>
      <c r="AJ58" s="5"/>
      <c r="AK58" s="5"/>
    </row>
    <row r="59" spans="1:37" s="3" customFormat="1" ht="50.1" customHeight="1" x14ac:dyDescent="0.3">
      <c r="A59" s="6">
        <v>253519</v>
      </c>
      <c r="B59" s="6" t="s">
        <v>143</v>
      </c>
      <c r="C59" s="6" t="s">
        <v>769</v>
      </c>
      <c r="D59" s="6" t="s">
        <v>159</v>
      </c>
      <c r="E59" s="230">
        <v>39476</v>
      </c>
      <c r="F59" s="6" t="s">
        <v>770</v>
      </c>
      <c r="G59" s="31" t="s">
        <v>147</v>
      </c>
      <c r="H59" s="6" t="s">
        <v>771</v>
      </c>
      <c r="I59" s="6" t="s">
        <v>772</v>
      </c>
      <c r="J59" s="6" t="s">
        <v>16</v>
      </c>
      <c r="K59" s="6" t="s">
        <v>298</v>
      </c>
      <c r="L59" s="6" t="s">
        <v>773</v>
      </c>
      <c r="M59" s="6" t="s">
        <v>23</v>
      </c>
      <c r="N59" s="25" t="s">
        <v>773</v>
      </c>
      <c r="O59" s="6" t="s">
        <v>23</v>
      </c>
      <c r="P59" s="6" t="s">
        <v>23</v>
      </c>
      <c r="Q59" s="6" t="s">
        <v>23</v>
      </c>
      <c r="R59" s="6" t="s">
        <v>96</v>
      </c>
      <c r="S59" s="10" t="s">
        <v>774</v>
      </c>
      <c r="T59" s="10" t="s">
        <v>43</v>
      </c>
      <c r="U59" s="12">
        <v>1235242</v>
      </c>
      <c r="V59" s="10" t="s">
        <v>23</v>
      </c>
      <c r="W59" s="10" t="s">
        <v>23</v>
      </c>
      <c r="X59" s="12">
        <v>1077</v>
      </c>
      <c r="Y59" s="10" t="s">
        <v>23</v>
      </c>
      <c r="Z59" s="13">
        <v>45109</v>
      </c>
      <c r="AA59" s="13" t="s">
        <v>23</v>
      </c>
      <c r="AB59" s="10" t="s">
        <v>23</v>
      </c>
      <c r="AC59" s="10" t="s">
        <v>775</v>
      </c>
      <c r="AD59" s="10" t="s">
        <v>19</v>
      </c>
      <c r="AE59" s="10" t="s">
        <v>17</v>
      </c>
      <c r="AF59" s="6" t="s">
        <v>776</v>
      </c>
      <c r="AG59" s="14"/>
      <c r="AH59" s="14"/>
      <c r="AI59" s="14"/>
      <c r="AJ59" s="14"/>
      <c r="AK59" s="14"/>
    </row>
    <row r="60" spans="1:37" s="3" customFormat="1" ht="50.1" customHeight="1" x14ac:dyDescent="0.3">
      <c r="A60" s="260">
        <v>617718</v>
      </c>
      <c r="B60" s="6" t="s">
        <v>137</v>
      </c>
      <c r="C60" s="260" t="s">
        <v>777</v>
      </c>
      <c r="D60" s="260" t="s">
        <v>139</v>
      </c>
      <c r="E60" s="274">
        <v>43687</v>
      </c>
      <c r="F60" s="260" t="s">
        <v>778</v>
      </c>
      <c r="G60" s="6" t="s">
        <v>29</v>
      </c>
      <c r="H60" s="260" t="s">
        <v>779</v>
      </c>
      <c r="I60" s="275" t="s">
        <v>780</v>
      </c>
      <c r="J60" s="6" t="s">
        <v>16</v>
      </c>
      <c r="K60" s="275" t="s">
        <v>781</v>
      </c>
      <c r="L60" s="260" t="s">
        <v>782</v>
      </c>
      <c r="M60" s="275" t="s">
        <v>17</v>
      </c>
      <c r="N60" s="276" t="s">
        <v>783</v>
      </c>
      <c r="O60" s="260" t="s">
        <v>784</v>
      </c>
      <c r="P60" s="277" t="s">
        <v>17</v>
      </c>
      <c r="Q60" s="275" t="s">
        <v>17</v>
      </c>
      <c r="R60" s="6" t="s">
        <v>17</v>
      </c>
      <c r="S60" s="279" t="s">
        <v>785</v>
      </c>
      <c r="T60" s="278" t="s">
        <v>17</v>
      </c>
      <c r="U60" s="278" t="s">
        <v>17</v>
      </c>
      <c r="V60" s="278" t="s">
        <v>17</v>
      </c>
      <c r="W60" s="278" t="s">
        <v>17</v>
      </c>
      <c r="X60" s="278" t="s">
        <v>17</v>
      </c>
      <c r="Y60" s="278" t="s">
        <v>17</v>
      </c>
      <c r="Z60" s="280" t="s">
        <v>17</v>
      </c>
      <c r="AA60" s="280" t="s">
        <v>17</v>
      </c>
      <c r="AB60" s="281" t="s">
        <v>87</v>
      </c>
      <c r="AC60" s="260" t="s">
        <v>786</v>
      </c>
      <c r="AD60" s="32" t="s">
        <v>82</v>
      </c>
      <c r="AE60" s="10" t="s">
        <v>17</v>
      </c>
      <c r="AF60" s="7" t="s">
        <v>787</v>
      </c>
      <c r="AG60" s="5"/>
      <c r="AH60" s="5"/>
      <c r="AI60" s="5"/>
      <c r="AJ60" s="5"/>
      <c r="AK60" s="5"/>
    </row>
    <row r="61" spans="1:37" s="3" customFormat="1" ht="50.1" customHeight="1" x14ac:dyDescent="0.3">
      <c r="A61" s="6">
        <v>454983</v>
      </c>
      <c r="B61" s="6" t="s">
        <v>31</v>
      </c>
      <c r="C61" s="6" t="s">
        <v>788</v>
      </c>
      <c r="D61" s="7" t="s">
        <v>36</v>
      </c>
      <c r="E61" s="230">
        <v>41775</v>
      </c>
      <c r="F61" s="6" t="s">
        <v>789</v>
      </c>
      <c r="G61" s="16" t="s">
        <v>39</v>
      </c>
      <c r="H61" s="6" t="s">
        <v>296</v>
      </c>
      <c r="I61" s="6" t="s">
        <v>790</v>
      </c>
      <c r="J61" s="6" t="s">
        <v>16</v>
      </c>
      <c r="K61" s="6" t="s">
        <v>298</v>
      </c>
      <c r="L61" s="25" t="s">
        <v>791</v>
      </c>
      <c r="M61" s="6" t="s">
        <v>23</v>
      </c>
      <c r="N61" s="25" t="s">
        <v>791</v>
      </c>
      <c r="O61" s="6" t="s">
        <v>792</v>
      </c>
      <c r="P61" s="10" t="s">
        <v>65</v>
      </c>
      <c r="Q61" s="10" t="s">
        <v>65</v>
      </c>
      <c r="R61" s="6" t="s">
        <v>96</v>
      </c>
      <c r="S61" s="15" t="s">
        <v>793</v>
      </c>
      <c r="T61" s="10" t="s">
        <v>61</v>
      </c>
      <c r="U61" s="12" t="s">
        <v>121</v>
      </c>
      <c r="V61" s="10" t="s">
        <v>65</v>
      </c>
      <c r="W61" s="10" t="s">
        <v>65</v>
      </c>
      <c r="X61" s="10" t="s">
        <v>65</v>
      </c>
      <c r="Y61" s="10" t="s">
        <v>65</v>
      </c>
      <c r="Z61" s="10" t="s">
        <v>794</v>
      </c>
      <c r="AA61" s="10" t="s">
        <v>65</v>
      </c>
      <c r="AB61" s="10" t="s">
        <v>795</v>
      </c>
      <c r="AC61" s="11" t="s">
        <v>796</v>
      </c>
      <c r="AD61" s="10" t="s">
        <v>82</v>
      </c>
      <c r="AE61" s="10" t="s">
        <v>439</v>
      </c>
      <c r="AF61" s="6" t="s">
        <v>797</v>
      </c>
      <c r="AG61" s="5"/>
      <c r="AH61" s="5"/>
      <c r="AI61" s="5"/>
      <c r="AJ61" s="5"/>
      <c r="AK61" s="5"/>
    </row>
    <row r="62" spans="1:37" s="3" customFormat="1" ht="50.1" customHeight="1" x14ac:dyDescent="0.3">
      <c r="A62" s="6">
        <v>269314</v>
      </c>
      <c r="B62" s="6" t="s">
        <v>143</v>
      </c>
      <c r="C62" s="6" t="s">
        <v>798</v>
      </c>
      <c r="D62" s="6" t="s">
        <v>149</v>
      </c>
      <c r="E62" s="230">
        <v>39304</v>
      </c>
      <c r="F62" s="6" t="s">
        <v>799</v>
      </c>
      <c r="G62" s="6" t="s">
        <v>147</v>
      </c>
      <c r="H62" s="6" t="s">
        <v>800</v>
      </c>
      <c r="I62" s="6" t="s">
        <v>801</v>
      </c>
      <c r="J62" s="6" t="s">
        <v>16</v>
      </c>
      <c r="K62" s="6" t="s">
        <v>327</v>
      </c>
      <c r="L62" s="6" t="s">
        <v>802</v>
      </c>
      <c r="M62" s="6" t="s">
        <v>23</v>
      </c>
      <c r="N62" s="25" t="s">
        <v>802</v>
      </c>
      <c r="O62" s="6" t="s">
        <v>803</v>
      </c>
      <c r="P62" s="10" t="s">
        <v>23</v>
      </c>
      <c r="Q62" s="10" t="s">
        <v>23</v>
      </c>
      <c r="R62" s="6" t="s">
        <v>96</v>
      </c>
      <c r="S62" s="11">
        <v>1539</v>
      </c>
      <c r="T62" s="10" t="s">
        <v>68</v>
      </c>
      <c r="U62" s="12" t="s">
        <v>23</v>
      </c>
      <c r="V62" s="10" t="s">
        <v>23</v>
      </c>
      <c r="W62" s="10" t="s">
        <v>23</v>
      </c>
      <c r="X62" s="12">
        <v>3600</v>
      </c>
      <c r="Y62" s="10" t="s">
        <v>23</v>
      </c>
      <c r="Z62" s="13">
        <v>42889</v>
      </c>
      <c r="AA62" s="13" t="s">
        <v>804</v>
      </c>
      <c r="AB62" s="13" t="s">
        <v>23</v>
      </c>
      <c r="AC62" s="10" t="s">
        <v>805</v>
      </c>
      <c r="AD62" s="6" t="s">
        <v>22</v>
      </c>
      <c r="AE62" s="10" t="s">
        <v>17</v>
      </c>
      <c r="AF62" s="6" t="s">
        <v>806</v>
      </c>
      <c r="AG62" s="282"/>
      <c r="AH62" s="282"/>
      <c r="AI62" s="5"/>
      <c r="AJ62" s="5"/>
      <c r="AK62" s="5"/>
    </row>
    <row r="63" spans="1:37" s="3" customFormat="1" ht="50.1" customHeight="1" x14ac:dyDescent="0.3">
      <c r="A63" s="199">
        <v>744472</v>
      </c>
      <c r="B63" s="199" t="s">
        <v>143</v>
      </c>
      <c r="C63" s="199" t="s">
        <v>807</v>
      </c>
      <c r="D63" s="199" t="s">
        <v>149</v>
      </c>
      <c r="E63" s="236">
        <v>44907</v>
      </c>
      <c r="F63" s="199" t="s">
        <v>808</v>
      </c>
      <c r="G63" s="199" t="s">
        <v>15</v>
      </c>
      <c r="H63" s="199" t="s">
        <v>809</v>
      </c>
      <c r="I63" s="199" t="s">
        <v>810</v>
      </c>
      <c r="J63" s="6" t="s">
        <v>16</v>
      </c>
      <c r="K63" s="199" t="s">
        <v>327</v>
      </c>
      <c r="L63" s="199" t="s">
        <v>811</v>
      </c>
      <c r="M63" s="199" t="s">
        <v>17</v>
      </c>
      <c r="N63" s="220" t="s">
        <v>812</v>
      </c>
      <c r="O63" s="199" t="s">
        <v>813</v>
      </c>
      <c r="P63" s="199" t="s">
        <v>17</v>
      </c>
      <c r="Q63" s="199" t="s">
        <v>17</v>
      </c>
      <c r="R63" s="6" t="s">
        <v>96</v>
      </c>
      <c r="S63" s="199" t="s">
        <v>814</v>
      </c>
      <c r="T63" s="10" t="s">
        <v>43</v>
      </c>
      <c r="U63" s="199">
        <v>723.9</v>
      </c>
      <c r="V63" s="199" t="s">
        <v>17</v>
      </c>
      <c r="W63" s="199" t="s">
        <v>17</v>
      </c>
      <c r="X63" s="199" t="s">
        <v>17</v>
      </c>
      <c r="Y63" s="199" t="s">
        <v>17</v>
      </c>
      <c r="Z63" s="199" t="s">
        <v>17</v>
      </c>
      <c r="AA63" s="199" t="s">
        <v>17</v>
      </c>
      <c r="AB63" s="199" t="s">
        <v>17</v>
      </c>
      <c r="AC63" s="199" t="s">
        <v>815</v>
      </c>
      <c r="AD63" s="199" t="s">
        <v>19</v>
      </c>
      <c r="AE63" s="10" t="s">
        <v>17</v>
      </c>
      <c r="AF63" s="199" t="s">
        <v>816</v>
      </c>
      <c r="AG63" s="140"/>
      <c r="AH63" s="140"/>
      <c r="AI63" s="5"/>
      <c r="AJ63" s="5"/>
      <c r="AK63" s="5"/>
    </row>
    <row r="64" spans="1:37" ht="50.1" customHeight="1" x14ac:dyDescent="0.3">
      <c r="A64" s="6">
        <v>701108</v>
      </c>
      <c r="B64" s="6" t="s">
        <v>143</v>
      </c>
      <c r="C64" s="6" t="s">
        <v>817</v>
      </c>
      <c r="D64" s="156" t="s">
        <v>144</v>
      </c>
      <c r="E64" s="230">
        <v>44497</v>
      </c>
      <c r="F64" s="6" t="s">
        <v>818</v>
      </c>
      <c r="G64" s="7" t="s">
        <v>145</v>
      </c>
      <c r="H64" s="6" t="s">
        <v>762</v>
      </c>
      <c r="I64" s="6" t="s">
        <v>819</v>
      </c>
      <c r="J64" s="6" t="s">
        <v>16</v>
      </c>
      <c r="K64" s="6" t="s">
        <v>298</v>
      </c>
      <c r="L64" s="6" t="s">
        <v>820</v>
      </c>
      <c r="M64" s="7" t="s">
        <v>23</v>
      </c>
      <c r="N64" s="25" t="s">
        <v>821</v>
      </c>
      <c r="O64" s="6" t="s">
        <v>822</v>
      </c>
      <c r="P64" s="10" t="s">
        <v>17</v>
      </c>
      <c r="Q64" s="10" t="s">
        <v>17</v>
      </c>
      <c r="R64" s="6" t="s">
        <v>96</v>
      </c>
      <c r="S64" s="11" t="s">
        <v>823</v>
      </c>
      <c r="T64" s="10" t="s">
        <v>41</v>
      </c>
      <c r="U64" s="12" t="s">
        <v>161</v>
      </c>
      <c r="V64" s="6" t="s">
        <v>17</v>
      </c>
      <c r="W64" s="6" t="s">
        <v>17</v>
      </c>
      <c r="X64" s="6" t="s">
        <v>17</v>
      </c>
      <c r="Y64" s="6" t="s">
        <v>17</v>
      </c>
      <c r="Z64" s="6" t="s">
        <v>17</v>
      </c>
      <c r="AA64" s="6" t="s">
        <v>17</v>
      </c>
      <c r="AB64" s="6" t="s">
        <v>17</v>
      </c>
      <c r="AC64" s="10" t="s">
        <v>824</v>
      </c>
      <c r="AD64" s="10" t="s">
        <v>19</v>
      </c>
      <c r="AE64" s="10" t="s">
        <v>17</v>
      </c>
      <c r="AF64" s="6" t="s">
        <v>768</v>
      </c>
      <c r="AG64" s="3"/>
      <c r="AH64" s="3"/>
      <c r="AI64" s="5"/>
      <c r="AJ64" s="5"/>
      <c r="AK64" s="5"/>
    </row>
    <row r="65" spans="1:37" s="3" customFormat="1" ht="50.1" customHeight="1" x14ac:dyDescent="0.3">
      <c r="A65" s="6">
        <v>462173</v>
      </c>
      <c r="B65" s="6" t="s">
        <v>228</v>
      </c>
      <c r="C65" s="6" t="s">
        <v>825</v>
      </c>
      <c r="D65" s="6" t="s">
        <v>228</v>
      </c>
      <c r="E65" s="230">
        <v>41648</v>
      </c>
      <c r="F65" s="6" t="s">
        <v>585</v>
      </c>
      <c r="G65" s="31" t="s">
        <v>229</v>
      </c>
      <c r="H65" s="6" t="s">
        <v>296</v>
      </c>
      <c r="I65" s="6" t="s">
        <v>826</v>
      </c>
      <c r="J65" s="6" t="s">
        <v>16</v>
      </c>
      <c r="K65" s="6" t="s">
        <v>316</v>
      </c>
      <c r="L65" s="6" t="s">
        <v>822</v>
      </c>
      <c r="M65" s="6" t="s">
        <v>588</v>
      </c>
      <c r="N65" s="25" t="s">
        <v>827</v>
      </c>
      <c r="O65" s="6" t="s">
        <v>822</v>
      </c>
      <c r="P65" s="6" t="s">
        <v>23</v>
      </c>
      <c r="Q65" s="6" t="s">
        <v>23</v>
      </c>
      <c r="R65" s="6" t="s">
        <v>96</v>
      </c>
      <c r="S65" s="15" t="s">
        <v>828</v>
      </c>
      <c r="T65" s="10" t="s">
        <v>41</v>
      </c>
      <c r="U65" s="12" t="s">
        <v>23</v>
      </c>
      <c r="V65" s="6" t="s">
        <v>23</v>
      </c>
      <c r="W65" s="6" t="s">
        <v>23</v>
      </c>
      <c r="X65" s="10" t="s">
        <v>23</v>
      </c>
      <c r="Y65" s="10" t="s">
        <v>23</v>
      </c>
      <c r="Z65" s="10" t="s">
        <v>23</v>
      </c>
      <c r="AA65" s="10" t="s">
        <v>23</v>
      </c>
      <c r="AB65" s="10" t="s">
        <v>23</v>
      </c>
      <c r="AC65" s="11" t="s">
        <v>645</v>
      </c>
      <c r="AD65" s="10" t="s">
        <v>19</v>
      </c>
      <c r="AE65" s="10" t="s">
        <v>17</v>
      </c>
      <c r="AF65" s="6" t="s">
        <v>423</v>
      </c>
      <c r="AG65" s="5"/>
      <c r="AH65" s="5"/>
      <c r="AI65" s="14"/>
      <c r="AJ65" s="14"/>
      <c r="AK65" s="14"/>
    </row>
    <row r="66" spans="1:37" s="3" customFormat="1" ht="50.1" customHeight="1" x14ac:dyDescent="0.3">
      <c r="A66" s="7">
        <v>597928</v>
      </c>
      <c r="B66" s="7" t="s">
        <v>143</v>
      </c>
      <c r="C66" s="7" t="s">
        <v>829</v>
      </c>
      <c r="D66" s="6" t="s">
        <v>144</v>
      </c>
      <c r="E66" s="241">
        <v>43333</v>
      </c>
      <c r="F66" s="7" t="s">
        <v>830</v>
      </c>
      <c r="G66" s="7" t="s">
        <v>145</v>
      </c>
      <c r="H66" s="7" t="s">
        <v>831</v>
      </c>
      <c r="I66" s="7" t="s">
        <v>832</v>
      </c>
      <c r="J66" s="6" t="s">
        <v>16</v>
      </c>
      <c r="K66" s="6" t="s">
        <v>298</v>
      </c>
      <c r="L66" s="7" t="s">
        <v>307</v>
      </c>
      <c r="M66" s="7" t="s">
        <v>17</v>
      </c>
      <c r="N66" s="36" t="s">
        <v>833</v>
      </c>
      <c r="O66" s="7" t="s">
        <v>834</v>
      </c>
      <c r="P66" s="7" t="s">
        <v>17</v>
      </c>
      <c r="Q66" s="7" t="s">
        <v>17</v>
      </c>
      <c r="R66" s="6" t="s">
        <v>96</v>
      </c>
      <c r="S66" s="7" t="s">
        <v>835</v>
      </c>
      <c r="T66" s="7" t="s">
        <v>41</v>
      </c>
      <c r="U66" s="7" t="s">
        <v>17</v>
      </c>
      <c r="V66" s="7" t="s">
        <v>17</v>
      </c>
      <c r="W66" s="7" t="s">
        <v>17</v>
      </c>
      <c r="X66" s="7" t="s">
        <v>17</v>
      </c>
      <c r="Y66" s="7" t="s">
        <v>17</v>
      </c>
      <c r="Z66" s="7" t="s">
        <v>17</v>
      </c>
      <c r="AA66" s="7" t="s">
        <v>17</v>
      </c>
      <c r="AB66" s="7" t="s">
        <v>836</v>
      </c>
      <c r="AC66" s="7" t="s">
        <v>837</v>
      </c>
      <c r="AD66" s="7" t="s">
        <v>24</v>
      </c>
      <c r="AE66" s="10" t="s">
        <v>17</v>
      </c>
      <c r="AF66" s="7" t="s">
        <v>19</v>
      </c>
      <c r="AG66" s="5"/>
      <c r="AH66" s="5"/>
      <c r="AI66" s="5"/>
      <c r="AJ66" s="5"/>
      <c r="AK66" s="5"/>
    </row>
    <row r="67" spans="1:37" ht="50.1" customHeight="1" x14ac:dyDescent="0.3">
      <c r="A67" s="6">
        <v>271844</v>
      </c>
      <c r="B67" s="6" t="s">
        <v>143</v>
      </c>
      <c r="C67" s="6" t="s">
        <v>838</v>
      </c>
      <c r="D67" s="6" t="s">
        <v>159</v>
      </c>
      <c r="E67" s="230">
        <v>39433</v>
      </c>
      <c r="F67" s="6" t="s">
        <v>839</v>
      </c>
      <c r="G67" s="31" t="s">
        <v>147</v>
      </c>
      <c r="H67" s="6" t="s">
        <v>840</v>
      </c>
      <c r="I67" s="6" t="s">
        <v>841</v>
      </c>
      <c r="J67" s="6" t="s">
        <v>16</v>
      </c>
      <c r="K67" s="6" t="s">
        <v>298</v>
      </c>
      <c r="L67" s="6" t="s">
        <v>842</v>
      </c>
      <c r="M67" s="6" t="s">
        <v>23</v>
      </c>
      <c r="N67" s="25" t="s">
        <v>842</v>
      </c>
      <c r="O67" s="6" t="s">
        <v>23</v>
      </c>
      <c r="P67" s="10">
        <v>10000000</v>
      </c>
      <c r="Q67" s="6" t="s">
        <v>23</v>
      </c>
      <c r="R67" s="6" t="s">
        <v>96</v>
      </c>
      <c r="S67" s="10" t="s">
        <v>843</v>
      </c>
      <c r="T67" s="32" t="s">
        <v>38</v>
      </c>
      <c r="U67" s="12" t="s">
        <v>23</v>
      </c>
      <c r="V67" s="10" t="s">
        <v>23</v>
      </c>
      <c r="W67" s="10" t="s">
        <v>23</v>
      </c>
      <c r="X67" s="12" t="s">
        <v>23</v>
      </c>
      <c r="Y67" s="10" t="s">
        <v>23</v>
      </c>
      <c r="Z67" s="13">
        <v>40954</v>
      </c>
      <c r="AA67" s="13">
        <v>41166</v>
      </c>
      <c r="AB67" s="10" t="s">
        <v>23</v>
      </c>
      <c r="AC67" s="10" t="s">
        <v>844</v>
      </c>
      <c r="AD67" s="10" t="s">
        <v>19</v>
      </c>
      <c r="AE67" s="10" t="s">
        <v>17</v>
      </c>
      <c r="AF67" s="10" t="s">
        <v>845</v>
      </c>
      <c r="AG67" s="5"/>
      <c r="AH67" s="5"/>
      <c r="AI67" s="14"/>
      <c r="AJ67" s="14"/>
      <c r="AK67" s="14"/>
    </row>
    <row r="68" spans="1:37" s="3" customFormat="1" ht="50.1" customHeight="1" x14ac:dyDescent="0.3">
      <c r="A68" s="91">
        <v>768030</v>
      </c>
      <c r="B68" s="6" t="s">
        <v>137</v>
      </c>
      <c r="C68" s="6" t="s">
        <v>846</v>
      </c>
      <c r="D68" s="6" t="s">
        <v>248</v>
      </c>
      <c r="E68" s="230">
        <v>45187</v>
      </c>
      <c r="F68" s="6" t="s">
        <v>847</v>
      </c>
      <c r="G68" s="6" t="s">
        <v>29</v>
      </c>
      <c r="H68" s="91" t="s">
        <v>296</v>
      </c>
      <c r="I68" s="6" t="s">
        <v>848</v>
      </c>
      <c r="J68" s="6" t="s">
        <v>16</v>
      </c>
      <c r="K68" s="6" t="s">
        <v>298</v>
      </c>
      <c r="L68" s="75" t="s">
        <v>849</v>
      </c>
      <c r="M68" s="7" t="s">
        <v>17</v>
      </c>
      <c r="N68" s="283" t="s">
        <v>850</v>
      </c>
      <c r="O68" s="75" t="s">
        <v>851</v>
      </c>
      <c r="P68" s="258" t="s">
        <v>17</v>
      </c>
      <c r="Q68" s="258" t="s">
        <v>17</v>
      </c>
      <c r="R68" s="60" t="s">
        <v>148</v>
      </c>
      <c r="S68" s="259" t="s">
        <v>852</v>
      </c>
      <c r="T68" s="32" t="s">
        <v>38</v>
      </c>
      <c r="U68" s="258" t="s">
        <v>155</v>
      </c>
      <c r="V68" s="258" t="s">
        <v>17</v>
      </c>
      <c r="W68" s="258" t="s">
        <v>17</v>
      </c>
      <c r="X68" s="258" t="s">
        <v>17</v>
      </c>
      <c r="Y68" s="258" t="s">
        <v>17</v>
      </c>
      <c r="Z68" s="258" t="s">
        <v>853</v>
      </c>
      <c r="AA68" s="258" t="s">
        <v>853</v>
      </c>
      <c r="AB68" s="258" t="s">
        <v>853</v>
      </c>
      <c r="AC68" s="199" t="s">
        <v>854</v>
      </c>
      <c r="AD68" s="258" t="s">
        <v>19</v>
      </c>
      <c r="AE68" s="258" t="s">
        <v>439</v>
      </c>
      <c r="AF68" s="111" t="s">
        <v>855</v>
      </c>
      <c r="AG68" s="5"/>
      <c r="AH68" s="5"/>
      <c r="AI68" s="140"/>
      <c r="AJ68" s="140"/>
      <c r="AK68" s="140"/>
    </row>
    <row r="69" spans="1:37" s="3" customFormat="1" ht="50.1" customHeight="1" x14ac:dyDescent="0.3">
      <c r="A69" s="6">
        <v>417849</v>
      </c>
      <c r="B69" s="6" t="s">
        <v>31</v>
      </c>
      <c r="C69" s="6" t="s">
        <v>856</v>
      </c>
      <c r="D69" s="7" t="s">
        <v>36</v>
      </c>
      <c r="E69" s="230">
        <v>41477</v>
      </c>
      <c r="F69" s="6" t="s">
        <v>857</v>
      </c>
      <c r="G69" s="9" t="s">
        <v>33</v>
      </c>
      <c r="H69" s="6" t="s">
        <v>296</v>
      </c>
      <c r="I69" s="6" t="s">
        <v>858</v>
      </c>
      <c r="J69" s="6" t="s">
        <v>16</v>
      </c>
      <c r="K69" s="6" t="s">
        <v>298</v>
      </c>
      <c r="L69" s="6" t="s">
        <v>444</v>
      </c>
      <c r="M69" s="6" t="s">
        <v>23</v>
      </c>
      <c r="N69" s="25" t="s">
        <v>859</v>
      </c>
      <c r="O69" s="6" t="s">
        <v>860</v>
      </c>
      <c r="P69" s="10" t="s">
        <v>23</v>
      </c>
      <c r="Q69" s="10" t="s">
        <v>23</v>
      </c>
      <c r="R69" s="6" t="s">
        <v>96</v>
      </c>
      <c r="S69" s="15" t="s">
        <v>861</v>
      </c>
      <c r="T69" s="10" t="s">
        <v>59</v>
      </c>
      <c r="U69" s="12">
        <f>2001.59+1802.87</f>
        <v>3804.46</v>
      </c>
      <c r="V69" s="10" t="s">
        <v>23</v>
      </c>
      <c r="W69" s="10" t="s">
        <v>23</v>
      </c>
      <c r="X69" s="10" t="s">
        <v>23</v>
      </c>
      <c r="Y69" s="10" t="s">
        <v>23</v>
      </c>
      <c r="Z69" s="10" t="s">
        <v>862</v>
      </c>
      <c r="AA69" s="10" t="s">
        <v>862</v>
      </c>
      <c r="AB69" s="10" t="s">
        <v>862</v>
      </c>
      <c r="AC69" s="10" t="s">
        <v>863</v>
      </c>
      <c r="AD69" s="10" t="s">
        <v>82</v>
      </c>
      <c r="AE69" s="10" t="s">
        <v>439</v>
      </c>
      <c r="AF69" s="10" t="s">
        <v>864</v>
      </c>
      <c r="AG69" s="14"/>
      <c r="AH69" s="14"/>
      <c r="AI69" s="14"/>
      <c r="AJ69" s="14"/>
      <c r="AK69" s="14"/>
    </row>
    <row r="70" spans="1:37" s="3" customFormat="1" ht="50.1" customHeight="1" x14ac:dyDescent="0.3">
      <c r="A70" s="6">
        <v>55135</v>
      </c>
      <c r="B70" s="6" t="s">
        <v>143</v>
      </c>
      <c r="C70" s="6" t="s">
        <v>865</v>
      </c>
      <c r="D70" s="6" t="s">
        <v>149</v>
      </c>
      <c r="E70" s="230">
        <v>37575</v>
      </c>
      <c r="F70" s="6" t="s">
        <v>866</v>
      </c>
      <c r="G70" s="6" t="s">
        <v>15</v>
      </c>
      <c r="H70" s="6" t="s">
        <v>867</v>
      </c>
      <c r="I70" s="6" t="s">
        <v>868</v>
      </c>
      <c r="J70" s="6" t="s">
        <v>16</v>
      </c>
      <c r="K70" s="6" t="s">
        <v>327</v>
      </c>
      <c r="L70" s="6" t="s">
        <v>869</v>
      </c>
      <c r="M70" s="6" t="s">
        <v>23</v>
      </c>
      <c r="N70" s="25" t="s">
        <v>869</v>
      </c>
      <c r="O70" s="6" t="s">
        <v>860</v>
      </c>
      <c r="P70" s="10" t="s">
        <v>23</v>
      </c>
      <c r="Q70" s="10" t="s">
        <v>23</v>
      </c>
      <c r="R70" s="6" t="s">
        <v>96</v>
      </c>
      <c r="S70" s="10" t="s">
        <v>870</v>
      </c>
      <c r="T70" s="10" t="s">
        <v>59</v>
      </c>
      <c r="U70" s="12" t="s">
        <v>23</v>
      </c>
      <c r="V70" s="10" t="s">
        <v>23</v>
      </c>
      <c r="W70" s="10" t="s">
        <v>23</v>
      </c>
      <c r="X70" s="12">
        <v>2001</v>
      </c>
      <c r="Y70" s="10" t="s">
        <v>23</v>
      </c>
      <c r="Z70" s="13" t="s">
        <v>23</v>
      </c>
      <c r="AA70" s="13" t="s">
        <v>23</v>
      </c>
      <c r="AB70" s="13" t="s">
        <v>23</v>
      </c>
      <c r="AC70" s="10" t="s">
        <v>871</v>
      </c>
      <c r="AD70" s="10" t="s">
        <v>19</v>
      </c>
      <c r="AE70" s="10" t="s">
        <v>17</v>
      </c>
      <c r="AF70" s="6" t="s">
        <v>872</v>
      </c>
      <c r="AG70" s="5"/>
      <c r="AH70" s="5"/>
      <c r="AI70" s="14"/>
      <c r="AJ70" s="14"/>
      <c r="AK70" s="14"/>
    </row>
    <row r="71" spans="1:37" s="3" customFormat="1" ht="50.1" customHeight="1" x14ac:dyDescent="0.3">
      <c r="A71" s="6">
        <v>429265</v>
      </c>
      <c r="B71" s="6" t="s">
        <v>137</v>
      </c>
      <c r="C71" s="6" t="s">
        <v>873</v>
      </c>
      <c r="D71" s="6" t="s">
        <v>243</v>
      </c>
      <c r="E71" s="230">
        <v>41540</v>
      </c>
      <c r="F71" s="6" t="s">
        <v>295</v>
      </c>
      <c r="G71" s="6" t="s">
        <v>29</v>
      </c>
      <c r="H71" s="6" t="s">
        <v>874</v>
      </c>
      <c r="I71" s="6" t="s">
        <v>875</v>
      </c>
      <c r="J71" s="6" t="s">
        <v>16</v>
      </c>
      <c r="K71" s="6" t="s">
        <v>327</v>
      </c>
      <c r="L71" s="6" t="s">
        <v>876</v>
      </c>
      <c r="M71" s="6" t="s">
        <v>23</v>
      </c>
      <c r="N71" s="25" t="s">
        <v>876</v>
      </c>
      <c r="O71" s="6" t="s">
        <v>860</v>
      </c>
      <c r="P71" s="6" t="s">
        <v>23</v>
      </c>
      <c r="Q71" s="6" t="s">
        <v>23</v>
      </c>
      <c r="R71" s="6" t="s">
        <v>96</v>
      </c>
      <c r="S71" s="10" t="s">
        <v>870</v>
      </c>
      <c r="T71" s="10" t="s">
        <v>59</v>
      </c>
      <c r="U71" s="12" t="s">
        <v>23</v>
      </c>
      <c r="V71" s="6" t="s">
        <v>23</v>
      </c>
      <c r="W71" s="6" t="s">
        <v>23</v>
      </c>
      <c r="X71" s="12">
        <v>1836.93</v>
      </c>
      <c r="Y71" s="10">
        <v>287885975</v>
      </c>
      <c r="Z71" s="13">
        <v>43103</v>
      </c>
      <c r="AA71" s="10" t="s">
        <v>23</v>
      </c>
      <c r="AB71" s="10" t="s">
        <v>23</v>
      </c>
      <c r="AC71" s="10" t="s">
        <v>877</v>
      </c>
      <c r="AD71" s="10" t="s">
        <v>19</v>
      </c>
      <c r="AE71" s="10" t="s">
        <v>17</v>
      </c>
      <c r="AF71" s="10" t="s">
        <v>302</v>
      </c>
      <c r="AG71" s="14"/>
      <c r="AH71" s="14"/>
      <c r="AI71" s="5"/>
      <c r="AJ71" s="5"/>
      <c r="AK71" s="5"/>
    </row>
    <row r="72" spans="1:37" s="3" customFormat="1" ht="50.1" customHeight="1" x14ac:dyDescent="0.3">
      <c r="A72" s="6">
        <v>289508</v>
      </c>
      <c r="B72" s="6" t="s">
        <v>143</v>
      </c>
      <c r="C72" s="6" t="s">
        <v>878</v>
      </c>
      <c r="D72" s="6" t="s">
        <v>159</v>
      </c>
      <c r="E72" s="230">
        <v>39279</v>
      </c>
      <c r="F72" s="6" t="s">
        <v>879</v>
      </c>
      <c r="G72" s="31" t="s">
        <v>147</v>
      </c>
      <c r="H72" s="6" t="s">
        <v>296</v>
      </c>
      <c r="I72" s="6" t="s">
        <v>880</v>
      </c>
      <c r="J72" s="6" t="s">
        <v>16</v>
      </c>
      <c r="K72" s="6" t="s">
        <v>298</v>
      </c>
      <c r="L72" s="6" t="s">
        <v>881</v>
      </c>
      <c r="M72" s="6" t="s">
        <v>23</v>
      </c>
      <c r="N72" s="25" t="s">
        <v>881</v>
      </c>
      <c r="O72" s="6" t="s">
        <v>23</v>
      </c>
      <c r="P72" s="10" t="s">
        <v>23</v>
      </c>
      <c r="Q72" s="10" t="s">
        <v>23</v>
      </c>
      <c r="R72" s="60" t="s">
        <v>148</v>
      </c>
      <c r="S72" s="11" t="s">
        <v>882</v>
      </c>
      <c r="T72" s="10" t="s">
        <v>18</v>
      </c>
      <c r="U72" s="12">
        <v>234.2</v>
      </c>
      <c r="V72" s="10" t="s">
        <v>23</v>
      </c>
      <c r="W72" s="10" t="s">
        <v>23</v>
      </c>
      <c r="X72" s="12" t="s">
        <v>23</v>
      </c>
      <c r="Y72" s="10" t="s">
        <v>23</v>
      </c>
      <c r="Z72" s="13">
        <v>43888</v>
      </c>
      <c r="AA72" s="13" t="s">
        <v>23</v>
      </c>
      <c r="AB72" s="10" t="s">
        <v>23</v>
      </c>
      <c r="AC72" s="10" t="s">
        <v>883</v>
      </c>
      <c r="AD72" s="10" t="s">
        <v>19</v>
      </c>
      <c r="AE72" s="10" t="s">
        <v>17</v>
      </c>
      <c r="AF72" s="6" t="s">
        <v>884</v>
      </c>
      <c r="AG72" s="5"/>
      <c r="AH72" s="5"/>
      <c r="AI72" s="14"/>
      <c r="AJ72" s="14"/>
      <c r="AK72" s="14"/>
    </row>
    <row r="73" spans="1:37" s="3" customFormat="1" ht="50.1" customHeight="1" x14ac:dyDescent="0.3">
      <c r="A73" s="7">
        <v>557345</v>
      </c>
      <c r="B73" s="7" t="s">
        <v>143</v>
      </c>
      <c r="C73" s="7" t="s">
        <v>885</v>
      </c>
      <c r="D73" s="7" t="s">
        <v>162</v>
      </c>
      <c r="E73" s="241">
        <v>42850</v>
      </c>
      <c r="F73" s="7" t="s">
        <v>886</v>
      </c>
      <c r="G73" s="6" t="s">
        <v>15</v>
      </c>
      <c r="H73" s="7" t="s">
        <v>296</v>
      </c>
      <c r="I73" s="6" t="s">
        <v>887</v>
      </c>
      <c r="J73" s="6" t="s">
        <v>16</v>
      </c>
      <c r="K73" s="6" t="s">
        <v>298</v>
      </c>
      <c r="L73" s="7" t="s">
        <v>888</v>
      </c>
      <c r="M73" s="6" t="s">
        <v>23</v>
      </c>
      <c r="N73" s="36" t="s">
        <v>889</v>
      </c>
      <c r="O73" s="6" t="s">
        <v>17</v>
      </c>
      <c r="P73" s="6" t="s">
        <v>17</v>
      </c>
      <c r="Q73" s="6" t="s">
        <v>17</v>
      </c>
      <c r="R73" s="60" t="s">
        <v>148</v>
      </c>
      <c r="S73" s="6" t="s">
        <v>890</v>
      </c>
      <c r="T73" s="10" t="s">
        <v>46</v>
      </c>
      <c r="U73" s="6">
        <v>321.16000000000003</v>
      </c>
      <c r="V73" s="6" t="s">
        <v>17</v>
      </c>
      <c r="W73" s="6" t="s">
        <v>17</v>
      </c>
      <c r="X73" s="6" t="s">
        <v>17</v>
      </c>
      <c r="Y73" s="6" t="s">
        <v>17</v>
      </c>
      <c r="Z73" s="6" t="s">
        <v>17</v>
      </c>
      <c r="AA73" s="6" t="s">
        <v>17</v>
      </c>
      <c r="AB73" s="6" t="s">
        <v>17</v>
      </c>
      <c r="AC73" s="7" t="s">
        <v>891</v>
      </c>
      <c r="AD73" s="10" t="s">
        <v>19</v>
      </c>
      <c r="AE73" s="10" t="s">
        <v>17</v>
      </c>
      <c r="AF73" s="7" t="s">
        <v>892</v>
      </c>
      <c r="AG73" s="5"/>
      <c r="AH73" s="5"/>
      <c r="AI73" s="14"/>
      <c r="AJ73" s="14"/>
      <c r="AK73" s="14"/>
    </row>
    <row r="74" spans="1:37" s="3" customFormat="1" ht="50.1" customHeight="1" x14ac:dyDescent="0.3">
      <c r="A74" s="23">
        <v>742520</v>
      </c>
      <c r="B74" s="23" t="s">
        <v>143</v>
      </c>
      <c r="C74" s="23" t="s">
        <v>893</v>
      </c>
      <c r="D74" s="156" t="s">
        <v>144</v>
      </c>
      <c r="E74" s="284">
        <v>43315</v>
      </c>
      <c r="F74" s="23" t="s">
        <v>894</v>
      </c>
      <c r="G74" s="100" t="s">
        <v>15</v>
      </c>
      <c r="H74" s="23" t="s">
        <v>895</v>
      </c>
      <c r="I74" s="6" t="s">
        <v>896</v>
      </c>
      <c r="J74" s="6" t="s">
        <v>16</v>
      </c>
      <c r="K74" s="6" t="s">
        <v>327</v>
      </c>
      <c r="L74" s="23" t="s">
        <v>35</v>
      </c>
      <c r="M74" s="23" t="s">
        <v>17</v>
      </c>
      <c r="N74" s="39" t="s">
        <v>897</v>
      </c>
      <c r="O74" s="23" t="s">
        <v>898</v>
      </c>
      <c r="P74" s="6" t="s">
        <v>17</v>
      </c>
      <c r="Q74" s="6" t="s">
        <v>17</v>
      </c>
      <c r="R74" s="10" t="s">
        <v>163</v>
      </c>
      <c r="S74" s="23" t="s">
        <v>899</v>
      </c>
      <c r="T74" s="23" t="s">
        <v>68</v>
      </c>
      <c r="U74" s="23" t="s">
        <v>164</v>
      </c>
      <c r="V74" s="23" t="s">
        <v>17</v>
      </c>
      <c r="W74" s="23" t="s">
        <v>17</v>
      </c>
      <c r="X74" s="23" t="s">
        <v>17</v>
      </c>
      <c r="Y74" s="23" t="s">
        <v>17</v>
      </c>
      <c r="Z74" s="23" t="s">
        <v>853</v>
      </c>
      <c r="AA74" s="23" t="s">
        <v>853</v>
      </c>
      <c r="AB74" s="23" t="s">
        <v>17</v>
      </c>
      <c r="AC74" s="23" t="s">
        <v>900</v>
      </c>
      <c r="AD74" s="23" t="s">
        <v>19</v>
      </c>
      <c r="AE74" s="10" t="s">
        <v>17</v>
      </c>
      <c r="AF74" s="23" t="s">
        <v>901</v>
      </c>
      <c r="AG74" s="5"/>
      <c r="AH74" s="5"/>
      <c r="AI74" s="5"/>
      <c r="AJ74" s="5"/>
      <c r="AK74" s="5"/>
    </row>
    <row r="75" spans="1:37" s="3" customFormat="1" ht="50.1" customHeight="1" x14ac:dyDescent="0.3">
      <c r="A75" s="23">
        <v>731366</v>
      </c>
      <c r="B75" s="23" t="s">
        <v>143</v>
      </c>
      <c r="C75" s="285" t="s">
        <v>902</v>
      </c>
      <c r="D75" s="156" t="s">
        <v>144</v>
      </c>
      <c r="E75" s="240">
        <v>45231</v>
      </c>
      <c r="F75" s="23" t="s">
        <v>903</v>
      </c>
      <c r="G75" s="6" t="s">
        <v>15</v>
      </c>
      <c r="H75" s="6" t="s">
        <v>904</v>
      </c>
      <c r="I75" s="6" t="s">
        <v>905</v>
      </c>
      <c r="J75" s="6" t="s">
        <v>16</v>
      </c>
      <c r="K75" s="6" t="s">
        <v>298</v>
      </c>
      <c r="L75" s="23" t="s">
        <v>906</v>
      </c>
      <c r="M75" s="7" t="s">
        <v>17</v>
      </c>
      <c r="N75" s="39" t="s">
        <v>907</v>
      </c>
      <c r="O75" s="23" t="s">
        <v>908</v>
      </c>
      <c r="P75" s="6" t="s">
        <v>17</v>
      </c>
      <c r="Q75" s="6" t="s">
        <v>17</v>
      </c>
      <c r="R75" s="60" t="s">
        <v>148</v>
      </c>
      <c r="S75" s="6" t="s">
        <v>899</v>
      </c>
      <c r="T75" s="23" t="s">
        <v>68</v>
      </c>
      <c r="U75" s="23" t="s">
        <v>165</v>
      </c>
      <c r="V75" s="23" t="s">
        <v>17</v>
      </c>
      <c r="W75" s="23" t="s">
        <v>17</v>
      </c>
      <c r="X75" s="23" t="s">
        <v>17</v>
      </c>
      <c r="Y75" s="23" t="s">
        <v>17</v>
      </c>
      <c r="Z75" s="23" t="s">
        <v>19</v>
      </c>
      <c r="AA75" s="23" t="s">
        <v>17</v>
      </c>
      <c r="AB75" s="23" t="s">
        <v>17</v>
      </c>
      <c r="AC75" s="23" t="s">
        <v>909</v>
      </c>
      <c r="AD75" s="23" t="s">
        <v>19</v>
      </c>
      <c r="AE75" s="10" t="s">
        <v>17</v>
      </c>
      <c r="AF75" s="6" t="s">
        <v>910</v>
      </c>
      <c r="AG75" s="282"/>
      <c r="AH75" s="282"/>
      <c r="AI75" s="14"/>
      <c r="AJ75" s="14"/>
      <c r="AK75" s="14"/>
    </row>
    <row r="76" spans="1:37" s="3" customFormat="1" ht="50.1" customHeight="1" x14ac:dyDescent="0.3">
      <c r="A76" s="6">
        <v>288991</v>
      </c>
      <c r="B76" s="6" t="s">
        <v>31</v>
      </c>
      <c r="C76" s="6" t="s">
        <v>911</v>
      </c>
      <c r="D76" s="7" t="s">
        <v>36</v>
      </c>
      <c r="E76" s="230">
        <v>40031</v>
      </c>
      <c r="F76" s="6" t="s">
        <v>912</v>
      </c>
      <c r="G76" s="16" t="s">
        <v>39</v>
      </c>
      <c r="H76" s="6" t="s">
        <v>296</v>
      </c>
      <c r="I76" s="6" t="s">
        <v>913</v>
      </c>
      <c r="J76" s="6" t="s">
        <v>16</v>
      </c>
      <c r="K76" s="6" t="s">
        <v>298</v>
      </c>
      <c r="L76" s="6" t="s">
        <v>914</v>
      </c>
      <c r="M76" s="6" t="s">
        <v>23</v>
      </c>
      <c r="N76" s="25" t="s">
        <v>915</v>
      </c>
      <c r="O76" s="6" t="s">
        <v>916</v>
      </c>
      <c r="P76" s="10" t="s">
        <v>23</v>
      </c>
      <c r="Q76" s="10" t="s">
        <v>23</v>
      </c>
      <c r="R76" s="6" t="s">
        <v>96</v>
      </c>
      <c r="S76" s="15">
        <v>3687</v>
      </c>
      <c r="T76" s="10" t="s">
        <v>68</v>
      </c>
      <c r="U76" s="12">
        <v>6804.067</v>
      </c>
      <c r="V76" s="10" t="s">
        <v>23</v>
      </c>
      <c r="W76" s="10" t="s">
        <v>23</v>
      </c>
      <c r="X76" s="10" t="s">
        <v>23</v>
      </c>
      <c r="Y76" s="10" t="s">
        <v>23</v>
      </c>
      <c r="Z76" s="13">
        <v>44008</v>
      </c>
      <c r="AA76" s="13" t="s">
        <v>23</v>
      </c>
      <c r="AB76" s="10" t="s">
        <v>862</v>
      </c>
      <c r="AC76" s="256" t="s">
        <v>917</v>
      </c>
      <c r="AD76" s="6" t="s">
        <v>22</v>
      </c>
      <c r="AE76" s="10" t="s">
        <v>439</v>
      </c>
      <c r="AF76" s="10" t="s">
        <v>918</v>
      </c>
      <c r="AG76" s="5"/>
      <c r="AH76" s="5"/>
      <c r="AI76" s="14"/>
      <c r="AJ76" s="14"/>
      <c r="AK76" s="14"/>
    </row>
    <row r="77" spans="1:37" s="3" customFormat="1" ht="50.1" customHeight="1" x14ac:dyDescent="0.3">
      <c r="A77" s="218">
        <v>539060</v>
      </c>
      <c r="B77" s="218" t="s">
        <v>143</v>
      </c>
      <c r="C77" s="218" t="s">
        <v>919</v>
      </c>
      <c r="D77" s="218" t="s">
        <v>166</v>
      </c>
      <c r="E77" s="286">
        <v>42472</v>
      </c>
      <c r="F77" s="218" t="s">
        <v>548</v>
      </c>
      <c r="G77" s="7" t="s">
        <v>145</v>
      </c>
      <c r="H77" s="218" t="s">
        <v>920</v>
      </c>
      <c r="I77" s="218" t="s">
        <v>921</v>
      </c>
      <c r="J77" s="6" t="s">
        <v>16</v>
      </c>
      <c r="K77" s="6" t="s">
        <v>298</v>
      </c>
      <c r="L77" s="218" t="s">
        <v>922</v>
      </c>
      <c r="M77" s="218" t="s">
        <v>23</v>
      </c>
      <c r="N77" s="219" t="s">
        <v>922</v>
      </c>
      <c r="O77" s="218" t="s">
        <v>23</v>
      </c>
      <c r="P77" s="287" t="s">
        <v>23</v>
      </c>
      <c r="Q77" s="287">
        <f>+V77*W77</f>
        <v>894026831.18553722</v>
      </c>
      <c r="R77" s="60" t="s">
        <v>148</v>
      </c>
      <c r="S77" s="217" t="s">
        <v>923</v>
      </c>
      <c r="T77" s="287" t="s">
        <v>41</v>
      </c>
      <c r="U77" s="288" t="s">
        <v>23</v>
      </c>
      <c r="V77" s="287">
        <v>1790764880.4000001</v>
      </c>
      <c r="W77" s="289">
        <v>0.49924299999999999</v>
      </c>
      <c r="X77" s="288" t="s">
        <v>23</v>
      </c>
      <c r="Y77" s="287" t="s">
        <v>23</v>
      </c>
      <c r="Z77" s="290" t="s">
        <v>23</v>
      </c>
      <c r="AA77" s="290" t="s">
        <v>23</v>
      </c>
      <c r="AB77" s="287" t="s">
        <v>23</v>
      </c>
      <c r="AC77" s="287" t="s">
        <v>924</v>
      </c>
      <c r="AD77" s="287" t="s">
        <v>19</v>
      </c>
      <c r="AE77" s="10" t="s">
        <v>17</v>
      </c>
      <c r="AF77" s="287" t="s">
        <v>925</v>
      </c>
      <c r="AG77" s="5"/>
      <c r="AH77" s="5"/>
      <c r="AI77" s="14"/>
      <c r="AJ77" s="14"/>
      <c r="AK77" s="14"/>
    </row>
    <row r="78" spans="1:37" s="3" customFormat="1" ht="50.1" customHeight="1" x14ac:dyDescent="0.3">
      <c r="A78" s="218">
        <v>363971</v>
      </c>
      <c r="B78" s="218" t="s">
        <v>143</v>
      </c>
      <c r="C78" s="218" t="s">
        <v>926</v>
      </c>
      <c r="D78" s="218" t="s">
        <v>166</v>
      </c>
      <c r="E78" s="286">
        <v>40647</v>
      </c>
      <c r="F78" s="218" t="s">
        <v>927</v>
      </c>
      <c r="G78" s="7" t="s">
        <v>145</v>
      </c>
      <c r="H78" s="218" t="s">
        <v>928</v>
      </c>
      <c r="I78" s="218" t="s">
        <v>929</v>
      </c>
      <c r="J78" s="6" t="s">
        <v>16</v>
      </c>
      <c r="K78" s="6" t="s">
        <v>298</v>
      </c>
      <c r="L78" s="218" t="s">
        <v>930</v>
      </c>
      <c r="M78" s="218" t="s">
        <v>23</v>
      </c>
      <c r="N78" s="219" t="s">
        <v>930</v>
      </c>
      <c r="O78" s="218" t="s">
        <v>23</v>
      </c>
      <c r="P78" s="287" t="s">
        <v>23</v>
      </c>
      <c r="Q78" s="287">
        <v>146899639</v>
      </c>
      <c r="R78" s="60" t="s">
        <v>148</v>
      </c>
      <c r="S78" s="217" t="s">
        <v>931</v>
      </c>
      <c r="T78" s="287" t="s">
        <v>167</v>
      </c>
      <c r="U78" s="288" t="s">
        <v>23</v>
      </c>
      <c r="V78" s="287">
        <f>100%*Q78/W78</f>
        <v>412100001.12212664</v>
      </c>
      <c r="W78" s="291">
        <v>0.35646600000000001</v>
      </c>
      <c r="X78" s="287" t="s">
        <v>23</v>
      </c>
      <c r="Y78" s="287" t="s">
        <v>23</v>
      </c>
      <c r="Z78" s="290">
        <v>41389</v>
      </c>
      <c r="AA78" s="290" t="s">
        <v>23</v>
      </c>
      <c r="AB78" s="287" t="s">
        <v>23</v>
      </c>
      <c r="AC78" s="287" t="s">
        <v>932</v>
      </c>
      <c r="AD78" s="287" t="s">
        <v>19</v>
      </c>
      <c r="AE78" s="10" t="s">
        <v>17</v>
      </c>
      <c r="AF78" s="287" t="s">
        <v>933</v>
      </c>
      <c r="AG78" s="5"/>
      <c r="AH78" s="5"/>
      <c r="AI78" s="292"/>
      <c r="AJ78" s="292"/>
      <c r="AK78" s="292"/>
    </row>
    <row r="79" spans="1:37" s="3" customFormat="1" ht="50.1" customHeight="1" x14ac:dyDescent="0.3">
      <c r="A79" s="6">
        <v>347764</v>
      </c>
      <c r="B79" s="6" t="s">
        <v>143</v>
      </c>
      <c r="C79" s="6" t="s">
        <v>934</v>
      </c>
      <c r="D79" s="6" t="s">
        <v>159</v>
      </c>
      <c r="E79" s="230">
        <v>40120</v>
      </c>
      <c r="F79" s="6" t="s">
        <v>935</v>
      </c>
      <c r="G79" s="31" t="s">
        <v>147</v>
      </c>
      <c r="H79" s="6" t="s">
        <v>936</v>
      </c>
      <c r="I79" s="6" t="s">
        <v>345</v>
      </c>
      <c r="J79" s="6" t="s">
        <v>16</v>
      </c>
      <c r="K79" s="6" t="s">
        <v>298</v>
      </c>
      <c r="L79" s="6" t="s">
        <v>937</v>
      </c>
      <c r="M79" s="6" t="s">
        <v>23</v>
      </c>
      <c r="N79" s="25" t="s">
        <v>937</v>
      </c>
      <c r="O79" s="6" t="s">
        <v>938</v>
      </c>
      <c r="P79" s="10" t="s">
        <v>23</v>
      </c>
      <c r="Q79" s="10" t="s">
        <v>23</v>
      </c>
      <c r="R79" s="6" t="s">
        <v>96</v>
      </c>
      <c r="S79" s="10" t="s">
        <v>939</v>
      </c>
      <c r="T79" s="10" t="s">
        <v>41</v>
      </c>
      <c r="U79" s="12" t="s">
        <v>23</v>
      </c>
      <c r="V79" s="10" t="s">
        <v>23</v>
      </c>
      <c r="W79" s="10" t="s">
        <v>23</v>
      </c>
      <c r="X79" s="12">
        <v>213.57</v>
      </c>
      <c r="Y79" s="10" t="s">
        <v>23</v>
      </c>
      <c r="Z79" s="13">
        <v>43230</v>
      </c>
      <c r="AA79" s="13">
        <v>43426</v>
      </c>
      <c r="AB79" s="10" t="s">
        <v>23</v>
      </c>
      <c r="AC79" s="15" t="s">
        <v>940</v>
      </c>
      <c r="AD79" s="6" t="s">
        <v>22</v>
      </c>
      <c r="AE79" s="10" t="s">
        <v>17</v>
      </c>
      <c r="AF79" s="6" t="s">
        <v>941</v>
      </c>
      <c r="AG79" s="5"/>
      <c r="AH79" s="5"/>
      <c r="AI79" s="14"/>
      <c r="AJ79" s="14"/>
      <c r="AK79" s="14"/>
    </row>
    <row r="80" spans="1:37" s="3" customFormat="1" ht="50.1" customHeight="1" x14ac:dyDescent="0.3">
      <c r="A80" s="258">
        <v>792124</v>
      </c>
      <c r="B80" s="258" t="s">
        <v>143</v>
      </c>
      <c r="C80" s="18" t="s">
        <v>942</v>
      </c>
      <c r="D80" s="156" t="s">
        <v>144</v>
      </c>
      <c r="E80" s="236">
        <v>45348</v>
      </c>
      <c r="F80" s="235" t="s">
        <v>943</v>
      </c>
      <c r="G80" s="6" t="s">
        <v>15</v>
      </c>
      <c r="H80" s="258" t="s">
        <v>296</v>
      </c>
      <c r="I80" s="23" t="s">
        <v>944</v>
      </c>
      <c r="J80" s="6" t="s">
        <v>16</v>
      </c>
      <c r="K80" s="6" t="s">
        <v>298</v>
      </c>
      <c r="L80" s="214" t="s">
        <v>945</v>
      </c>
      <c r="M80" s="7" t="s">
        <v>17</v>
      </c>
      <c r="N80" s="7" t="s">
        <v>946</v>
      </c>
      <c r="O80" s="7" t="s">
        <v>947</v>
      </c>
      <c r="P80" s="237" t="s">
        <v>17</v>
      </c>
      <c r="Q80" s="237" t="s">
        <v>17</v>
      </c>
      <c r="R80" s="6" t="s">
        <v>96</v>
      </c>
      <c r="S80" s="237" t="s">
        <v>948</v>
      </c>
      <c r="T80" s="10" t="s">
        <v>46</v>
      </c>
      <c r="U80" s="293" t="s">
        <v>168</v>
      </c>
      <c r="V80" s="23" t="s">
        <v>17</v>
      </c>
      <c r="W80" s="23" t="s">
        <v>17</v>
      </c>
      <c r="X80" s="23" t="s">
        <v>17</v>
      </c>
      <c r="Y80" s="23" t="s">
        <v>17</v>
      </c>
      <c r="Z80" s="23" t="s">
        <v>17</v>
      </c>
      <c r="AA80" s="23" t="s">
        <v>17</v>
      </c>
      <c r="AB80" s="23" t="s">
        <v>17</v>
      </c>
      <c r="AC80" s="23" t="s">
        <v>949</v>
      </c>
      <c r="AD80" s="23" t="s">
        <v>19</v>
      </c>
      <c r="AE80" s="10" t="s">
        <v>17</v>
      </c>
      <c r="AF80" s="23" t="s">
        <v>950</v>
      </c>
      <c r="AG80" s="140"/>
      <c r="AH80" s="140"/>
      <c r="AI80" s="14"/>
      <c r="AJ80" s="14"/>
      <c r="AK80" s="14"/>
    </row>
    <row r="81" spans="1:37" s="3" customFormat="1" ht="50.1" customHeight="1" x14ac:dyDescent="0.3">
      <c r="A81" s="6">
        <v>538181</v>
      </c>
      <c r="B81" s="6" t="s">
        <v>228</v>
      </c>
      <c r="C81" s="6" t="s">
        <v>951</v>
      </c>
      <c r="D81" s="6" t="s">
        <v>228</v>
      </c>
      <c r="E81" s="230">
        <v>42628</v>
      </c>
      <c r="F81" s="6" t="s">
        <v>952</v>
      </c>
      <c r="G81" s="31" t="s">
        <v>229</v>
      </c>
      <c r="H81" s="6" t="s">
        <v>953</v>
      </c>
      <c r="I81" s="6" t="s">
        <v>954</v>
      </c>
      <c r="J81" s="6" t="s">
        <v>16</v>
      </c>
      <c r="K81" s="6" t="s">
        <v>327</v>
      </c>
      <c r="L81" s="6" t="s">
        <v>955</v>
      </c>
      <c r="M81" s="6" t="s">
        <v>956</v>
      </c>
      <c r="N81" s="25" t="s">
        <v>957</v>
      </c>
      <c r="O81" s="6" t="s">
        <v>955</v>
      </c>
      <c r="P81" s="10" t="s">
        <v>23</v>
      </c>
      <c r="Q81" s="10" t="s">
        <v>23</v>
      </c>
      <c r="R81" s="60" t="s">
        <v>148</v>
      </c>
      <c r="S81" s="11" t="s">
        <v>958</v>
      </c>
      <c r="T81" s="10" t="s">
        <v>46</v>
      </c>
      <c r="U81" s="12" t="s">
        <v>23</v>
      </c>
      <c r="V81" s="15" t="s">
        <v>23</v>
      </c>
      <c r="W81" s="15" t="s">
        <v>23</v>
      </c>
      <c r="X81" s="10" t="s">
        <v>23</v>
      </c>
      <c r="Y81" s="15" t="s">
        <v>23</v>
      </c>
      <c r="Z81" s="15" t="s">
        <v>23</v>
      </c>
      <c r="AA81" s="15" t="s">
        <v>23</v>
      </c>
      <c r="AB81" s="15" t="s">
        <v>23</v>
      </c>
      <c r="AC81" s="294" t="s">
        <v>959</v>
      </c>
      <c r="AD81" s="10" t="s">
        <v>19</v>
      </c>
      <c r="AE81" s="10" t="s">
        <v>17</v>
      </c>
      <c r="AF81" s="6" t="s">
        <v>960</v>
      </c>
      <c r="AG81" s="14"/>
      <c r="AH81" s="14"/>
      <c r="AI81" s="5"/>
      <c r="AJ81" s="5"/>
      <c r="AK81" s="5"/>
    </row>
    <row r="82" spans="1:37" s="3" customFormat="1" ht="50.1" customHeight="1" x14ac:dyDescent="0.3">
      <c r="A82" s="199">
        <v>744464</v>
      </c>
      <c r="B82" s="199" t="s">
        <v>143</v>
      </c>
      <c r="C82" s="199" t="s">
        <v>961</v>
      </c>
      <c r="D82" s="199" t="s">
        <v>149</v>
      </c>
      <c r="E82" s="236">
        <v>44572</v>
      </c>
      <c r="F82" s="199" t="s">
        <v>962</v>
      </c>
      <c r="G82" s="152" t="s">
        <v>15</v>
      </c>
      <c r="H82" s="199" t="s">
        <v>963</v>
      </c>
      <c r="I82" s="199" t="s">
        <v>964</v>
      </c>
      <c r="J82" s="6" t="s">
        <v>16</v>
      </c>
      <c r="K82" s="199" t="s">
        <v>327</v>
      </c>
      <c r="L82" s="199" t="s">
        <v>965</v>
      </c>
      <c r="M82" s="199" t="s">
        <v>17</v>
      </c>
      <c r="N82" s="220" t="s">
        <v>966</v>
      </c>
      <c r="O82" s="199" t="s">
        <v>967</v>
      </c>
      <c r="P82" s="199" t="s">
        <v>17</v>
      </c>
      <c r="Q82" s="199" t="s">
        <v>17</v>
      </c>
      <c r="R82" s="6" t="s">
        <v>96</v>
      </c>
      <c r="S82" s="199" t="s">
        <v>968</v>
      </c>
      <c r="T82" s="199" t="s">
        <v>157</v>
      </c>
      <c r="U82" s="199">
        <v>417.54</v>
      </c>
      <c r="V82" s="199" t="s">
        <v>17</v>
      </c>
      <c r="W82" s="199" t="s">
        <v>17</v>
      </c>
      <c r="X82" s="199" t="s">
        <v>17</v>
      </c>
      <c r="Y82" s="199" t="s">
        <v>17</v>
      </c>
      <c r="Z82" s="199" t="s">
        <v>17</v>
      </c>
      <c r="AA82" s="199" t="s">
        <v>17</v>
      </c>
      <c r="AB82" s="199" t="s">
        <v>17</v>
      </c>
      <c r="AC82" s="199" t="s">
        <v>815</v>
      </c>
      <c r="AD82" s="199" t="s">
        <v>19</v>
      </c>
      <c r="AE82" s="10" t="s">
        <v>17</v>
      </c>
      <c r="AF82" s="199" t="s">
        <v>969</v>
      </c>
      <c r="AG82" s="140"/>
      <c r="AH82" s="140"/>
      <c r="AI82" s="5"/>
      <c r="AJ82" s="5"/>
      <c r="AK82" s="5"/>
    </row>
    <row r="83" spans="1:37" s="3" customFormat="1" ht="50.1" customHeight="1" x14ac:dyDescent="0.3">
      <c r="A83" s="46">
        <v>750162</v>
      </c>
      <c r="B83" s="46" t="s">
        <v>143</v>
      </c>
      <c r="C83" s="46" t="s">
        <v>970</v>
      </c>
      <c r="D83" s="46" t="s">
        <v>149</v>
      </c>
      <c r="E83" s="295">
        <v>40413</v>
      </c>
      <c r="F83" s="46" t="s">
        <v>971</v>
      </c>
      <c r="G83" s="46" t="s">
        <v>147</v>
      </c>
      <c r="H83" s="46" t="s">
        <v>972</v>
      </c>
      <c r="I83" s="46" t="s">
        <v>382</v>
      </c>
      <c r="J83" s="6" t="s">
        <v>16</v>
      </c>
      <c r="K83" s="6" t="s">
        <v>327</v>
      </c>
      <c r="L83" s="46" t="s">
        <v>973</v>
      </c>
      <c r="M83" s="46" t="s">
        <v>17</v>
      </c>
      <c r="N83" s="46" t="s">
        <v>974</v>
      </c>
      <c r="O83" s="46" t="s">
        <v>975</v>
      </c>
      <c r="P83" s="46" t="s">
        <v>17</v>
      </c>
      <c r="Q83" s="46" t="s">
        <v>17</v>
      </c>
      <c r="R83" s="6" t="s">
        <v>96</v>
      </c>
      <c r="S83" s="46" t="s">
        <v>976</v>
      </c>
      <c r="T83" s="46" t="s">
        <v>59</v>
      </c>
      <c r="U83" s="46" t="s">
        <v>169</v>
      </c>
      <c r="V83" s="46" t="s">
        <v>17</v>
      </c>
      <c r="W83" s="46" t="s">
        <v>17</v>
      </c>
      <c r="X83" s="46" t="s">
        <v>17</v>
      </c>
      <c r="Y83" s="46" t="s">
        <v>17</v>
      </c>
      <c r="Z83" s="71">
        <v>41155</v>
      </c>
      <c r="AA83" s="46" t="s">
        <v>17</v>
      </c>
      <c r="AB83" s="46" t="s">
        <v>17</v>
      </c>
      <c r="AC83" s="46" t="s">
        <v>977</v>
      </c>
      <c r="AD83" s="46" t="s">
        <v>19</v>
      </c>
      <c r="AE83" s="10" t="s">
        <v>17</v>
      </c>
      <c r="AF83" s="46" t="s">
        <v>978</v>
      </c>
      <c r="AG83" s="296"/>
      <c r="AH83" s="296"/>
      <c r="AI83" s="5"/>
      <c r="AJ83" s="5"/>
      <c r="AK83" s="5"/>
    </row>
    <row r="84" spans="1:37" s="3" customFormat="1" ht="50.1" customHeight="1" x14ac:dyDescent="0.3">
      <c r="A84" s="218">
        <v>635511</v>
      </c>
      <c r="B84" s="218" t="s">
        <v>143</v>
      </c>
      <c r="C84" s="218" t="s">
        <v>979</v>
      </c>
      <c r="D84" s="218" t="s">
        <v>166</v>
      </c>
      <c r="E84" s="286">
        <v>43795</v>
      </c>
      <c r="F84" s="218" t="s">
        <v>980</v>
      </c>
      <c r="G84" s="7" t="s">
        <v>145</v>
      </c>
      <c r="H84" s="218" t="s">
        <v>981</v>
      </c>
      <c r="I84" s="218" t="s">
        <v>982</v>
      </c>
      <c r="J84" s="6" t="s">
        <v>16</v>
      </c>
      <c r="K84" s="6" t="s">
        <v>298</v>
      </c>
      <c r="L84" s="199" t="s">
        <v>983</v>
      </c>
      <c r="M84" s="218" t="s">
        <v>17</v>
      </c>
      <c r="N84" s="219" t="s">
        <v>983</v>
      </c>
      <c r="O84" s="199" t="s">
        <v>17</v>
      </c>
      <c r="P84" s="258" t="s">
        <v>17</v>
      </c>
      <c r="Q84" s="218" t="s">
        <v>17</v>
      </c>
      <c r="R84" s="60" t="s">
        <v>148</v>
      </c>
      <c r="S84" s="258" t="s">
        <v>984</v>
      </c>
      <c r="T84" s="199" t="s">
        <v>170</v>
      </c>
      <c r="U84" s="258" t="s">
        <v>17</v>
      </c>
      <c r="V84" s="258" t="s">
        <v>985</v>
      </c>
      <c r="W84" s="297">
        <v>6.9999999999999999E-4</v>
      </c>
      <c r="X84" s="199" t="s">
        <v>17</v>
      </c>
      <c r="Y84" s="199" t="s">
        <v>17</v>
      </c>
      <c r="Z84" s="258" t="s">
        <v>17</v>
      </c>
      <c r="AA84" s="199" t="s">
        <v>17</v>
      </c>
      <c r="AB84" s="199" t="s">
        <v>17</v>
      </c>
      <c r="AC84" s="199" t="s">
        <v>986</v>
      </c>
      <c r="AD84" s="199" t="s">
        <v>19</v>
      </c>
      <c r="AE84" s="10" t="s">
        <v>17</v>
      </c>
      <c r="AF84" s="199" t="s">
        <v>768</v>
      </c>
      <c r="AG84" s="5"/>
      <c r="AH84" s="5"/>
      <c r="AI84" s="5"/>
      <c r="AJ84" s="5"/>
      <c r="AK84" s="5"/>
    </row>
    <row r="85" spans="1:37" s="3" customFormat="1" ht="50.1" customHeight="1" x14ac:dyDescent="0.3">
      <c r="A85" s="6">
        <v>611632</v>
      </c>
      <c r="B85" s="6" t="s">
        <v>31</v>
      </c>
      <c r="C85" s="6" t="s">
        <v>987</v>
      </c>
      <c r="D85" s="6" t="s">
        <v>36</v>
      </c>
      <c r="E85" s="230">
        <v>42649</v>
      </c>
      <c r="F85" s="6" t="s">
        <v>988</v>
      </c>
      <c r="G85" s="9" t="s">
        <v>33</v>
      </c>
      <c r="H85" s="6" t="s">
        <v>989</v>
      </c>
      <c r="I85" s="6" t="s">
        <v>990</v>
      </c>
      <c r="J85" s="6" t="s">
        <v>16</v>
      </c>
      <c r="K85" s="668" t="s">
        <v>781</v>
      </c>
      <c r="L85" s="6" t="s">
        <v>991</v>
      </c>
      <c r="M85" s="7" t="s">
        <v>17</v>
      </c>
      <c r="N85" s="25" t="s">
        <v>992</v>
      </c>
      <c r="O85" s="6" t="s">
        <v>993</v>
      </c>
      <c r="P85" s="6" t="s">
        <v>17</v>
      </c>
      <c r="Q85" s="6" t="s">
        <v>17</v>
      </c>
      <c r="R85" s="6" t="s">
        <v>96</v>
      </c>
      <c r="S85" s="6" t="s">
        <v>994</v>
      </c>
      <c r="T85" s="6" t="s">
        <v>157</v>
      </c>
      <c r="U85" s="6" t="s">
        <v>17</v>
      </c>
      <c r="V85" s="6" t="s">
        <v>17</v>
      </c>
      <c r="W85" s="6" t="s">
        <v>17</v>
      </c>
      <c r="X85" s="6" t="s">
        <v>17</v>
      </c>
      <c r="Y85" s="6" t="s">
        <v>17</v>
      </c>
      <c r="Z85" s="6" t="s">
        <v>17</v>
      </c>
      <c r="AA85" s="6" t="s">
        <v>17</v>
      </c>
      <c r="AB85" s="6" t="s">
        <v>17</v>
      </c>
      <c r="AC85" s="6" t="s">
        <v>995</v>
      </c>
      <c r="AD85" s="10" t="s">
        <v>82</v>
      </c>
      <c r="AE85" s="6" t="s">
        <v>341</v>
      </c>
      <c r="AF85" s="6" t="s">
        <v>996</v>
      </c>
      <c r="AI85" s="5"/>
      <c r="AJ85" s="5"/>
      <c r="AK85" s="5"/>
    </row>
    <row r="86" spans="1:37" s="3" customFormat="1" ht="50.1" customHeight="1" x14ac:dyDescent="0.3">
      <c r="A86" s="218">
        <v>534654</v>
      </c>
      <c r="B86" s="218" t="s">
        <v>143</v>
      </c>
      <c r="C86" s="218" t="s">
        <v>997</v>
      </c>
      <c r="D86" s="218" t="s">
        <v>166</v>
      </c>
      <c r="E86" s="286">
        <v>42573</v>
      </c>
      <c r="F86" s="218" t="s">
        <v>998</v>
      </c>
      <c r="G86" s="7" t="s">
        <v>145</v>
      </c>
      <c r="H86" s="218" t="s">
        <v>999</v>
      </c>
      <c r="I86" s="218" t="s">
        <v>929</v>
      </c>
      <c r="J86" s="6" t="s">
        <v>16</v>
      </c>
      <c r="K86" s="6" t="s">
        <v>298</v>
      </c>
      <c r="L86" s="218" t="s">
        <v>1000</v>
      </c>
      <c r="M86" s="218" t="s">
        <v>23</v>
      </c>
      <c r="N86" s="219" t="s">
        <v>1000</v>
      </c>
      <c r="O86" s="218" t="s">
        <v>23</v>
      </c>
      <c r="P86" s="287" t="s">
        <v>23</v>
      </c>
      <c r="Q86" s="287">
        <v>75911047</v>
      </c>
      <c r="R86" s="60" t="s">
        <v>148</v>
      </c>
      <c r="S86" s="217" t="s">
        <v>1001</v>
      </c>
      <c r="T86" s="10" t="s">
        <v>75</v>
      </c>
      <c r="U86" s="288" t="s">
        <v>23</v>
      </c>
      <c r="V86" s="287">
        <v>365378970</v>
      </c>
      <c r="W86" s="291">
        <v>0.10929999999999999</v>
      </c>
      <c r="X86" s="287" t="s">
        <v>23</v>
      </c>
      <c r="Y86" s="287" t="s">
        <v>23</v>
      </c>
      <c r="Z86" s="287" t="s">
        <v>23</v>
      </c>
      <c r="AA86" s="287" t="s">
        <v>23</v>
      </c>
      <c r="AB86" s="287" t="s">
        <v>23</v>
      </c>
      <c r="AC86" s="287" t="s">
        <v>1002</v>
      </c>
      <c r="AD86" s="287" t="s">
        <v>19</v>
      </c>
      <c r="AE86" s="10" t="s">
        <v>17</v>
      </c>
      <c r="AF86" s="218" t="s">
        <v>1003</v>
      </c>
      <c r="AG86" s="14"/>
      <c r="AH86" s="14"/>
      <c r="AI86" s="5"/>
      <c r="AJ86" s="5"/>
      <c r="AK86" s="5"/>
    </row>
    <row r="87" spans="1:37" s="3" customFormat="1" ht="50.1" customHeight="1" x14ac:dyDescent="0.3">
      <c r="A87" s="6">
        <v>334762</v>
      </c>
      <c r="B87" s="6" t="s">
        <v>31</v>
      </c>
      <c r="C87" s="6" t="s">
        <v>1004</v>
      </c>
      <c r="D87" s="7" t="s">
        <v>36</v>
      </c>
      <c r="E87" s="230">
        <v>40165</v>
      </c>
      <c r="F87" s="6" t="s">
        <v>1005</v>
      </c>
      <c r="G87" s="9" t="s">
        <v>33</v>
      </c>
      <c r="H87" s="6" t="s">
        <v>296</v>
      </c>
      <c r="I87" s="6" t="s">
        <v>1006</v>
      </c>
      <c r="J87" s="6" t="s">
        <v>16</v>
      </c>
      <c r="K87" s="6" t="s">
        <v>298</v>
      </c>
      <c r="L87" s="6" t="s">
        <v>1007</v>
      </c>
      <c r="M87" s="6" t="s">
        <v>23</v>
      </c>
      <c r="N87" s="25" t="s">
        <v>1008</v>
      </c>
      <c r="O87" s="6" t="s">
        <v>1009</v>
      </c>
      <c r="P87" s="10" t="s">
        <v>23</v>
      </c>
      <c r="Q87" s="10" t="s">
        <v>23</v>
      </c>
      <c r="R87" s="6" t="s">
        <v>96</v>
      </c>
      <c r="S87" s="15">
        <v>3711</v>
      </c>
      <c r="T87" s="6" t="s">
        <v>157</v>
      </c>
      <c r="U87" s="12">
        <v>1711.49</v>
      </c>
      <c r="V87" s="10" t="s">
        <v>23</v>
      </c>
      <c r="W87" s="10" t="s">
        <v>23</v>
      </c>
      <c r="X87" s="10" t="s">
        <v>23</v>
      </c>
      <c r="Y87" s="10" t="s">
        <v>23</v>
      </c>
      <c r="Z87" s="13">
        <v>42849</v>
      </c>
      <c r="AA87" s="13" t="s">
        <v>23</v>
      </c>
      <c r="AB87" s="10" t="s">
        <v>1010</v>
      </c>
      <c r="AC87" s="298" t="s">
        <v>1011</v>
      </c>
      <c r="AD87" s="6" t="s">
        <v>22</v>
      </c>
      <c r="AE87" s="10" t="s">
        <v>439</v>
      </c>
      <c r="AF87" s="6" t="s">
        <v>493</v>
      </c>
      <c r="AG87" s="14"/>
      <c r="AH87" s="14"/>
      <c r="AI87" s="14"/>
      <c r="AJ87" s="14"/>
      <c r="AK87" s="14"/>
    </row>
    <row r="88" spans="1:37" s="3" customFormat="1" ht="50.1" customHeight="1" x14ac:dyDescent="0.3">
      <c r="A88" s="218">
        <v>582144</v>
      </c>
      <c r="B88" s="218" t="s">
        <v>143</v>
      </c>
      <c r="C88" s="218" t="s">
        <v>1012</v>
      </c>
      <c r="D88" s="218" t="s">
        <v>166</v>
      </c>
      <c r="E88" s="299">
        <v>43347</v>
      </c>
      <c r="F88" s="300" t="s">
        <v>1013</v>
      </c>
      <c r="G88" s="7" t="s">
        <v>145</v>
      </c>
      <c r="H88" s="218" t="s">
        <v>1014</v>
      </c>
      <c r="I88" s="218" t="s">
        <v>345</v>
      </c>
      <c r="J88" s="6" t="s">
        <v>16</v>
      </c>
      <c r="K88" s="6" t="s">
        <v>298</v>
      </c>
      <c r="L88" s="218" t="s">
        <v>1015</v>
      </c>
      <c r="M88" s="218" t="s">
        <v>23</v>
      </c>
      <c r="N88" s="219" t="s">
        <v>1015</v>
      </c>
      <c r="O88" s="218" t="s">
        <v>1016</v>
      </c>
      <c r="P88" s="287" t="s">
        <v>17</v>
      </c>
      <c r="Q88" s="287" t="s">
        <v>17</v>
      </c>
      <c r="R88" s="60" t="s">
        <v>148</v>
      </c>
      <c r="S88" s="301" t="s">
        <v>1017</v>
      </c>
      <c r="T88" s="10" t="s">
        <v>51</v>
      </c>
      <c r="U88" s="288" t="s">
        <v>171</v>
      </c>
      <c r="V88" s="287" t="s">
        <v>1018</v>
      </c>
      <c r="W88" s="302">
        <v>5.33E-2</v>
      </c>
      <c r="X88" s="288" t="s">
        <v>23</v>
      </c>
      <c r="Y88" s="287" t="s">
        <v>23</v>
      </c>
      <c r="Z88" s="290" t="s">
        <v>23</v>
      </c>
      <c r="AA88" s="290" t="s">
        <v>23</v>
      </c>
      <c r="AB88" s="287" t="s">
        <v>23</v>
      </c>
      <c r="AC88" s="303" t="s">
        <v>1019</v>
      </c>
      <c r="AD88" s="287" t="s">
        <v>19</v>
      </c>
      <c r="AE88" s="10" t="s">
        <v>17</v>
      </c>
      <c r="AF88" s="287" t="s">
        <v>1020</v>
      </c>
      <c r="AG88" s="5"/>
      <c r="AH88" s="5"/>
      <c r="AI88" s="5"/>
      <c r="AJ88" s="5"/>
      <c r="AK88" s="5"/>
    </row>
    <row r="89" spans="1:37" s="3" customFormat="1" ht="50.1" customHeight="1" x14ac:dyDescent="0.3">
      <c r="A89" s="38">
        <v>747601</v>
      </c>
      <c r="B89" s="7" t="s">
        <v>228</v>
      </c>
      <c r="C89" s="258" t="s">
        <v>1021</v>
      </c>
      <c r="D89" s="258" t="s">
        <v>228</v>
      </c>
      <c r="E89" s="230">
        <v>44994</v>
      </c>
      <c r="F89" s="199" t="s">
        <v>1022</v>
      </c>
      <c r="G89" s="31" t="s">
        <v>229</v>
      </c>
      <c r="H89" s="6" t="s">
        <v>296</v>
      </c>
      <c r="I89" s="272" t="s">
        <v>1023</v>
      </c>
      <c r="J89" s="6" t="s">
        <v>16</v>
      </c>
      <c r="K89" s="6" t="s">
        <v>1024</v>
      </c>
      <c r="L89" s="6" t="s">
        <v>1025</v>
      </c>
      <c r="M89" s="6" t="s">
        <v>1026</v>
      </c>
      <c r="N89" s="25" t="s">
        <v>1027</v>
      </c>
      <c r="O89" s="6" t="s">
        <v>17</v>
      </c>
      <c r="P89" s="6" t="s">
        <v>17</v>
      </c>
      <c r="Q89" s="6" t="s">
        <v>17</v>
      </c>
      <c r="R89" s="6" t="s">
        <v>17</v>
      </c>
      <c r="S89" s="6" t="s">
        <v>1028</v>
      </c>
      <c r="T89" s="278" t="s">
        <v>17</v>
      </c>
      <c r="U89" s="6" t="s">
        <v>17</v>
      </c>
      <c r="V89" s="6" t="s">
        <v>17</v>
      </c>
      <c r="W89" s="6" t="s">
        <v>17</v>
      </c>
      <c r="X89" s="6" t="s">
        <v>17</v>
      </c>
      <c r="Y89" s="6" t="s">
        <v>17</v>
      </c>
      <c r="Z89" s="6" t="s">
        <v>17</v>
      </c>
      <c r="AA89" s="6" t="s">
        <v>17</v>
      </c>
      <c r="AB89" s="6" t="s">
        <v>17</v>
      </c>
      <c r="AC89" s="231" t="s">
        <v>1029</v>
      </c>
      <c r="AD89" s="10" t="s">
        <v>19</v>
      </c>
      <c r="AE89" s="10" t="s">
        <v>17</v>
      </c>
      <c r="AF89" s="75" t="s">
        <v>1030</v>
      </c>
      <c r="AG89" s="140"/>
      <c r="AH89" s="140"/>
      <c r="AI89" s="14"/>
      <c r="AJ89" s="14"/>
      <c r="AK89" s="14"/>
    </row>
    <row r="90" spans="1:37" s="3" customFormat="1" ht="50.1" customHeight="1" x14ac:dyDescent="0.3">
      <c r="A90" s="258">
        <v>793476</v>
      </c>
      <c r="B90" s="258" t="s">
        <v>143</v>
      </c>
      <c r="C90" s="18" t="s">
        <v>1031</v>
      </c>
      <c r="D90" s="156" t="s">
        <v>144</v>
      </c>
      <c r="E90" s="236">
        <v>45355</v>
      </c>
      <c r="F90" s="235" t="s">
        <v>1032</v>
      </c>
      <c r="G90" s="6" t="s">
        <v>15</v>
      </c>
      <c r="H90" s="258" t="s">
        <v>296</v>
      </c>
      <c r="I90" s="23" t="s">
        <v>1033</v>
      </c>
      <c r="J90" s="6" t="s">
        <v>16</v>
      </c>
      <c r="K90" s="6" t="s">
        <v>298</v>
      </c>
      <c r="L90" s="214" t="s">
        <v>945</v>
      </c>
      <c r="M90" s="7" t="s">
        <v>17</v>
      </c>
      <c r="N90" s="7" t="s">
        <v>946</v>
      </c>
      <c r="O90" s="7" t="s">
        <v>1034</v>
      </c>
      <c r="P90" s="237" t="s">
        <v>17</v>
      </c>
      <c r="Q90" s="237" t="s">
        <v>17</v>
      </c>
      <c r="R90" s="6" t="s">
        <v>96</v>
      </c>
      <c r="S90" s="237" t="s">
        <v>1028</v>
      </c>
      <c r="T90" s="32" t="s">
        <v>38</v>
      </c>
      <c r="U90" s="293" t="s">
        <v>172</v>
      </c>
      <c r="V90" s="23" t="s">
        <v>17</v>
      </c>
      <c r="W90" s="23" t="s">
        <v>17</v>
      </c>
      <c r="X90" s="23" t="s">
        <v>17</v>
      </c>
      <c r="Y90" s="23" t="s">
        <v>17</v>
      </c>
      <c r="Z90" s="23" t="s">
        <v>17</v>
      </c>
      <c r="AA90" s="23" t="s">
        <v>17</v>
      </c>
      <c r="AB90" s="23" t="s">
        <v>17</v>
      </c>
      <c r="AC90" s="23" t="s">
        <v>949</v>
      </c>
      <c r="AD90" s="23" t="s">
        <v>19</v>
      </c>
      <c r="AE90" s="10" t="s">
        <v>17</v>
      </c>
      <c r="AF90" s="23" t="s">
        <v>1035</v>
      </c>
      <c r="AG90" s="140"/>
      <c r="AH90" s="140"/>
      <c r="AI90" s="14"/>
      <c r="AJ90" s="14"/>
      <c r="AK90" s="14"/>
    </row>
    <row r="91" spans="1:37" s="3" customFormat="1" ht="50.1" customHeight="1" x14ac:dyDescent="0.3">
      <c r="A91" s="7">
        <v>561413</v>
      </c>
      <c r="B91" s="7" t="s">
        <v>143</v>
      </c>
      <c r="C91" s="7" t="s">
        <v>1036</v>
      </c>
      <c r="D91" s="7" t="s">
        <v>173</v>
      </c>
      <c r="E91" s="241">
        <v>42613</v>
      </c>
      <c r="F91" s="7" t="s">
        <v>1037</v>
      </c>
      <c r="G91" s="7" t="s">
        <v>145</v>
      </c>
      <c r="H91" s="7" t="s">
        <v>1038</v>
      </c>
      <c r="I91" s="7" t="s">
        <v>1039</v>
      </c>
      <c r="J91" s="6" t="s">
        <v>16</v>
      </c>
      <c r="K91" s="6" t="s">
        <v>298</v>
      </c>
      <c r="L91" s="7" t="s">
        <v>1040</v>
      </c>
      <c r="M91" s="6" t="s">
        <v>23</v>
      </c>
      <c r="N91" s="36" t="s">
        <v>1041</v>
      </c>
      <c r="O91" s="6" t="s">
        <v>23</v>
      </c>
      <c r="P91" s="6" t="s">
        <v>23</v>
      </c>
      <c r="Q91" s="6" t="s">
        <v>23</v>
      </c>
      <c r="R91" s="60" t="s">
        <v>148</v>
      </c>
      <c r="S91" s="6" t="s">
        <v>1042</v>
      </c>
      <c r="T91" s="6" t="s">
        <v>174</v>
      </c>
      <c r="U91" s="6" t="s">
        <v>23</v>
      </c>
      <c r="V91" s="6" t="s">
        <v>1043</v>
      </c>
      <c r="W91" s="304">
        <v>3.8E-3</v>
      </c>
      <c r="X91" s="6" t="s">
        <v>23</v>
      </c>
      <c r="Y91" s="6" t="s">
        <v>23</v>
      </c>
      <c r="Z91" s="6" t="s">
        <v>23</v>
      </c>
      <c r="AA91" s="6" t="s">
        <v>23</v>
      </c>
      <c r="AB91" s="6" t="s">
        <v>23</v>
      </c>
      <c r="AC91" s="6" t="s">
        <v>1044</v>
      </c>
      <c r="AD91" s="10" t="s">
        <v>19</v>
      </c>
      <c r="AE91" s="10" t="s">
        <v>17</v>
      </c>
      <c r="AF91" s="6" t="s">
        <v>1045</v>
      </c>
      <c r="AG91" s="292"/>
      <c r="AH91" s="292"/>
      <c r="AI91" s="5"/>
      <c r="AJ91" s="5"/>
      <c r="AK91" s="5"/>
    </row>
    <row r="92" spans="1:37" s="3" customFormat="1" ht="50.1" customHeight="1" x14ac:dyDescent="0.3">
      <c r="A92" s="218">
        <v>534677</v>
      </c>
      <c r="B92" s="218" t="s">
        <v>143</v>
      </c>
      <c r="C92" s="218" t="s">
        <v>1046</v>
      </c>
      <c r="D92" s="218" t="s">
        <v>166</v>
      </c>
      <c r="E92" s="286">
        <v>42519</v>
      </c>
      <c r="F92" s="218" t="s">
        <v>1047</v>
      </c>
      <c r="G92" s="7" t="s">
        <v>145</v>
      </c>
      <c r="H92" s="218" t="s">
        <v>928</v>
      </c>
      <c r="I92" s="218" t="s">
        <v>929</v>
      </c>
      <c r="J92" s="6" t="s">
        <v>16</v>
      </c>
      <c r="K92" s="6" t="s">
        <v>298</v>
      </c>
      <c r="L92" s="218" t="s">
        <v>1048</v>
      </c>
      <c r="M92" s="218" t="s">
        <v>23</v>
      </c>
      <c r="N92" s="219" t="s">
        <v>1048</v>
      </c>
      <c r="O92" s="218" t="s">
        <v>23</v>
      </c>
      <c r="P92" s="287" t="s">
        <v>23</v>
      </c>
      <c r="Q92" s="287">
        <v>29088360</v>
      </c>
      <c r="R92" s="60" t="s">
        <v>148</v>
      </c>
      <c r="S92" s="217" t="s">
        <v>1049</v>
      </c>
      <c r="T92" s="287" t="s">
        <v>41</v>
      </c>
      <c r="U92" s="288" t="s">
        <v>23</v>
      </c>
      <c r="V92" s="287">
        <f>100%*Q92/W92</f>
        <v>1499400000</v>
      </c>
      <c r="W92" s="291">
        <v>1.9400000000000001E-2</v>
      </c>
      <c r="X92" s="287" t="s">
        <v>23</v>
      </c>
      <c r="Y92" s="287" t="s">
        <v>23</v>
      </c>
      <c r="Z92" s="287" t="s">
        <v>23</v>
      </c>
      <c r="AA92" s="287" t="s">
        <v>23</v>
      </c>
      <c r="AB92" s="287" t="s">
        <v>23</v>
      </c>
      <c r="AC92" s="287" t="s">
        <v>924</v>
      </c>
      <c r="AD92" s="287" t="s">
        <v>19</v>
      </c>
      <c r="AE92" s="10" t="s">
        <v>17</v>
      </c>
      <c r="AF92" s="287" t="s">
        <v>924</v>
      </c>
      <c r="AG92" s="14"/>
      <c r="AH92" s="14"/>
      <c r="AI92" s="5"/>
      <c r="AJ92" s="5"/>
      <c r="AK92" s="5"/>
    </row>
    <row r="93" spans="1:37" s="3" customFormat="1" ht="50.1" customHeight="1" x14ac:dyDescent="0.3">
      <c r="A93" s="25" t="s">
        <v>175</v>
      </c>
      <c r="B93" s="43" t="s">
        <v>143</v>
      </c>
      <c r="C93" s="43" t="s">
        <v>1050</v>
      </c>
      <c r="D93" s="156" t="s">
        <v>144</v>
      </c>
      <c r="E93" s="230">
        <v>44167</v>
      </c>
      <c r="F93" s="6" t="s">
        <v>912</v>
      </c>
      <c r="G93" s="6" t="s">
        <v>15</v>
      </c>
      <c r="H93" s="36" t="s">
        <v>296</v>
      </c>
      <c r="I93" s="36" t="s">
        <v>1051</v>
      </c>
      <c r="J93" s="6" t="s">
        <v>16</v>
      </c>
      <c r="K93" s="6" t="s">
        <v>298</v>
      </c>
      <c r="L93" s="22" t="s">
        <v>1052</v>
      </c>
      <c r="M93" s="22" t="s">
        <v>1053</v>
      </c>
      <c r="N93" s="305" t="s">
        <v>1054</v>
      </c>
      <c r="O93" s="251" t="s">
        <v>1055</v>
      </c>
      <c r="P93" s="10" t="s">
        <v>17</v>
      </c>
      <c r="Q93" s="10" t="s">
        <v>17</v>
      </c>
      <c r="R93" s="60" t="s">
        <v>148</v>
      </c>
      <c r="S93" s="253" t="s">
        <v>1056</v>
      </c>
      <c r="T93" s="10" t="s">
        <v>75</v>
      </c>
      <c r="U93" s="41" t="s">
        <v>176</v>
      </c>
      <c r="V93" s="40" t="s">
        <v>1057</v>
      </c>
      <c r="W93" s="41" t="s">
        <v>17</v>
      </c>
      <c r="X93" s="41" t="s">
        <v>17</v>
      </c>
      <c r="Y93" s="41" t="s">
        <v>17</v>
      </c>
      <c r="Z93" s="41" t="s">
        <v>17</v>
      </c>
      <c r="AA93" s="41" t="s">
        <v>17</v>
      </c>
      <c r="AB93" s="41" t="s">
        <v>17</v>
      </c>
      <c r="AC93" s="41" t="s">
        <v>1058</v>
      </c>
      <c r="AD93" s="32" t="s">
        <v>19</v>
      </c>
      <c r="AE93" s="10" t="s">
        <v>17</v>
      </c>
      <c r="AF93" s="7" t="s">
        <v>1059</v>
      </c>
      <c r="AG93" s="140"/>
      <c r="AH93" s="140"/>
      <c r="AI93" s="5"/>
      <c r="AJ93" s="5"/>
      <c r="AK93" s="5"/>
    </row>
    <row r="94" spans="1:37" s="3" customFormat="1" ht="50.1" customHeight="1" x14ac:dyDescent="0.3">
      <c r="A94" s="6">
        <v>336196</v>
      </c>
      <c r="B94" s="6" t="s">
        <v>228</v>
      </c>
      <c r="C94" s="6" t="s">
        <v>1060</v>
      </c>
      <c r="D94" s="6" t="s">
        <v>228</v>
      </c>
      <c r="E94" s="230">
        <v>40235</v>
      </c>
      <c r="F94" s="6" t="s">
        <v>585</v>
      </c>
      <c r="G94" s="31" t="s">
        <v>229</v>
      </c>
      <c r="H94" s="6" t="s">
        <v>296</v>
      </c>
      <c r="I94" s="6" t="s">
        <v>1061</v>
      </c>
      <c r="J94" s="6" t="s">
        <v>16</v>
      </c>
      <c r="K94" s="6" t="s">
        <v>316</v>
      </c>
      <c r="L94" s="6" t="s">
        <v>1062</v>
      </c>
      <c r="M94" s="6" t="s">
        <v>1063</v>
      </c>
      <c r="N94" s="25" t="s">
        <v>1064</v>
      </c>
      <c r="O94" s="6" t="s">
        <v>1065</v>
      </c>
      <c r="P94" s="10" t="s">
        <v>23</v>
      </c>
      <c r="Q94" s="10" t="s">
        <v>23</v>
      </c>
      <c r="R94" s="6" t="s">
        <v>96</v>
      </c>
      <c r="S94" s="15">
        <v>1539</v>
      </c>
      <c r="T94" s="10" t="s">
        <v>68</v>
      </c>
      <c r="U94" s="12" t="s">
        <v>23</v>
      </c>
      <c r="V94" s="10" t="s">
        <v>23</v>
      </c>
      <c r="W94" s="10" t="s">
        <v>23</v>
      </c>
      <c r="X94" s="10" t="s">
        <v>23</v>
      </c>
      <c r="Y94" s="10" t="s">
        <v>23</v>
      </c>
      <c r="Z94" s="10" t="s">
        <v>23</v>
      </c>
      <c r="AA94" s="10" t="s">
        <v>23</v>
      </c>
      <c r="AB94" s="10" t="s">
        <v>23</v>
      </c>
      <c r="AC94" s="217" t="s">
        <v>1066</v>
      </c>
      <c r="AD94" s="10" t="s">
        <v>19</v>
      </c>
      <c r="AE94" s="10" t="s">
        <v>17</v>
      </c>
      <c r="AF94" s="6" t="s">
        <v>423</v>
      </c>
      <c r="AG94" s="306"/>
      <c r="AH94" s="14"/>
      <c r="AI94" s="5"/>
      <c r="AJ94" s="5"/>
      <c r="AK94" s="5"/>
    </row>
    <row r="95" spans="1:37" s="3" customFormat="1" ht="50.1" customHeight="1" x14ac:dyDescent="0.3">
      <c r="A95" s="218">
        <v>541653</v>
      </c>
      <c r="B95" s="218" t="s">
        <v>143</v>
      </c>
      <c r="C95" s="218" t="s">
        <v>1067</v>
      </c>
      <c r="D95" s="218" t="s">
        <v>166</v>
      </c>
      <c r="E95" s="286">
        <v>42690</v>
      </c>
      <c r="F95" s="218" t="s">
        <v>1068</v>
      </c>
      <c r="G95" s="7" t="s">
        <v>145</v>
      </c>
      <c r="H95" s="218" t="s">
        <v>1069</v>
      </c>
      <c r="I95" s="218" t="s">
        <v>1070</v>
      </c>
      <c r="J95" s="6" t="s">
        <v>16</v>
      </c>
      <c r="K95" s="6" t="s">
        <v>298</v>
      </c>
      <c r="L95" s="218" t="s">
        <v>1071</v>
      </c>
      <c r="M95" s="218" t="s">
        <v>23</v>
      </c>
      <c r="N95" s="219" t="s">
        <v>1071</v>
      </c>
      <c r="O95" s="218" t="s">
        <v>23</v>
      </c>
      <c r="P95" s="287" t="s">
        <v>23</v>
      </c>
      <c r="Q95" s="287" t="s">
        <v>1018</v>
      </c>
      <c r="R95" s="60" t="s">
        <v>148</v>
      </c>
      <c r="S95" s="217" t="s">
        <v>1072</v>
      </c>
      <c r="T95" s="287" t="s">
        <v>21</v>
      </c>
      <c r="U95" s="288" t="s">
        <v>23</v>
      </c>
      <c r="V95" s="287" t="s">
        <v>1018</v>
      </c>
      <c r="W95" s="289">
        <v>5.2900000000000003E-2</v>
      </c>
      <c r="X95" s="288" t="s">
        <v>23</v>
      </c>
      <c r="Y95" s="287" t="s">
        <v>23</v>
      </c>
      <c r="Z95" s="290" t="s">
        <v>23</v>
      </c>
      <c r="AA95" s="290" t="s">
        <v>23</v>
      </c>
      <c r="AB95" s="287" t="s">
        <v>23</v>
      </c>
      <c r="AC95" s="287" t="s">
        <v>924</v>
      </c>
      <c r="AD95" s="287" t="s">
        <v>19</v>
      </c>
      <c r="AE95" s="10" t="s">
        <v>17</v>
      </c>
      <c r="AF95" s="287" t="s">
        <v>924</v>
      </c>
      <c r="AG95" s="5"/>
      <c r="AH95" s="5"/>
      <c r="AI95" s="14"/>
      <c r="AJ95" s="14"/>
      <c r="AK95" s="14"/>
    </row>
    <row r="96" spans="1:37" s="3" customFormat="1" ht="50.1" customHeight="1" x14ac:dyDescent="0.3">
      <c r="A96" s="218">
        <v>534671</v>
      </c>
      <c r="B96" s="218" t="s">
        <v>143</v>
      </c>
      <c r="C96" s="218" t="s">
        <v>1073</v>
      </c>
      <c r="D96" s="218" t="s">
        <v>166</v>
      </c>
      <c r="E96" s="286">
        <v>42220</v>
      </c>
      <c r="F96" s="218" t="s">
        <v>1074</v>
      </c>
      <c r="G96" s="7" t="s">
        <v>145</v>
      </c>
      <c r="H96" s="218" t="s">
        <v>999</v>
      </c>
      <c r="I96" s="218" t="s">
        <v>929</v>
      </c>
      <c r="J96" s="6" t="s">
        <v>16</v>
      </c>
      <c r="K96" s="6" t="s">
        <v>298</v>
      </c>
      <c r="L96" s="218" t="s">
        <v>1075</v>
      </c>
      <c r="M96" s="218" t="s">
        <v>23</v>
      </c>
      <c r="N96" s="219" t="s">
        <v>1075</v>
      </c>
      <c r="O96" s="218" t="s">
        <v>23</v>
      </c>
      <c r="P96" s="287" t="s">
        <v>23</v>
      </c>
      <c r="Q96" s="287">
        <v>119757120</v>
      </c>
      <c r="R96" s="60" t="s">
        <v>148</v>
      </c>
      <c r="S96" s="217" t="s">
        <v>1076</v>
      </c>
      <c r="T96" s="287" t="s">
        <v>177</v>
      </c>
      <c r="U96" s="288" t="s">
        <v>23</v>
      </c>
      <c r="V96" s="287">
        <f>100%*Q96/W96</f>
        <v>1405600000</v>
      </c>
      <c r="W96" s="291">
        <v>8.5199999999999998E-2</v>
      </c>
      <c r="X96" s="287" t="s">
        <v>23</v>
      </c>
      <c r="Y96" s="287" t="s">
        <v>23</v>
      </c>
      <c r="Z96" s="287" t="s">
        <v>23</v>
      </c>
      <c r="AA96" s="287" t="s">
        <v>23</v>
      </c>
      <c r="AB96" s="287" t="s">
        <v>23</v>
      </c>
      <c r="AC96" s="217" t="s">
        <v>1077</v>
      </c>
      <c r="AD96" s="287" t="s">
        <v>19</v>
      </c>
      <c r="AE96" s="10" t="s">
        <v>17</v>
      </c>
      <c r="AF96" s="218" t="s">
        <v>1078</v>
      </c>
      <c r="AG96" s="5"/>
      <c r="AH96" s="5"/>
      <c r="AI96" s="14"/>
      <c r="AJ96" s="14"/>
      <c r="AK96" s="14"/>
    </row>
    <row r="97" spans="1:37" s="3" customFormat="1" ht="50.1" customHeight="1" x14ac:dyDescent="0.3">
      <c r="A97" s="218">
        <v>673114</v>
      </c>
      <c r="B97" s="218" t="s">
        <v>143</v>
      </c>
      <c r="C97" s="218" t="s">
        <v>1079</v>
      </c>
      <c r="D97" s="218" t="s">
        <v>166</v>
      </c>
      <c r="E97" s="286">
        <v>43343</v>
      </c>
      <c r="F97" s="218" t="s">
        <v>1080</v>
      </c>
      <c r="G97" s="7" t="s">
        <v>145</v>
      </c>
      <c r="H97" s="218" t="s">
        <v>928</v>
      </c>
      <c r="I97" s="218" t="s">
        <v>1081</v>
      </c>
      <c r="J97" s="6" t="s">
        <v>16</v>
      </c>
      <c r="K97" s="218" t="s">
        <v>781</v>
      </c>
      <c r="L97" s="218" t="s">
        <v>1082</v>
      </c>
      <c r="M97" s="218" t="s">
        <v>17</v>
      </c>
      <c r="N97" s="219" t="s">
        <v>1083</v>
      </c>
      <c r="O97" s="218" t="s">
        <v>17</v>
      </c>
      <c r="P97" s="287" t="s">
        <v>17</v>
      </c>
      <c r="Q97" s="287" t="s">
        <v>17</v>
      </c>
      <c r="R97" s="60" t="s">
        <v>148</v>
      </c>
      <c r="S97" s="217" t="s">
        <v>1084</v>
      </c>
      <c r="T97" s="287" t="s">
        <v>41</v>
      </c>
      <c r="U97" s="288">
        <v>476</v>
      </c>
      <c r="V97" s="287">
        <v>1038741000</v>
      </c>
      <c r="W97" s="289">
        <v>1.4749E-2</v>
      </c>
      <c r="X97" s="288" t="s">
        <v>17</v>
      </c>
      <c r="Y97" s="287" t="s">
        <v>17</v>
      </c>
      <c r="Z97" s="290" t="s">
        <v>17</v>
      </c>
      <c r="AA97" s="290" t="s">
        <v>17</v>
      </c>
      <c r="AB97" s="287" t="s">
        <v>17</v>
      </c>
      <c r="AC97" s="287" t="s">
        <v>1085</v>
      </c>
      <c r="AD97" s="60" t="s">
        <v>19</v>
      </c>
      <c r="AE97" s="10" t="s">
        <v>17</v>
      </c>
      <c r="AF97" s="218" t="s">
        <v>768</v>
      </c>
      <c r="AG97" s="5"/>
      <c r="AH97" s="5"/>
      <c r="AI97" s="14"/>
      <c r="AJ97" s="14"/>
      <c r="AK97" s="14"/>
    </row>
    <row r="98" spans="1:37" s="263" customFormat="1" ht="50.1" customHeight="1" x14ac:dyDescent="0.3">
      <c r="A98" s="7">
        <v>692782</v>
      </c>
      <c r="B98" s="7" t="s">
        <v>143</v>
      </c>
      <c r="C98" s="75" t="s">
        <v>1086</v>
      </c>
      <c r="D98" s="7" t="s">
        <v>159</v>
      </c>
      <c r="E98" s="241">
        <v>44866</v>
      </c>
      <c r="F98" s="156" t="s">
        <v>1087</v>
      </c>
      <c r="G98" s="6" t="s">
        <v>15</v>
      </c>
      <c r="H98" s="7" t="s">
        <v>296</v>
      </c>
      <c r="I98" s="7" t="s">
        <v>1088</v>
      </c>
      <c r="J98" s="6" t="s">
        <v>16</v>
      </c>
      <c r="K98" s="6" t="s">
        <v>298</v>
      </c>
      <c r="L98" s="7" t="s">
        <v>1089</v>
      </c>
      <c r="M98" s="6" t="s">
        <v>17</v>
      </c>
      <c r="N98" s="308" t="s">
        <v>1090</v>
      </c>
      <c r="O98" s="6" t="s">
        <v>1091</v>
      </c>
      <c r="P98" s="6" t="s">
        <v>57</v>
      </c>
      <c r="Q98" s="6" t="s">
        <v>17</v>
      </c>
      <c r="R98" s="60" t="s">
        <v>148</v>
      </c>
      <c r="S98" s="309" t="s">
        <v>1092</v>
      </c>
      <c r="T98" s="6" t="s">
        <v>57</v>
      </c>
      <c r="U98" s="6">
        <v>32.06</v>
      </c>
      <c r="V98" s="6" t="s">
        <v>17</v>
      </c>
      <c r="W98" s="6" t="s">
        <v>17</v>
      </c>
      <c r="X98" s="6" t="s">
        <v>17</v>
      </c>
      <c r="Y98" s="6" t="s">
        <v>17</v>
      </c>
      <c r="Z98" s="6" t="s">
        <v>836</v>
      </c>
      <c r="AA98" s="6" t="s">
        <v>836</v>
      </c>
      <c r="AB98" s="6" t="s">
        <v>17</v>
      </c>
      <c r="AC98" s="7" t="s">
        <v>1093</v>
      </c>
      <c r="AD98" s="10" t="s">
        <v>19</v>
      </c>
      <c r="AE98" s="10" t="s">
        <v>17</v>
      </c>
      <c r="AF98" s="7" t="s">
        <v>1094</v>
      </c>
      <c r="AG98" s="140"/>
      <c r="AH98" s="140"/>
      <c r="AI98" s="5"/>
      <c r="AJ98" s="5"/>
      <c r="AK98" s="5"/>
    </row>
    <row r="99" spans="1:37" s="3" customFormat="1" ht="50.1" customHeight="1" x14ac:dyDescent="0.3">
      <c r="A99" s="218">
        <v>679310</v>
      </c>
      <c r="B99" s="218" t="s">
        <v>143</v>
      </c>
      <c r="C99" s="218" t="s">
        <v>1095</v>
      </c>
      <c r="D99" s="218" t="s">
        <v>166</v>
      </c>
      <c r="E99" s="286">
        <v>44447</v>
      </c>
      <c r="F99" s="218" t="s">
        <v>1096</v>
      </c>
      <c r="G99" s="7" t="s">
        <v>145</v>
      </c>
      <c r="H99" s="218" t="s">
        <v>1097</v>
      </c>
      <c r="I99" s="218" t="s">
        <v>1098</v>
      </c>
      <c r="J99" s="6" t="s">
        <v>16</v>
      </c>
      <c r="K99" s="6" t="s">
        <v>298</v>
      </c>
      <c r="L99" s="218" t="s">
        <v>1099</v>
      </c>
      <c r="M99" s="218" t="s">
        <v>17</v>
      </c>
      <c r="N99" s="219" t="s">
        <v>1100</v>
      </c>
      <c r="O99" s="218" t="s">
        <v>17</v>
      </c>
      <c r="P99" s="218" t="s">
        <v>17</v>
      </c>
      <c r="Q99" s="218" t="s">
        <v>17</v>
      </c>
      <c r="R99" s="60" t="s">
        <v>148</v>
      </c>
      <c r="S99" s="217" t="s">
        <v>1101</v>
      </c>
      <c r="T99" s="218" t="s">
        <v>157</v>
      </c>
      <c r="U99" s="218" t="s">
        <v>17</v>
      </c>
      <c r="V99" s="218" t="s">
        <v>1102</v>
      </c>
      <c r="W99" s="218" t="s">
        <v>1102</v>
      </c>
      <c r="X99" s="218" t="s">
        <v>17</v>
      </c>
      <c r="Y99" s="218" t="s">
        <v>17</v>
      </c>
      <c r="Z99" s="218" t="s">
        <v>17</v>
      </c>
      <c r="AA99" s="218" t="s">
        <v>17</v>
      </c>
      <c r="AB99" s="218" t="s">
        <v>17</v>
      </c>
      <c r="AC99" s="218" t="s">
        <v>1103</v>
      </c>
      <c r="AD99" s="218" t="s">
        <v>19</v>
      </c>
      <c r="AE99" s="10" t="s">
        <v>17</v>
      </c>
      <c r="AF99" s="218" t="s">
        <v>1104</v>
      </c>
      <c r="AI99" s="5"/>
      <c r="AJ99" s="5"/>
      <c r="AK99" s="5"/>
    </row>
    <row r="100" spans="1:37" s="3" customFormat="1" ht="50.1" customHeight="1" x14ac:dyDescent="0.3">
      <c r="A100" s="6">
        <v>447619</v>
      </c>
      <c r="B100" s="6" t="s">
        <v>228</v>
      </c>
      <c r="C100" s="310">
        <v>849309</v>
      </c>
      <c r="D100" s="6" t="s">
        <v>228</v>
      </c>
      <c r="E100" s="230">
        <v>41705</v>
      </c>
      <c r="F100" s="6" t="s">
        <v>1105</v>
      </c>
      <c r="G100" s="31" t="s">
        <v>229</v>
      </c>
      <c r="H100" s="6" t="s">
        <v>296</v>
      </c>
      <c r="I100" s="272" t="s">
        <v>1106</v>
      </c>
      <c r="J100" s="6" t="s">
        <v>16</v>
      </c>
      <c r="K100" s="6" t="s">
        <v>316</v>
      </c>
      <c r="L100" s="6" t="s">
        <v>1107</v>
      </c>
      <c r="M100" s="6" t="s">
        <v>1108</v>
      </c>
      <c r="N100" s="25" t="s">
        <v>1109</v>
      </c>
      <c r="O100" s="6" t="s">
        <v>1110</v>
      </c>
      <c r="P100" s="10" t="s">
        <v>23</v>
      </c>
      <c r="Q100" s="10" t="s">
        <v>23</v>
      </c>
      <c r="R100" s="6" t="s">
        <v>96</v>
      </c>
      <c r="S100" s="11" t="s">
        <v>1111</v>
      </c>
      <c r="T100" s="10" t="s">
        <v>41</v>
      </c>
      <c r="U100" s="12" t="s">
        <v>23</v>
      </c>
      <c r="V100" s="10" t="s">
        <v>23</v>
      </c>
      <c r="W100" s="10" t="s">
        <v>23</v>
      </c>
      <c r="X100" s="10" t="s">
        <v>23</v>
      </c>
      <c r="Y100" s="10" t="s">
        <v>23</v>
      </c>
      <c r="Z100" s="13" t="s">
        <v>23</v>
      </c>
      <c r="AA100" s="13" t="s">
        <v>23</v>
      </c>
      <c r="AB100" s="10" t="s">
        <v>23</v>
      </c>
      <c r="AC100" s="294" t="s">
        <v>1112</v>
      </c>
      <c r="AD100" s="10" t="s">
        <v>19</v>
      </c>
      <c r="AE100" s="10" t="s">
        <v>17</v>
      </c>
      <c r="AF100" s="6" t="s">
        <v>1113</v>
      </c>
      <c r="AG100" s="14"/>
      <c r="AH100" s="14"/>
      <c r="AI100" s="14"/>
      <c r="AJ100" s="14"/>
      <c r="AK100" s="14"/>
    </row>
    <row r="101" spans="1:37" s="3" customFormat="1" ht="50.1" customHeight="1" x14ac:dyDescent="0.3">
      <c r="A101" s="6">
        <v>255241</v>
      </c>
      <c r="B101" s="6" t="s">
        <v>143</v>
      </c>
      <c r="C101" s="6" t="s">
        <v>1114</v>
      </c>
      <c r="D101" s="6" t="s">
        <v>144</v>
      </c>
      <c r="E101" s="230">
        <v>39287</v>
      </c>
      <c r="F101" s="6" t="s">
        <v>1115</v>
      </c>
      <c r="G101" s="7" t="s">
        <v>145</v>
      </c>
      <c r="H101" s="6" t="s">
        <v>296</v>
      </c>
      <c r="I101" s="6" t="s">
        <v>1116</v>
      </c>
      <c r="J101" s="6" t="s">
        <v>16</v>
      </c>
      <c r="K101" s="6" t="s">
        <v>298</v>
      </c>
      <c r="L101" s="6" t="s">
        <v>307</v>
      </c>
      <c r="M101" s="6" t="s">
        <v>23</v>
      </c>
      <c r="N101" s="25" t="s">
        <v>307</v>
      </c>
      <c r="O101" s="6" t="s">
        <v>1117</v>
      </c>
      <c r="P101" s="10" t="s">
        <v>23</v>
      </c>
      <c r="Q101" s="10" t="s">
        <v>23</v>
      </c>
      <c r="R101" s="6" t="s">
        <v>96</v>
      </c>
      <c r="S101" s="11" t="s">
        <v>1111</v>
      </c>
      <c r="T101" s="10" t="s">
        <v>41</v>
      </c>
      <c r="U101" s="12">
        <v>60</v>
      </c>
      <c r="V101" s="10" t="s">
        <v>23</v>
      </c>
      <c r="W101" s="232" t="s">
        <v>23</v>
      </c>
      <c r="X101" s="10" t="s">
        <v>23</v>
      </c>
      <c r="Y101" s="10" t="s">
        <v>23</v>
      </c>
      <c r="Z101" s="13">
        <v>42719</v>
      </c>
      <c r="AA101" s="13" t="s">
        <v>23</v>
      </c>
      <c r="AB101" s="10" t="s">
        <v>309</v>
      </c>
      <c r="AC101" s="10" t="s">
        <v>1118</v>
      </c>
      <c r="AD101" s="10" t="s">
        <v>19</v>
      </c>
      <c r="AE101" s="10" t="s">
        <v>17</v>
      </c>
      <c r="AF101" s="6" t="s">
        <v>1119</v>
      </c>
      <c r="AG101" s="5"/>
      <c r="AH101" s="5"/>
      <c r="AI101" s="311"/>
      <c r="AJ101" s="311"/>
      <c r="AK101" s="311"/>
    </row>
    <row r="102" spans="1:37" s="3" customFormat="1" ht="50.1" customHeight="1" x14ac:dyDescent="0.3">
      <c r="A102" s="218">
        <v>683132</v>
      </c>
      <c r="B102" s="218" t="s">
        <v>143</v>
      </c>
      <c r="C102" s="218" t="s">
        <v>1120</v>
      </c>
      <c r="D102" s="218" t="s">
        <v>166</v>
      </c>
      <c r="E102" s="286">
        <v>44467</v>
      </c>
      <c r="F102" s="218" t="s">
        <v>1121</v>
      </c>
      <c r="G102" s="7" t="s">
        <v>145</v>
      </c>
      <c r="H102" s="218" t="s">
        <v>999</v>
      </c>
      <c r="I102" s="307" t="s">
        <v>1122</v>
      </c>
      <c r="J102" s="6" t="s">
        <v>16</v>
      </c>
      <c r="K102" s="6" t="s">
        <v>298</v>
      </c>
      <c r="L102" s="218" t="s">
        <v>1123</v>
      </c>
      <c r="M102" s="218" t="s">
        <v>17</v>
      </c>
      <c r="N102" s="219" t="s">
        <v>1124</v>
      </c>
      <c r="O102" s="218" t="s">
        <v>17</v>
      </c>
      <c r="P102" s="287" t="s">
        <v>17</v>
      </c>
      <c r="Q102" s="287" t="s">
        <v>17</v>
      </c>
      <c r="R102" s="60" t="s">
        <v>148</v>
      </c>
      <c r="S102" s="217" t="s">
        <v>1125</v>
      </c>
      <c r="T102" s="287" t="s">
        <v>59</v>
      </c>
      <c r="U102" s="288" t="s">
        <v>178</v>
      </c>
      <c r="V102" s="287">
        <v>2718035500</v>
      </c>
      <c r="W102" s="289">
        <v>7.8299999999999995E-2</v>
      </c>
      <c r="X102" s="288" t="s">
        <v>17</v>
      </c>
      <c r="Y102" s="288" t="s">
        <v>17</v>
      </c>
      <c r="Z102" s="288" t="s">
        <v>17</v>
      </c>
      <c r="AA102" s="288" t="s">
        <v>17</v>
      </c>
      <c r="AB102" s="288" t="s">
        <v>17</v>
      </c>
      <c r="AC102" s="287" t="s">
        <v>1126</v>
      </c>
      <c r="AD102" s="60" t="s">
        <v>24</v>
      </c>
      <c r="AE102" s="10" t="s">
        <v>17</v>
      </c>
      <c r="AF102" s="218" t="s">
        <v>1127</v>
      </c>
    </row>
    <row r="103" spans="1:37" s="3" customFormat="1" ht="50.1" customHeight="1" x14ac:dyDescent="0.3">
      <c r="A103" s="218">
        <v>470618</v>
      </c>
      <c r="B103" s="218" t="s">
        <v>143</v>
      </c>
      <c r="C103" s="218" t="s">
        <v>1128</v>
      </c>
      <c r="D103" s="218" t="s">
        <v>166</v>
      </c>
      <c r="E103" s="286">
        <v>41678</v>
      </c>
      <c r="F103" s="218" t="s">
        <v>1129</v>
      </c>
      <c r="G103" s="7" t="s">
        <v>145</v>
      </c>
      <c r="H103" s="218" t="s">
        <v>999</v>
      </c>
      <c r="I103" s="218" t="s">
        <v>772</v>
      </c>
      <c r="J103" s="6" t="s">
        <v>16</v>
      </c>
      <c r="K103" s="6" t="s">
        <v>298</v>
      </c>
      <c r="L103" s="218" t="s">
        <v>1130</v>
      </c>
      <c r="M103" s="218" t="s">
        <v>23</v>
      </c>
      <c r="N103" s="219" t="s">
        <v>1130</v>
      </c>
      <c r="O103" s="218" t="s">
        <v>23</v>
      </c>
      <c r="P103" s="287" t="s">
        <v>23</v>
      </c>
      <c r="Q103" s="287">
        <f>+V103*W103</f>
        <v>75888356.405399993</v>
      </c>
      <c r="R103" s="60" t="s">
        <v>148</v>
      </c>
      <c r="S103" s="217" t="s">
        <v>1131</v>
      </c>
      <c r="T103" s="287" t="s">
        <v>21</v>
      </c>
      <c r="U103" s="288" t="s">
        <v>23</v>
      </c>
      <c r="V103" s="287">
        <f>+(3782190000*0.6666)</f>
        <v>2521207854</v>
      </c>
      <c r="W103" s="291">
        <v>3.0099999999999998E-2</v>
      </c>
      <c r="X103" s="287" t="s">
        <v>23</v>
      </c>
      <c r="Y103" s="287" t="s">
        <v>23</v>
      </c>
      <c r="Z103" s="287" t="s">
        <v>23</v>
      </c>
      <c r="AA103" s="287" t="s">
        <v>23</v>
      </c>
      <c r="AB103" s="287" t="s">
        <v>23</v>
      </c>
      <c r="AC103" s="287" t="s">
        <v>1132</v>
      </c>
      <c r="AD103" s="287" t="s">
        <v>19</v>
      </c>
      <c r="AE103" s="10" t="s">
        <v>17</v>
      </c>
      <c r="AF103" s="218" t="s">
        <v>1078</v>
      </c>
      <c r="AG103" s="5"/>
      <c r="AH103" s="5"/>
      <c r="AI103" s="5"/>
      <c r="AJ103" s="5"/>
      <c r="AK103" s="5"/>
    </row>
    <row r="104" spans="1:37" s="3" customFormat="1" ht="50.1" customHeight="1" x14ac:dyDescent="0.3">
      <c r="A104" s="218">
        <v>668910</v>
      </c>
      <c r="B104" s="218" t="s">
        <v>143</v>
      </c>
      <c r="C104" s="218" t="s">
        <v>1133</v>
      </c>
      <c r="D104" s="218" t="s">
        <v>179</v>
      </c>
      <c r="E104" s="286">
        <v>43989</v>
      </c>
      <c r="F104" s="218" t="s">
        <v>1134</v>
      </c>
      <c r="G104" s="7" t="s">
        <v>145</v>
      </c>
      <c r="H104" s="218" t="s">
        <v>1135</v>
      </c>
      <c r="I104" s="218" t="s">
        <v>1136</v>
      </c>
      <c r="J104" s="6" t="s">
        <v>16</v>
      </c>
      <c r="K104" s="218" t="s">
        <v>781</v>
      </c>
      <c r="L104" s="218" t="s">
        <v>1137</v>
      </c>
      <c r="M104" s="218" t="s">
        <v>23</v>
      </c>
      <c r="N104" s="219" t="s">
        <v>1138</v>
      </c>
      <c r="O104" s="218" t="s">
        <v>17</v>
      </c>
      <c r="P104" s="287" t="s">
        <v>17</v>
      </c>
      <c r="Q104" s="287" t="s">
        <v>17</v>
      </c>
      <c r="R104" s="60" t="s">
        <v>148</v>
      </c>
      <c r="S104" s="217" t="s">
        <v>1139</v>
      </c>
      <c r="T104" s="287" t="s">
        <v>59</v>
      </c>
      <c r="U104" s="288" t="s">
        <v>17</v>
      </c>
      <c r="V104" s="218" t="s">
        <v>1140</v>
      </c>
      <c r="W104" s="312">
        <v>1.6899999999999998E-2</v>
      </c>
      <c r="X104" s="218" t="s">
        <v>17</v>
      </c>
      <c r="Y104" s="218" t="s">
        <v>17</v>
      </c>
      <c r="Z104" s="218" t="s">
        <v>17</v>
      </c>
      <c r="AA104" s="218" t="s">
        <v>17</v>
      </c>
      <c r="AB104" s="218" t="s">
        <v>17</v>
      </c>
      <c r="AC104" s="287" t="s">
        <v>1141</v>
      </c>
      <c r="AD104" s="287" t="s">
        <v>19</v>
      </c>
      <c r="AE104" s="10" t="s">
        <v>17</v>
      </c>
      <c r="AF104" s="218" t="s">
        <v>768</v>
      </c>
      <c r="AI104" s="292"/>
      <c r="AJ104" s="292"/>
      <c r="AK104" s="292"/>
    </row>
    <row r="105" spans="1:37" s="3" customFormat="1" ht="50.1" customHeight="1" x14ac:dyDescent="0.3">
      <c r="A105" s="7">
        <v>546196</v>
      </c>
      <c r="B105" s="7" t="s">
        <v>143</v>
      </c>
      <c r="C105" s="31" t="s">
        <v>1142</v>
      </c>
      <c r="D105" s="31" t="s">
        <v>149</v>
      </c>
      <c r="E105" s="313">
        <v>40659</v>
      </c>
      <c r="F105" s="43" t="s">
        <v>1143</v>
      </c>
      <c r="G105" s="314" t="s">
        <v>147</v>
      </c>
      <c r="H105" s="43" t="s">
        <v>1144</v>
      </c>
      <c r="I105" s="43" t="s">
        <v>1145</v>
      </c>
      <c r="J105" s="6" t="s">
        <v>16</v>
      </c>
      <c r="K105" s="6" t="s">
        <v>327</v>
      </c>
      <c r="L105" s="43" t="s">
        <v>1146</v>
      </c>
      <c r="M105" s="43" t="s">
        <v>23</v>
      </c>
      <c r="N105" s="315" t="s">
        <v>1146</v>
      </c>
      <c r="O105" s="43" t="s">
        <v>17</v>
      </c>
      <c r="P105" s="158" t="s">
        <v>23</v>
      </c>
      <c r="Q105" s="158" t="s">
        <v>23</v>
      </c>
      <c r="R105" s="158" t="s">
        <v>180</v>
      </c>
      <c r="S105" s="158" t="s">
        <v>1147</v>
      </c>
      <c r="T105" s="278" t="s">
        <v>17</v>
      </c>
      <c r="U105" s="316" t="s">
        <v>23</v>
      </c>
      <c r="V105" s="317" t="s">
        <v>23</v>
      </c>
      <c r="W105" s="158" t="s">
        <v>23</v>
      </c>
      <c r="X105" s="158" t="s">
        <v>23</v>
      </c>
      <c r="Y105" s="158" t="s">
        <v>23</v>
      </c>
      <c r="Z105" s="318" t="s">
        <v>1148</v>
      </c>
      <c r="AA105" s="318" t="s">
        <v>1149</v>
      </c>
      <c r="AB105" s="158" t="s">
        <v>17</v>
      </c>
      <c r="AC105" s="319" t="s">
        <v>1150</v>
      </c>
      <c r="AD105" s="319" t="s">
        <v>19</v>
      </c>
      <c r="AE105" s="10" t="s">
        <v>17</v>
      </c>
      <c r="AF105" s="319" t="s">
        <v>1151</v>
      </c>
      <c r="AG105" s="5"/>
      <c r="AH105" s="5"/>
      <c r="AI105" s="5"/>
      <c r="AJ105" s="5"/>
      <c r="AK105" s="5"/>
    </row>
    <row r="106" spans="1:37" s="3" customFormat="1" ht="50.1" customHeight="1" x14ac:dyDescent="0.3">
      <c r="A106" s="43">
        <v>637125</v>
      </c>
      <c r="B106" s="6" t="s">
        <v>137</v>
      </c>
      <c r="C106" s="6" t="s">
        <v>1152</v>
      </c>
      <c r="D106" s="6" t="s">
        <v>248</v>
      </c>
      <c r="E106" s="230">
        <v>44152</v>
      </c>
      <c r="F106" s="24" t="s">
        <v>1153</v>
      </c>
      <c r="G106" s="6" t="s">
        <v>15</v>
      </c>
      <c r="H106" s="22" t="s">
        <v>296</v>
      </c>
      <c r="I106" s="22" t="s">
        <v>1154</v>
      </c>
      <c r="J106" s="6" t="s">
        <v>16</v>
      </c>
      <c r="K106" s="6" t="s">
        <v>298</v>
      </c>
      <c r="L106" s="22" t="s">
        <v>1155</v>
      </c>
      <c r="M106" s="7" t="s">
        <v>17</v>
      </c>
      <c r="N106" s="248" t="s">
        <v>1156</v>
      </c>
      <c r="O106" s="7" t="s">
        <v>17</v>
      </c>
      <c r="P106" s="32" t="s">
        <v>17</v>
      </c>
      <c r="Q106" s="32" t="s">
        <v>17</v>
      </c>
      <c r="R106" s="60" t="s">
        <v>148</v>
      </c>
      <c r="S106" s="41" t="s">
        <v>1157</v>
      </c>
      <c r="T106" s="41" t="s">
        <v>74</v>
      </c>
      <c r="U106" s="41" t="s">
        <v>249</v>
      </c>
      <c r="V106" s="40" t="s">
        <v>17</v>
      </c>
      <c r="W106" s="32" t="s">
        <v>17</v>
      </c>
      <c r="X106" s="32" t="s">
        <v>17</v>
      </c>
      <c r="Y106" s="32" t="s">
        <v>17</v>
      </c>
      <c r="Z106" s="32" t="s">
        <v>17</v>
      </c>
      <c r="AA106" s="32" t="s">
        <v>17</v>
      </c>
      <c r="AB106" s="32" t="s">
        <v>17</v>
      </c>
      <c r="AC106" s="32" t="s">
        <v>1158</v>
      </c>
      <c r="AD106" s="32" t="s">
        <v>19</v>
      </c>
      <c r="AE106" s="10" t="s">
        <v>17</v>
      </c>
      <c r="AF106" s="7" t="s">
        <v>1159</v>
      </c>
      <c r="AI106" s="5"/>
      <c r="AJ106" s="5"/>
      <c r="AK106" s="5"/>
    </row>
    <row r="107" spans="1:37" s="3" customFormat="1" ht="50.1" customHeight="1" x14ac:dyDescent="0.3">
      <c r="A107" s="6">
        <v>380929</v>
      </c>
      <c r="B107" s="6" t="s">
        <v>31</v>
      </c>
      <c r="C107" s="6" t="s">
        <v>1160</v>
      </c>
      <c r="D107" s="7" t="s">
        <v>36</v>
      </c>
      <c r="E107" s="230">
        <v>40193</v>
      </c>
      <c r="F107" s="6" t="s">
        <v>1161</v>
      </c>
      <c r="G107" s="6" t="s">
        <v>15</v>
      </c>
      <c r="H107" s="6" t="s">
        <v>296</v>
      </c>
      <c r="I107" s="6" t="s">
        <v>1162</v>
      </c>
      <c r="J107" s="6" t="s">
        <v>16</v>
      </c>
      <c r="K107" s="6" t="s">
        <v>298</v>
      </c>
      <c r="L107" s="6" t="s">
        <v>1163</v>
      </c>
      <c r="M107" s="6" t="s">
        <v>23</v>
      </c>
      <c r="N107" s="25" t="s">
        <v>1163</v>
      </c>
      <c r="O107" s="6" t="s">
        <v>1162</v>
      </c>
      <c r="P107" s="10" t="s">
        <v>23</v>
      </c>
      <c r="Q107" s="10" t="s">
        <v>23</v>
      </c>
      <c r="R107" s="6" t="s">
        <v>96</v>
      </c>
      <c r="S107" s="15">
        <v>3768</v>
      </c>
      <c r="T107" s="6" t="s">
        <v>157</v>
      </c>
      <c r="U107" s="12">
        <v>9000</v>
      </c>
      <c r="V107" s="10" t="s">
        <v>23</v>
      </c>
      <c r="W107" s="10" t="s">
        <v>23</v>
      </c>
      <c r="X107" s="10" t="s">
        <v>23</v>
      </c>
      <c r="Y107" s="10" t="s">
        <v>23</v>
      </c>
      <c r="Z107" s="13">
        <v>42073</v>
      </c>
      <c r="AA107" s="13" t="s">
        <v>23</v>
      </c>
      <c r="AB107" s="10" t="s">
        <v>1164</v>
      </c>
      <c r="AC107" s="11" t="s">
        <v>1165</v>
      </c>
      <c r="AD107" s="6" t="s">
        <v>22</v>
      </c>
      <c r="AE107" s="10" t="s">
        <v>17</v>
      </c>
      <c r="AF107" s="6" t="s">
        <v>1166</v>
      </c>
      <c r="AG107" s="5"/>
      <c r="AH107" s="5"/>
      <c r="AI107" s="5"/>
      <c r="AJ107" s="5"/>
      <c r="AK107" s="5"/>
    </row>
    <row r="108" spans="1:37" s="3" customFormat="1" ht="50.1" customHeight="1" x14ac:dyDescent="0.3">
      <c r="A108" s="6">
        <v>701137</v>
      </c>
      <c r="B108" s="6" t="s">
        <v>143</v>
      </c>
      <c r="C108" s="67" t="s">
        <v>1167</v>
      </c>
      <c r="D108" s="156" t="s">
        <v>144</v>
      </c>
      <c r="E108" s="230">
        <v>44597</v>
      </c>
      <c r="F108" s="6" t="s">
        <v>1168</v>
      </c>
      <c r="G108" s="6" t="s">
        <v>15</v>
      </c>
      <c r="H108" s="6" t="s">
        <v>1169</v>
      </c>
      <c r="I108" s="6" t="s">
        <v>1170</v>
      </c>
      <c r="J108" s="6" t="s">
        <v>16</v>
      </c>
      <c r="K108" s="6" t="s">
        <v>298</v>
      </c>
      <c r="L108" s="6" t="s">
        <v>1171</v>
      </c>
      <c r="M108" s="7" t="s">
        <v>23</v>
      </c>
      <c r="N108" s="36" t="s">
        <v>1172</v>
      </c>
      <c r="O108" s="6" t="s">
        <v>1173</v>
      </c>
      <c r="P108" s="10" t="s">
        <v>17</v>
      </c>
      <c r="Q108" s="10" t="s">
        <v>17</v>
      </c>
      <c r="R108" s="6" t="s">
        <v>96</v>
      </c>
      <c r="S108" s="11" t="s">
        <v>1174</v>
      </c>
      <c r="T108" s="10" t="s">
        <v>157</v>
      </c>
      <c r="U108" s="12" t="s">
        <v>181</v>
      </c>
      <c r="V108" s="6" t="s">
        <v>17</v>
      </c>
      <c r="W108" s="6" t="s">
        <v>17</v>
      </c>
      <c r="X108" s="6" t="s">
        <v>17</v>
      </c>
      <c r="Y108" s="6" t="s">
        <v>17</v>
      </c>
      <c r="Z108" s="6" t="s">
        <v>17</v>
      </c>
      <c r="AA108" s="6" t="s">
        <v>17</v>
      </c>
      <c r="AB108" s="6" t="s">
        <v>17</v>
      </c>
      <c r="AC108" s="10" t="s">
        <v>1175</v>
      </c>
      <c r="AD108" s="10" t="s">
        <v>19</v>
      </c>
      <c r="AE108" s="10" t="s">
        <v>17</v>
      </c>
      <c r="AF108" s="6" t="s">
        <v>1176</v>
      </c>
      <c r="AI108" s="14"/>
      <c r="AJ108" s="14"/>
      <c r="AK108" s="14"/>
    </row>
    <row r="109" spans="1:37" s="323" customFormat="1" ht="50.1" customHeight="1" x14ac:dyDescent="0.3">
      <c r="A109" s="25" t="s">
        <v>123</v>
      </c>
      <c r="B109" s="43" t="s">
        <v>1177</v>
      </c>
      <c r="C109" s="43" t="s">
        <v>1178</v>
      </c>
      <c r="D109" s="6" t="s">
        <v>36</v>
      </c>
      <c r="E109" s="230">
        <v>44034</v>
      </c>
      <c r="F109" s="100" t="s">
        <v>564</v>
      </c>
      <c r="G109" s="6" t="s">
        <v>15</v>
      </c>
      <c r="H109" s="36" t="s">
        <v>296</v>
      </c>
      <c r="I109" s="36" t="s">
        <v>1179</v>
      </c>
      <c r="J109" s="6" t="s">
        <v>16</v>
      </c>
      <c r="K109" s="6" t="s">
        <v>298</v>
      </c>
      <c r="L109" s="22" t="s">
        <v>1180</v>
      </c>
      <c r="M109" s="47" t="s">
        <v>460</v>
      </c>
      <c r="N109" s="321" t="s">
        <v>1181</v>
      </c>
      <c r="O109" s="251" t="s">
        <v>1182</v>
      </c>
      <c r="P109" s="10" t="s">
        <v>17</v>
      </c>
      <c r="Q109" s="10" t="s">
        <v>17</v>
      </c>
      <c r="R109" s="6" t="s">
        <v>96</v>
      </c>
      <c r="S109" s="322" t="s">
        <v>1183</v>
      </c>
      <c r="T109" s="32" t="s">
        <v>38</v>
      </c>
      <c r="U109" s="41" t="s">
        <v>124</v>
      </c>
      <c r="V109" s="40" t="s">
        <v>1057</v>
      </c>
      <c r="W109" s="41" t="s">
        <v>17</v>
      </c>
      <c r="X109" s="41" t="s">
        <v>17</v>
      </c>
      <c r="Y109" s="41" t="s">
        <v>17</v>
      </c>
      <c r="Z109" s="41" t="s">
        <v>17</v>
      </c>
      <c r="AA109" s="41" t="s">
        <v>17</v>
      </c>
      <c r="AB109" s="41" t="s">
        <v>17</v>
      </c>
      <c r="AC109" s="41" t="s">
        <v>1184</v>
      </c>
      <c r="AD109" s="10" t="s">
        <v>82</v>
      </c>
      <c r="AE109" s="10" t="s">
        <v>17</v>
      </c>
      <c r="AF109" s="7" t="s">
        <v>1185</v>
      </c>
      <c r="AG109" s="14"/>
      <c r="AH109" s="14"/>
      <c r="AI109" s="5"/>
      <c r="AJ109" s="5"/>
      <c r="AK109" s="5"/>
    </row>
    <row r="110" spans="1:37" s="3" customFormat="1" ht="50.1" customHeight="1" x14ac:dyDescent="0.3">
      <c r="A110" s="6">
        <v>523281</v>
      </c>
      <c r="B110" s="6" t="s">
        <v>228</v>
      </c>
      <c r="C110" s="6" t="s">
        <v>1186</v>
      </c>
      <c r="D110" s="100" t="s">
        <v>228</v>
      </c>
      <c r="E110" s="324">
        <v>42005</v>
      </c>
      <c r="F110" s="100" t="s">
        <v>1187</v>
      </c>
      <c r="G110" s="31" t="s">
        <v>229</v>
      </c>
      <c r="H110" s="6" t="s">
        <v>296</v>
      </c>
      <c r="I110" s="6" t="s">
        <v>1188</v>
      </c>
      <c r="J110" s="6" t="s">
        <v>16</v>
      </c>
      <c r="K110" s="100" t="s">
        <v>316</v>
      </c>
      <c r="L110" s="6" t="s">
        <v>516</v>
      </c>
      <c r="M110" s="6" t="s">
        <v>1189</v>
      </c>
      <c r="N110" s="25" t="s">
        <v>1190</v>
      </c>
      <c r="O110" s="6" t="s">
        <v>516</v>
      </c>
      <c r="P110" s="10" t="s">
        <v>23</v>
      </c>
      <c r="Q110" s="10" t="s">
        <v>23</v>
      </c>
      <c r="R110" s="6" t="s">
        <v>17</v>
      </c>
      <c r="S110" s="11" t="s">
        <v>1191</v>
      </c>
      <c r="T110" s="32" t="s">
        <v>38</v>
      </c>
      <c r="U110" s="12" t="s">
        <v>23</v>
      </c>
      <c r="V110" s="10" t="s">
        <v>23</v>
      </c>
      <c r="W110" s="10" t="s">
        <v>23</v>
      </c>
      <c r="X110" s="10" t="s">
        <v>23</v>
      </c>
      <c r="Y110" s="10" t="s">
        <v>23</v>
      </c>
      <c r="Z110" s="10" t="s">
        <v>23</v>
      </c>
      <c r="AA110" s="10" t="s">
        <v>23</v>
      </c>
      <c r="AB110" s="10" t="s">
        <v>23</v>
      </c>
      <c r="AC110" s="235" t="s">
        <v>1192</v>
      </c>
      <c r="AD110" s="10" t="s">
        <v>19</v>
      </c>
      <c r="AE110" s="10" t="s">
        <v>17</v>
      </c>
      <c r="AF110" s="6" t="s">
        <v>423</v>
      </c>
      <c r="AG110" s="5"/>
      <c r="AH110" s="5"/>
      <c r="AI110" s="14"/>
      <c r="AJ110" s="14"/>
      <c r="AK110" s="14"/>
    </row>
    <row r="111" spans="1:37" s="3" customFormat="1" ht="50.1" customHeight="1" x14ac:dyDescent="0.3">
      <c r="A111" s="199">
        <v>762247</v>
      </c>
      <c r="B111" s="6" t="s">
        <v>137</v>
      </c>
      <c r="C111" s="199" t="s">
        <v>1193</v>
      </c>
      <c r="D111" s="199" t="s">
        <v>242</v>
      </c>
      <c r="E111" s="236">
        <v>44911</v>
      </c>
      <c r="F111" s="199" t="s">
        <v>847</v>
      </c>
      <c r="G111" s="6" t="s">
        <v>15</v>
      </c>
      <c r="H111" s="258" t="s">
        <v>513</v>
      </c>
      <c r="I111" s="6" t="s">
        <v>904</v>
      </c>
      <c r="J111" s="6" t="s">
        <v>16</v>
      </c>
      <c r="K111" s="6" t="s">
        <v>298</v>
      </c>
      <c r="L111" s="199" t="s">
        <v>35</v>
      </c>
      <c r="M111" s="199" t="s">
        <v>17</v>
      </c>
      <c r="N111" s="220" t="s">
        <v>1194</v>
      </c>
      <c r="O111" s="258" t="s">
        <v>516</v>
      </c>
      <c r="P111" s="199" t="s">
        <v>17</v>
      </c>
      <c r="Q111" s="199" t="s">
        <v>17</v>
      </c>
      <c r="R111" s="6" t="s">
        <v>96</v>
      </c>
      <c r="S111" s="199" t="s">
        <v>1191</v>
      </c>
      <c r="T111" s="32" t="s">
        <v>38</v>
      </c>
      <c r="U111" s="199" t="s">
        <v>206</v>
      </c>
      <c r="V111" s="199" t="s">
        <v>17</v>
      </c>
      <c r="W111" s="199" t="s">
        <v>17</v>
      </c>
      <c r="X111" s="199" t="s">
        <v>17</v>
      </c>
      <c r="Y111" s="199" t="s">
        <v>17</v>
      </c>
      <c r="Z111" s="199" t="s">
        <v>17</v>
      </c>
      <c r="AA111" s="199" t="s">
        <v>17</v>
      </c>
      <c r="AB111" s="199" t="s">
        <v>17</v>
      </c>
      <c r="AC111" s="199" t="s">
        <v>1195</v>
      </c>
      <c r="AD111" s="199" t="s">
        <v>19</v>
      </c>
      <c r="AE111" s="10" t="s">
        <v>17</v>
      </c>
      <c r="AF111" s="293" t="s">
        <v>1196</v>
      </c>
      <c r="AI111" s="14"/>
      <c r="AJ111" s="14"/>
      <c r="AK111" s="14"/>
    </row>
    <row r="112" spans="1:37" s="3" customFormat="1" ht="50.1" customHeight="1" x14ac:dyDescent="0.3">
      <c r="A112" s="6">
        <v>520242</v>
      </c>
      <c r="B112" s="6" t="s">
        <v>228</v>
      </c>
      <c r="C112" s="6" t="s">
        <v>1197</v>
      </c>
      <c r="D112" s="6" t="s">
        <v>228</v>
      </c>
      <c r="E112" s="230">
        <v>42213</v>
      </c>
      <c r="F112" s="6" t="s">
        <v>585</v>
      </c>
      <c r="G112" s="31" t="s">
        <v>229</v>
      </c>
      <c r="H112" s="6" t="s">
        <v>296</v>
      </c>
      <c r="I112" s="6" t="s">
        <v>1198</v>
      </c>
      <c r="J112" s="6" t="s">
        <v>16</v>
      </c>
      <c r="K112" s="6" t="s">
        <v>316</v>
      </c>
      <c r="L112" s="6" t="s">
        <v>1199</v>
      </c>
      <c r="M112" s="6" t="s">
        <v>588</v>
      </c>
      <c r="N112" s="25" t="s">
        <v>1190</v>
      </c>
      <c r="O112" s="6" t="s">
        <v>148</v>
      </c>
      <c r="P112" s="10" t="s">
        <v>23</v>
      </c>
      <c r="Q112" s="10" t="s">
        <v>23</v>
      </c>
      <c r="R112" s="60" t="s">
        <v>148</v>
      </c>
      <c r="S112" s="11" t="s">
        <v>1200</v>
      </c>
      <c r="T112" s="32" t="s">
        <v>38</v>
      </c>
      <c r="U112" s="12" t="s">
        <v>23</v>
      </c>
      <c r="V112" s="10" t="s">
        <v>23</v>
      </c>
      <c r="W112" s="10" t="s">
        <v>23</v>
      </c>
      <c r="X112" s="10" t="s">
        <v>23</v>
      </c>
      <c r="Y112" s="10" t="s">
        <v>23</v>
      </c>
      <c r="Z112" s="10" t="s">
        <v>23</v>
      </c>
      <c r="AA112" s="10" t="s">
        <v>23</v>
      </c>
      <c r="AB112" s="10" t="s">
        <v>23</v>
      </c>
      <c r="AC112" s="11" t="s">
        <v>1201</v>
      </c>
      <c r="AD112" s="10" t="s">
        <v>19</v>
      </c>
      <c r="AE112" s="10" t="s">
        <v>17</v>
      </c>
      <c r="AF112" s="6" t="s">
        <v>322</v>
      </c>
      <c r="AG112" s="5"/>
      <c r="AH112" s="5" t="s">
        <v>1202</v>
      </c>
      <c r="AI112" s="5"/>
      <c r="AJ112" s="5"/>
      <c r="AK112" s="5"/>
    </row>
    <row r="113" spans="1:37" s="3" customFormat="1" ht="50.1" customHeight="1" x14ac:dyDescent="0.3">
      <c r="A113" s="258">
        <v>742619</v>
      </c>
      <c r="B113" s="6" t="s">
        <v>137</v>
      </c>
      <c r="C113" s="199" t="s">
        <v>1203</v>
      </c>
      <c r="D113" s="258" t="s">
        <v>139</v>
      </c>
      <c r="E113" s="236">
        <v>44936</v>
      </c>
      <c r="F113" s="199" t="s">
        <v>1204</v>
      </c>
      <c r="G113" s="6" t="s">
        <v>29</v>
      </c>
      <c r="H113" s="258" t="s">
        <v>1205</v>
      </c>
      <c r="I113" s="199" t="s">
        <v>1206</v>
      </c>
      <c r="J113" s="6" t="s">
        <v>16</v>
      </c>
      <c r="K113" s="6" t="s">
        <v>298</v>
      </c>
      <c r="L113" s="6" t="s">
        <v>1207</v>
      </c>
      <c r="M113" s="6" t="s">
        <v>17</v>
      </c>
      <c r="N113" s="220" t="s">
        <v>1208</v>
      </c>
      <c r="O113" s="6" t="s">
        <v>1209</v>
      </c>
      <c r="P113" s="10" t="s">
        <v>17</v>
      </c>
      <c r="Q113" s="10" t="s">
        <v>17</v>
      </c>
      <c r="R113" s="6" t="s">
        <v>96</v>
      </c>
      <c r="S113" s="11" t="s">
        <v>1210</v>
      </c>
      <c r="T113" s="10" t="s">
        <v>85</v>
      </c>
      <c r="U113" s="12" t="s">
        <v>250</v>
      </c>
      <c r="V113" s="10" t="s">
        <v>17</v>
      </c>
      <c r="W113" s="232" t="s">
        <v>17</v>
      </c>
      <c r="X113" s="12" t="s">
        <v>17</v>
      </c>
      <c r="Y113" s="10" t="s">
        <v>17</v>
      </c>
      <c r="Z113" s="13" t="s">
        <v>17</v>
      </c>
      <c r="AA113" s="13" t="s">
        <v>17</v>
      </c>
      <c r="AB113" s="10" t="s">
        <v>17</v>
      </c>
      <c r="AC113" s="10" t="s">
        <v>1211</v>
      </c>
      <c r="AD113" s="10" t="s">
        <v>19</v>
      </c>
      <c r="AE113" s="10" t="s">
        <v>17</v>
      </c>
      <c r="AF113" s="10" t="s">
        <v>1212</v>
      </c>
      <c r="AG113" s="5"/>
      <c r="AH113" s="5"/>
      <c r="AI113" s="14"/>
      <c r="AJ113" s="14"/>
      <c r="AK113" s="14"/>
    </row>
    <row r="114" spans="1:37" ht="50.1" customHeight="1" x14ac:dyDescent="0.3">
      <c r="A114" s="6">
        <v>523035</v>
      </c>
      <c r="B114" s="6" t="s">
        <v>228</v>
      </c>
      <c r="C114" s="6" t="s">
        <v>1213</v>
      </c>
      <c r="D114" s="6" t="s">
        <v>228</v>
      </c>
      <c r="E114" s="325">
        <v>41653</v>
      </c>
      <c r="F114" s="100" t="s">
        <v>1214</v>
      </c>
      <c r="G114" s="31" t="s">
        <v>229</v>
      </c>
      <c r="H114" s="6" t="s">
        <v>296</v>
      </c>
      <c r="I114" s="6" t="s">
        <v>1215</v>
      </c>
      <c r="J114" s="6" t="s">
        <v>16</v>
      </c>
      <c r="K114" s="100" t="s">
        <v>316</v>
      </c>
      <c r="L114" s="6" t="s">
        <v>1216</v>
      </c>
      <c r="M114" s="6" t="s">
        <v>1217</v>
      </c>
      <c r="N114" s="25" t="s">
        <v>1218</v>
      </c>
      <c r="O114" s="6" t="s">
        <v>1219</v>
      </c>
      <c r="P114" s="10" t="s">
        <v>23</v>
      </c>
      <c r="Q114" s="10" t="s">
        <v>23</v>
      </c>
      <c r="R114" s="6" t="s">
        <v>96</v>
      </c>
      <c r="S114" s="11" t="s">
        <v>1220</v>
      </c>
      <c r="T114" s="32" t="s">
        <v>38</v>
      </c>
      <c r="U114" s="12" t="s">
        <v>23</v>
      </c>
      <c r="V114" s="10" t="s">
        <v>23</v>
      </c>
      <c r="W114" s="10" t="s">
        <v>23</v>
      </c>
      <c r="X114" s="10" t="s">
        <v>23</v>
      </c>
      <c r="Y114" s="10" t="s">
        <v>23</v>
      </c>
      <c r="Z114" s="10" t="s">
        <v>23</v>
      </c>
      <c r="AA114" s="10" t="s">
        <v>23</v>
      </c>
      <c r="AB114" s="10" t="s">
        <v>23</v>
      </c>
      <c r="AC114" s="15" t="s">
        <v>1221</v>
      </c>
      <c r="AD114" s="10" t="s">
        <v>19</v>
      </c>
      <c r="AE114" s="10" t="s">
        <v>17</v>
      </c>
      <c r="AF114" s="6" t="s">
        <v>423</v>
      </c>
      <c r="AG114" s="5"/>
      <c r="AH114" s="5"/>
      <c r="AI114" s="14"/>
      <c r="AJ114" s="14"/>
      <c r="AK114" s="14"/>
    </row>
    <row r="115" spans="1:37" s="3" customFormat="1" ht="50.1" customHeight="1" x14ac:dyDescent="0.3">
      <c r="A115" s="260">
        <v>660248</v>
      </c>
      <c r="B115" s="6" t="s">
        <v>137</v>
      </c>
      <c r="C115" s="276" t="s">
        <v>1222</v>
      </c>
      <c r="D115" s="260" t="s">
        <v>242</v>
      </c>
      <c r="E115" s="274">
        <v>44125</v>
      </c>
      <c r="F115" s="260" t="s">
        <v>1223</v>
      </c>
      <c r="G115" s="6" t="s">
        <v>29</v>
      </c>
      <c r="H115" s="260" t="s">
        <v>1224</v>
      </c>
      <c r="I115" s="260" t="s">
        <v>1225</v>
      </c>
      <c r="J115" s="6" t="s">
        <v>16</v>
      </c>
      <c r="K115" s="6" t="s">
        <v>298</v>
      </c>
      <c r="L115" s="260" t="s">
        <v>1226</v>
      </c>
      <c r="M115" s="275" t="s">
        <v>17</v>
      </c>
      <c r="N115" s="276" t="s">
        <v>1227</v>
      </c>
      <c r="O115" s="275" t="s">
        <v>17</v>
      </c>
      <c r="P115" s="277" t="s">
        <v>1228</v>
      </c>
      <c r="Q115" s="275" t="s">
        <v>17</v>
      </c>
      <c r="R115" s="6" t="s">
        <v>17</v>
      </c>
      <c r="S115" s="279" t="s">
        <v>1229</v>
      </c>
      <c r="T115" s="278" t="s">
        <v>17</v>
      </c>
      <c r="U115" s="278" t="s">
        <v>17</v>
      </c>
      <c r="V115" s="278" t="s">
        <v>17</v>
      </c>
      <c r="W115" s="278" t="s">
        <v>17</v>
      </c>
      <c r="X115" s="278" t="s">
        <v>17</v>
      </c>
      <c r="Y115" s="278" t="s">
        <v>1228</v>
      </c>
      <c r="Z115" s="280" t="s">
        <v>1230</v>
      </c>
      <c r="AA115" s="280" t="s">
        <v>17</v>
      </c>
      <c r="AB115" s="281" t="s">
        <v>87</v>
      </c>
      <c r="AC115" s="260" t="s">
        <v>1231</v>
      </c>
      <c r="AD115" s="275" t="s">
        <v>24</v>
      </c>
      <c r="AE115" s="10" t="s">
        <v>17</v>
      </c>
      <c r="AF115" s="275" t="s">
        <v>1232</v>
      </c>
      <c r="AG115" s="215"/>
      <c r="AH115" s="215"/>
      <c r="AI115" s="14"/>
      <c r="AJ115" s="14"/>
      <c r="AK115" s="14"/>
    </row>
    <row r="116" spans="1:37" s="3" customFormat="1" ht="50.1" customHeight="1" x14ac:dyDescent="0.3">
      <c r="A116" s="251" t="s">
        <v>251</v>
      </c>
      <c r="B116" s="6" t="s">
        <v>137</v>
      </c>
      <c r="C116" s="25" t="s">
        <v>1233</v>
      </c>
      <c r="D116" s="6" t="s">
        <v>248</v>
      </c>
      <c r="E116" s="230">
        <v>44036</v>
      </c>
      <c r="F116" s="326" t="s">
        <v>1234</v>
      </c>
      <c r="G116" s="6" t="s">
        <v>15</v>
      </c>
      <c r="H116" s="36" t="s">
        <v>296</v>
      </c>
      <c r="I116" s="36" t="s">
        <v>1235</v>
      </c>
      <c r="J116" s="6" t="s">
        <v>16</v>
      </c>
      <c r="K116" s="6" t="s">
        <v>298</v>
      </c>
      <c r="L116" s="22" t="s">
        <v>1236</v>
      </c>
      <c r="M116" s="47" t="s">
        <v>460</v>
      </c>
      <c r="N116" s="265" t="s">
        <v>1237</v>
      </c>
      <c r="O116" s="251" t="s">
        <v>46</v>
      </c>
      <c r="P116" s="10" t="s">
        <v>17</v>
      </c>
      <c r="Q116" s="10" t="s">
        <v>17</v>
      </c>
      <c r="R116" s="60" t="s">
        <v>148</v>
      </c>
      <c r="S116" s="253" t="s">
        <v>1238</v>
      </c>
      <c r="T116" s="10" t="s">
        <v>46</v>
      </c>
      <c r="U116" s="41" t="s">
        <v>253</v>
      </c>
      <c r="V116" s="40" t="s">
        <v>17</v>
      </c>
      <c r="W116" s="41" t="s">
        <v>17</v>
      </c>
      <c r="X116" s="41" t="s">
        <v>17</v>
      </c>
      <c r="Y116" s="41" t="s">
        <v>17</v>
      </c>
      <c r="Z116" s="41" t="s">
        <v>17</v>
      </c>
      <c r="AA116" s="41" t="s">
        <v>17</v>
      </c>
      <c r="AB116" s="41" t="s">
        <v>17</v>
      </c>
      <c r="AC116" s="41" t="s">
        <v>1239</v>
      </c>
      <c r="AD116" s="32" t="s">
        <v>19</v>
      </c>
      <c r="AE116" s="10" t="s">
        <v>17</v>
      </c>
      <c r="AF116" s="7" t="s">
        <v>1240</v>
      </c>
      <c r="AI116" s="5"/>
      <c r="AJ116" s="5"/>
      <c r="AK116" s="5"/>
    </row>
    <row r="117" spans="1:37" s="3" customFormat="1" ht="50.1" customHeight="1" x14ac:dyDescent="0.3">
      <c r="A117" s="5">
        <v>660780</v>
      </c>
      <c r="B117" s="7" t="s">
        <v>143</v>
      </c>
      <c r="C117" s="7" t="s">
        <v>1241</v>
      </c>
      <c r="D117" s="66" t="s">
        <v>149</v>
      </c>
      <c r="E117" s="241">
        <v>41261</v>
      </c>
      <c r="F117" s="327" t="s">
        <v>1242</v>
      </c>
      <c r="G117" s="7" t="s">
        <v>147</v>
      </c>
      <c r="H117" s="7" t="s">
        <v>1243</v>
      </c>
      <c r="I117" s="7" t="s">
        <v>1244</v>
      </c>
      <c r="J117" s="6" t="s">
        <v>16</v>
      </c>
      <c r="K117" s="6" t="s">
        <v>327</v>
      </c>
      <c r="L117" s="7" t="s">
        <v>1245</v>
      </c>
      <c r="M117" s="7" t="s">
        <v>17</v>
      </c>
      <c r="N117" s="36" t="s">
        <v>1246</v>
      </c>
      <c r="O117" s="7" t="s">
        <v>1247</v>
      </c>
      <c r="P117" s="32" t="s">
        <v>17</v>
      </c>
      <c r="Q117" s="32" t="s">
        <v>17</v>
      </c>
      <c r="R117" s="6" t="s">
        <v>96</v>
      </c>
      <c r="S117" s="35" t="s">
        <v>1248</v>
      </c>
      <c r="T117" s="287" t="s">
        <v>59</v>
      </c>
      <c r="U117" s="33" t="s">
        <v>182</v>
      </c>
      <c r="V117" s="32" t="s">
        <v>17</v>
      </c>
      <c r="W117" s="37" t="s">
        <v>17</v>
      </c>
      <c r="X117" s="33" t="s">
        <v>17</v>
      </c>
      <c r="Y117" s="32" t="s">
        <v>17</v>
      </c>
      <c r="Z117" s="44">
        <v>42062</v>
      </c>
      <c r="AA117" s="44" t="s">
        <v>17</v>
      </c>
      <c r="AB117" s="32" t="s">
        <v>17</v>
      </c>
      <c r="AC117" s="44" t="s">
        <v>1249</v>
      </c>
      <c r="AD117" s="6" t="s">
        <v>22</v>
      </c>
      <c r="AE117" s="10" t="s">
        <v>17</v>
      </c>
      <c r="AF117" s="7" t="s">
        <v>1250</v>
      </c>
      <c r="AG117" s="14"/>
      <c r="AH117" s="14"/>
      <c r="AI117" s="5"/>
      <c r="AJ117" s="5"/>
      <c r="AK117" s="5"/>
    </row>
    <row r="118" spans="1:37" s="3" customFormat="1" ht="50.1" customHeight="1" x14ac:dyDescent="0.3">
      <c r="A118" s="6">
        <v>334859</v>
      </c>
      <c r="B118" s="6" t="s">
        <v>31</v>
      </c>
      <c r="C118" s="6" t="s">
        <v>1251</v>
      </c>
      <c r="D118" s="7" t="s">
        <v>36</v>
      </c>
      <c r="E118" s="230">
        <v>40165</v>
      </c>
      <c r="F118" s="328" t="s">
        <v>1252</v>
      </c>
      <c r="G118" s="9" t="s">
        <v>33</v>
      </c>
      <c r="H118" s="6" t="s">
        <v>296</v>
      </c>
      <c r="I118" s="6" t="s">
        <v>1253</v>
      </c>
      <c r="J118" s="6" t="s">
        <v>16</v>
      </c>
      <c r="K118" s="6" t="s">
        <v>298</v>
      </c>
      <c r="L118" s="6" t="s">
        <v>444</v>
      </c>
      <c r="M118" s="6" t="s">
        <v>23</v>
      </c>
      <c r="N118" s="25" t="s">
        <v>1254</v>
      </c>
      <c r="O118" s="6" t="s">
        <v>1255</v>
      </c>
      <c r="P118" s="10" t="s">
        <v>23</v>
      </c>
      <c r="Q118" s="10" t="s">
        <v>23</v>
      </c>
      <c r="R118" s="6" t="s">
        <v>96</v>
      </c>
      <c r="S118" s="15">
        <v>3826</v>
      </c>
      <c r="T118" s="10" t="s">
        <v>59</v>
      </c>
      <c r="U118" s="12">
        <v>7030</v>
      </c>
      <c r="V118" s="10" t="s">
        <v>23</v>
      </c>
      <c r="W118" s="10" t="s">
        <v>23</v>
      </c>
      <c r="X118" s="10" t="s">
        <v>23</v>
      </c>
      <c r="Y118" s="10" t="s">
        <v>23</v>
      </c>
      <c r="Z118" s="13">
        <v>40704</v>
      </c>
      <c r="AA118" s="13">
        <v>40983</v>
      </c>
      <c r="AB118" s="10" t="s">
        <v>1256</v>
      </c>
      <c r="AC118" s="11" t="s">
        <v>1257</v>
      </c>
      <c r="AD118" s="6" t="s">
        <v>22</v>
      </c>
      <c r="AE118" s="10" t="s">
        <v>389</v>
      </c>
      <c r="AF118" s="6" t="s">
        <v>546</v>
      </c>
      <c r="AG118" s="14"/>
      <c r="AH118" s="14"/>
      <c r="AI118" s="14"/>
      <c r="AJ118" s="14"/>
      <c r="AK118" s="14"/>
    </row>
    <row r="119" spans="1:37" s="3" customFormat="1" ht="50.1" customHeight="1" x14ac:dyDescent="0.3">
      <c r="A119" s="329">
        <v>650110</v>
      </c>
      <c r="B119" s="329" t="s">
        <v>143</v>
      </c>
      <c r="C119" s="329" t="s">
        <v>1258</v>
      </c>
      <c r="D119" s="329" t="s">
        <v>149</v>
      </c>
      <c r="E119" s="241">
        <v>41753</v>
      </c>
      <c r="F119" s="330" t="s">
        <v>1259</v>
      </c>
      <c r="G119" s="329" t="s">
        <v>147</v>
      </c>
      <c r="H119" s="329" t="s">
        <v>1260</v>
      </c>
      <c r="I119" s="329" t="s">
        <v>1261</v>
      </c>
      <c r="J119" s="6" t="s">
        <v>16</v>
      </c>
      <c r="K119" s="668" t="s">
        <v>781</v>
      </c>
      <c r="L119" s="329" t="s">
        <v>1245</v>
      </c>
      <c r="M119" s="329" t="s">
        <v>17</v>
      </c>
      <c r="N119" s="36" t="s">
        <v>1262</v>
      </c>
      <c r="O119" s="329" t="s">
        <v>1263</v>
      </c>
      <c r="P119" s="329" t="s">
        <v>17</v>
      </c>
      <c r="Q119" s="329" t="s">
        <v>17</v>
      </c>
      <c r="R119" s="6" t="s">
        <v>96</v>
      </c>
      <c r="S119" s="329" t="s">
        <v>1264</v>
      </c>
      <c r="T119" s="10" t="s">
        <v>51</v>
      </c>
      <c r="U119" s="329" t="s">
        <v>183</v>
      </c>
      <c r="V119" s="329" t="s">
        <v>17</v>
      </c>
      <c r="W119" s="329" t="s">
        <v>17</v>
      </c>
      <c r="X119" s="329" t="s">
        <v>17</v>
      </c>
      <c r="Y119" s="329" t="s">
        <v>17</v>
      </c>
      <c r="Z119" s="329" t="s">
        <v>17</v>
      </c>
      <c r="AA119" s="329" t="s">
        <v>17</v>
      </c>
      <c r="AB119" s="329" t="s">
        <v>17</v>
      </c>
      <c r="AC119" s="329" t="s">
        <v>1265</v>
      </c>
      <c r="AD119" s="329" t="s">
        <v>19</v>
      </c>
      <c r="AE119" s="10" t="s">
        <v>17</v>
      </c>
      <c r="AF119" s="329" t="s">
        <v>1266</v>
      </c>
      <c r="AG119" s="5"/>
      <c r="AH119" s="5"/>
      <c r="AI119" s="5"/>
      <c r="AJ119" s="5"/>
      <c r="AK119" s="5"/>
    </row>
    <row r="120" spans="1:37" s="3" customFormat="1" ht="50.1" customHeight="1" x14ac:dyDescent="0.3">
      <c r="A120" s="6">
        <v>529997</v>
      </c>
      <c r="B120" s="6" t="s">
        <v>31</v>
      </c>
      <c r="C120" s="6" t="s">
        <v>1267</v>
      </c>
      <c r="D120" s="7" t="s">
        <v>36</v>
      </c>
      <c r="E120" s="230">
        <v>42539</v>
      </c>
      <c r="F120" s="328" t="s">
        <v>1268</v>
      </c>
      <c r="G120" s="9" t="s">
        <v>33</v>
      </c>
      <c r="H120" s="6" t="s">
        <v>296</v>
      </c>
      <c r="I120" s="6" t="s">
        <v>1269</v>
      </c>
      <c r="J120" s="6" t="s">
        <v>16</v>
      </c>
      <c r="K120" s="6" t="s">
        <v>298</v>
      </c>
      <c r="L120" s="6" t="s">
        <v>444</v>
      </c>
      <c r="M120" s="6" t="s">
        <v>23</v>
      </c>
      <c r="N120" s="25" t="s">
        <v>1270</v>
      </c>
      <c r="O120" s="6" t="s">
        <v>1271</v>
      </c>
      <c r="P120" s="10" t="s">
        <v>23</v>
      </c>
      <c r="Q120" s="10" t="s">
        <v>23</v>
      </c>
      <c r="R120" s="6" t="s">
        <v>96</v>
      </c>
      <c r="S120" s="15" t="s">
        <v>1272</v>
      </c>
      <c r="T120" s="10" t="s">
        <v>68</v>
      </c>
      <c r="U120" s="12">
        <v>1534</v>
      </c>
      <c r="V120" s="10" t="s">
        <v>23</v>
      </c>
      <c r="W120" s="10" t="s">
        <v>23</v>
      </c>
      <c r="X120" s="10" t="s">
        <v>23</v>
      </c>
      <c r="Y120" s="10" t="s">
        <v>23</v>
      </c>
      <c r="Z120" s="13">
        <v>44258</v>
      </c>
      <c r="AA120" s="10" t="s">
        <v>23</v>
      </c>
      <c r="AB120" s="10" t="s">
        <v>23</v>
      </c>
      <c r="AC120" s="60" t="s">
        <v>1273</v>
      </c>
      <c r="AD120" s="6" t="s">
        <v>22</v>
      </c>
      <c r="AE120" s="10" t="s">
        <v>439</v>
      </c>
      <c r="AF120" s="6" t="s">
        <v>546</v>
      </c>
      <c r="AG120" s="14"/>
      <c r="AH120" s="14"/>
      <c r="AI120" s="14"/>
      <c r="AJ120" s="14"/>
      <c r="AK120" s="14"/>
    </row>
    <row r="121" spans="1:37" s="3" customFormat="1" ht="50.1" customHeight="1" x14ac:dyDescent="0.3">
      <c r="A121" s="6">
        <v>362094</v>
      </c>
      <c r="B121" s="6" t="s">
        <v>31</v>
      </c>
      <c r="C121" s="6" t="s">
        <v>1274</v>
      </c>
      <c r="D121" s="7" t="s">
        <v>36</v>
      </c>
      <c r="E121" s="230">
        <v>40707</v>
      </c>
      <c r="F121" s="328" t="s">
        <v>1242</v>
      </c>
      <c r="G121" s="16" t="s">
        <v>39</v>
      </c>
      <c r="H121" s="6" t="s">
        <v>296</v>
      </c>
      <c r="I121" s="6" t="s">
        <v>1275</v>
      </c>
      <c r="J121" s="6" t="s">
        <v>16</v>
      </c>
      <c r="K121" s="6" t="s">
        <v>298</v>
      </c>
      <c r="L121" s="6" t="s">
        <v>1276</v>
      </c>
      <c r="M121" s="6" t="s">
        <v>23</v>
      </c>
      <c r="N121" s="25" t="s">
        <v>1277</v>
      </c>
      <c r="O121" s="6" t="s">
        <v>1278</v>
      </c>
      <c r="P121" s="10" t="s">
        <v>1279</v>
      </c>
      <c r="Q121" s="10" t="s">
        <v>1279</v>
      </c>
      <c r="R121" s="6" t="s">
        <v>96</v>
      </c>
      <c r="S121" s="15">
        <v>3962</v>
      </c>
      <c r="T121" s="10" t="s">
        <v>61</v>
      </c>
      <c r="U121" s="12" t="s">
        <v>125</v>
      </c>
      <c r="V121" s="10" t="s">
        <v>65</v>
      </c>
      <c r="W121" s="10" t="s">
        <v>65</v>
      </c>
      <c r="X121" s="10" t="s">
        <v>65</v>
      </c>
      <c r="Y121" s="10" t="s">
        <v>65</v>
      </c>
      <c r="Z121" s="13">
        <v>42070</v>
      </c>
      <c r="AA121" s="13" t="s">
        <v>23</v>
      </c>
      <c r="AB121" s="10" t="s">
        <v>1280</v>
      </c>
      <c r="AC121" s="332" t="s">
        <v>1281</v>
      </c>
      <c r="AD121" s="6" t="s">
        <v>22</v>
      </c>
      <c r="AE121" s="10" t="s">
        <v>439</v>
      </c>
      <c r="AF121" s="6" t="s">
        <v>322</v>
      </c>
      <c r="AG121" s="5"/>
      <c r="AH121" s="5"/>
      <c r="AI121" s="5"/>
      <c r="AJ121" s="5"/>
      <c r="AK121" s="5"/>
    </row>
    <row r="122" spans="1:37" s="3" customFormat="1" ht="50.1" customHeight="1" x14ac:dyDescent="0.3">
      <c r="A122" s="6">
        <v>455749</v>
      </c>
      <c r="B122" s="6" t="s">
        <v>143</v>
      </c>
      <c r="C122" s="6" t="s">
        <v>1282</v>
      </c>
      <c r="D122" s="6" t="s">
        <v>149</v>
      </c>
      <c r="E122" s="230">
        <v>41779</v>
      </c>
      <c r="F122" s="6" t="s">
        <v>1283</v>
      </c>
      <c r="G122" s="31" t="s">
        <v>147</v>
      </c>
      <c r="H122" s="6" t="s">
        <v>296</v>
      </c>
      <c r="I122" s="6" t="s">
        <v>1284</v>
      </c>
      <c r="J122" s="6" t="s">
        <v>16</v>
      </c>
      <c r="K122" s="6" t="s">
        <v>298</v>
      </c>
      <c r="L122" s="6" t="s">
        <v>1285</v>
      </c>
      <c r="M122" s="6" t="s">
        <v>23</v>
      </c>
      <c r="N122" s="226" t="s">
        <v>1286</v>
      </c>
      <c r="O122" s="6" t="s">
        <v>1287</v>
      </c>
      <c r="P122" s="10" t="s">
        <v>23</v>
      </c>
      <c r="Q122" s="10" t="s">
        <v>23</v>
      </c>
      <c r="R122" s="6" t="s">
        <v>96</v>
      </c>
      <c r="S122" s="10" t="s">
        <v>1288</v>
      </c>
      <c r="T122" s="10" t="s">
        <v>18</v>
      </c>
      <c r="U122" s="12">
        <f>640*9</f>
        <v>5760</v>
      </c>
      <c r="V122" s="10" t="s">
        <v>23</v>
      </c>
      <c r="W122" s="10" t="s">
        <v>23</v>
      </c>
      <c r="X122" s="12" t="s">
        <v>23</v>
      </c>
      <c r="Y122" s="10" t="s">
        <v>23</v>
      </c>
      <c r="Z122" s="10" t="s">
        <v>1289</v>
      </c>
      <c r="AA122" s="13">
        <v>45327</v>
      </c>
      <c r="AB122" s="10" t="s">
        <v>23</v>
      </c>
      <c r="AC122" s="10" t="s">
        <v>1290</v>
      </c>
      <c r="AD122" s="10" t="s">
        <v>19</v>
      </c>
      <c r="AE122" s="10" t="s">
        <v>17</v>
      </c>
      <c r="AF122" s="10" t="s">
        <v>1291</v>
      </c>
      <c r="AG122" s="5"/>
      <c r="AH122" s="5"/>
      <c r="AI122" s="5"/>
      <c r="AJ122" s="5"/>
      <c r="AK122" s="5"/>
    </row>
    <row r="123" spans="1:37" s="263" customFormat="1" ht="50.1" customHeight="1" x14ac:dyDescent="0.3">
      <c r="A123" s="6">
        <v>521954</v>
      </c>
      <c r="B123" s="6" t="s">
        <v>137</v>
      </c>
      <c r="C123" s="6" t="s">
        <v>1292</v>
      </c>
      <c r="D123" s="67" t="s">
        <v>151</v>
      </c>
      <c r="E123" s="230">
        <v>42235</v>
      </c>
      <c r="F123" s="328" t="s">
        <v>1293</v>
      </c>
      <c r="G123" s="6" t="s">
        <v>15</v>
      </c>
      <c r="H123" s="6" t="s">
        <v>296</v>
      </c>
      <c r="I123" s="6" t="s">
        <v>1294</v>
      </c>
      <c r="J123" s="6" t="s">
        <v>16</v>
      </c>
      <c r="K123" s="6" t="s">
        <v>298</v>
      </c>
      <c r="L123" s="6" t="s">
        <v>1295</v>
      </c>
      <c r="M123" s="6" t="s">
        <v>23</v>
      </c>
      <c r="N123" s="25" t="s">
        <v>1295</v>
      </c>
      <c r="O123" s="6" t="s">
        <v>23</v>
      </c>
      <c r="P123" s="10">
        <v>31471732</v>
      </c>
      <c r="Q123" s="10" t="s">
        <v>23</v>
      </c>
      <c r="R123" s="60" t="s">
        <v>148</v>
      </c>
      <c r="S123" s="10" t="s">
        <v>428</v>
      </c>
      <c r="T123" s="10" t="s">
        <v>46</v>
      </c>
      <c r="U123" s="12" t="s">
        <v>23</v>
      </c>
      <c r="V123" s="10" t="s">
        <v>23</v>
      </c>
      <c r="W123" s="10" t="s">
        <v>23</v>
      </c>
      <c r="X123" s="10" t="s">
        <v>23</v>
      </c>
      <c r="Y123" s="10" t="s">
        <v>23</v>
      </c>
      <c r="Z123" s="13" t="s">
        <v>23</v>
      </c>
      <c r="AA123" s="10" t="s">
        <v>23</v>
      </c>
      <c r="AB123" s="10" t="s">
        <v>23</v>
      </c>
      <c r="AC123" s="333" t="s">
        <v>1296</v>
      </c>
      <c r="AD123" s="10" t="s">
        <v>19</v>
      </c>
      <c r="AE123" s="10" t="s">
        <v>17</v>
      </c>
      <c r="AF123" s="10" t="s">
        <v>1297</v>
      </c>
      <c r="AG123" s="311"/>
      <c r="AH123" s="311"/>
      <c r="AI123" s="14"/>
      <c r="AJ123" s="14"/>
      <c r="AK123" s="14"/>
    </row>
    <row r="124" spans="1:37" s="3" customFormat="1" ht="50.1" customHeight="1" x14ac:dyDescent="0.3">
      <c r="A124" s="7">
        <v>591951</v>
      </c>
      <c r="B124" s="6" t="s">
        <v>137</v>
      </c>
      <c r="C124" s="7" t="s">
        <v>1298</v>
      </c>
      <c r="D124" s="6" t="s">
        <v>248</v>
      </c>
      <c r="E124" s="242">
        <v>43497</v>
      </c>
      <c r="F124" s="63" t="s">
        <v>1299</v>
      </c>
      <c r="G124" s="6" t="s">
        <v>29</v>
      </c>
      <c r="H124" s="66" t="s">
        <v>296</v>
      </c>
      <c r="I124" s="66" t="s">
        <v>1300</v>
      </c>
      <c r="J124" s="6" t="s">
        <v>16</v>
      </c>
      <c r="K124" s="6" t="s">
        <v>298</v>
      </c>
      <c r="L124" s="66" t="s">
        <v>1301</v>
      </c>
      <c r="M124" s="67" t="s">
        <v>17</v>
      </c>
      <c r="N124" s="334" t="s">
        <v>1302</v>
      </c>
      <c r="O124" s="7" t="s">
        <v>17</v>
      </c>
      <c r="P124" s="32" t="s">
        <v>17</v>
      </c>
      <c r="Q124" s="32" t="s">
        <v>17</v>
      </c>
      <c r="R124" s="60" t="s">
        <v>148</v>
      </c>
      <c r="S124" s="32" t="s">
        <v>1303</v>
      </c>
      <c r="T124" s="10" t="s">
        <v>68</v>
      </c>
      <c r="U124" s="32" t="s">
        <v>17</v>
      </c>
      <c r="V124" s="32" t="s">
        <v>17</v>
      </c>
      <c r="W124" s="32" t="s">
        <v>17</v>
      </c>
      <c r="X124" s="32" t="s">
        <v>17</v>
      </c>
      <c r="Y124" s="32" t="s">
        <v>17</v>
      </c>
      <c r="Z124" s="32" t="s">
        <v>17</v>
      </c>
      <c r="AA124" s="32" t="s">
        <v>17</v>
      </c>
      <c r="AB124" s="32" t="s">
        <v>17</v>
      </c>
      <c r="AC124" s="335" t="s">
        <v>1304</v>
      </c>
      <c r="AD124" s="10" t="s">
        <v>19</v>
      </c>
      <c r="AE124" s="10" t="s">
        <v>17</v>
      </c>
      <c r="AF124" s="7" t="s">
        <v>787</v>
      </c>
      <c r="AG124" s="245"/>
      <c r="AH124" s="245"/>
      <c r="AI124" s="5"/>
      <c r="AJ124" s="5"/>
      <c r="AK124" s="5"/>
    </row>
    <row r="125" spans="1:37" s="3" customFormat="1" ht="50.1" customHeight="1" x14ac:dyDescent="0.3">
      <c r="A125" s="7" t="s">
        <v>17</v>
      </c>
      <c r="B125" s="7" t="s">
        <v>31</v>
      </c>
      <c r="C125" s="7" t="s">
        <v>1305</v>
      </c>
      <c r="D125" s="7" t="s">
        <v>36</v>
      </c>
      <c r="E125" s="241">
        <v>42996</v>
      </c>
      <c r="F125" s="336" t="s">
        <v>1306</v>
      </c>
      <c r="G125" s="16" t="s">
        <v>39</v>
      </c>
      <c r="H125" s="66" t="s">
        <v>1307</v>
      </c>
      <c r="I125" s="66" t="s">
        <v>1308</v>
      </c>
      <c r="J125" s="6" t="s">
        <v>16</v>
      </c>
      <c r="K125" s="668" t="s">
        <v>781</v>
      </c>
      <c r="L125" s="66" t="s">
        <v>1309</v>
      </c>
      <c r="M125" s="67" t="s">
        <v>23</v>
      </c>
      <c r="N125" s="334" t="s">
        <v>1309</v>
      </c>
      <c r="O125" s="7" t="s">
        <v>1310</v>
      </c>
      <c r="P125" s="10" t="s">
        <v>23</v>
      </c>
      <c r="Q125" s="10" t="s">
        <v>23</v>
      </c>
      <c r="R125" s="6" t="s">
        <v>17</v>
      </c>
      <c r="S125" s="35" t="s">
        <v>1311</v>
      </c>
      <c r="T125" s="32" t="s">
        <v>38</v>
      </c>
      <c r="U125" s="33" t="s">
        <v>126</v>
      </c>
      <c r="V125" s="10" t="s">
        <v>23</v>
      </c>
      <c r="W125" s="10" t="s">
        <v>23</v>
      </c>
      <c r="X125" s="10" t="s">
        <v>23</v>
      </c>
      <c r="Y125" s="10" t="s">
        <v>23</v>
      </c>
      <c r="Z125" s="10" t="s">
        <v>23</v>
      </c>
      <c r="AA125" s="10" t="s">
        <v>23</v>
      </c>
      <c r="AB125" s="10" t="s">
        <v>23</v>
      </c>
      <c r="AC125" s="35" t="s">
        <v>1312</v>
      </c>
      <c r="AD125" s="10" t="s">
        <v>82</v>
      </c>
      <c r="AE125" s="10" t="s">
        <v>439</v>
      </c>
      <c r="AF125" s="32" t="s">
        <v>448</v>
      </c>
      <c r="AG125" s="140"/>
      <c r="AH125" s="140"/>
      <c r="AI125" s="5"/>
      <c r="AJ125" s="5"/>
      <c r="AK125" s="5"/>
    </row>
    <row r="126" spans="1:37" s="3" customFormat="1" ht="50.1" customHeight="1" x14ac:dyDescent="0.3">
      <c r="A126" s="7">
        <v>593130</v>
      </c>
      <c r="B126" s="7" t="s">
        <v>143</v>
      </c>
      <c r="C126" s="7" t="s">
        <v>1313</v>
      </c>
      <c r="D126" s="66" t="s">
        <v>159</v>
      </c>
      <c r="E126" s="241">
        <v>42914</v>
      </c>
      <c r="F126" s="5" t="s">
        <v>1314</v>
      </c>
      <c r="G126" s="337" t="s">
        <v>147</v>
      </c>
      <c r="H126" s="66" t="s">
        <v>1315</v>
      </c>
      <c r="I126" s="337" t="s">
        <v>1316</v>
      </c>
      <c r="J126" s="6" t="s">
        <v>16</v>
      </c>
      <c r="K126" s="6" t="s">
        <v>298</v>
      </c>
      <c r="L126" s="66" t="s">
        <v>1317</v>
      </c>
      <c r="M126" s="66" t="s">
        <v>23</v>
      </c>
      <c r="N126" s="334" t="s">
        <v>1317</v>
      </c>
      <c r="O126" s="319" t="s">
        <v>17</v>
      </c>
      <c r="P126" s="319" t="s">
        <v>17</v>
      </c>
      <c r="Q126" s="319" t="s">
        <v>17</v>
      </c>
      <c r="R126" s="6" t="s">
        <v>17</v>
      </c>
      <c r="S126" s="319" t="s">
        <v>1318</v>
      </c>
      <c r="T126" s="278" t="s">
        <v>17</v>
      </c>
      <c r="U126" s="319" t="s">
        <v>17</v>
      </c>
      <c r="V126" s="319" t="s">
        <v>17</v>
      </c>
      <c r="W126" s="319" t="s">
        <v>17</v>
      </c>
      <c r="X126" s="319" t="s">
        <v>17</v>
      </c>
      <c r="Y126" s="319" t="s">
        <v>17</v>
      </c>
      <c r="Z126" s="319" t="s">
        <v>17</v>
      </c>
      <c r="AA126" s="319" t="s">
        <v>17</v>
      </c>
      <c r="AB126" s="319" t="s">
        <v>17</v>
      </c>
      <c r="AC126" s="32" t="s">
        <v>1319</v>
      </c>
      <c r="AD126" s="10" t="s">
        <v>19</v>
      </c>
      <c r="AE126" s="10" t="s">
        <v>17</v>
      </c>
      <c r="AF126" s="32" t="s">
        <v>1320</v>
      </c>
      <c r="AG126" s="5"/>
      <c r="AH126" s="5"/>
    </row>
    <row r="127" spans="1:37" s="3" customFormat="1" ht="50.1" customHeight="1" x14ac:dyDescent="0.3">
      <c r="A127" s="329" t="s">
        <v>184</v>
      </c>
      <c r="B127" s="329" t="s">
        <v>143</v>
      </c>
      <c r="C127" s="329" t="s">
        <v>1321</v>
      </c>
      <c r="D127" s="329" t="s">
        <v>149</v>
      </c>
      <c r="E127" s="241">
        <v>43509</v>
      </c>
      <c r="F127" s="329" t="s">
        <v>1322</v>
      </c>
      <c r="G127" s="7" t="s">
        <v>145</v>
      </c>
      <c r="H127" s="329" t="s">
        <v>1323</v>
      </c>
      <c r="I127" s="329" t="s">
        <v>1324</v>
      </c>
      <c r="J127" s="6" t="s">
        <v>16</v>
      </c>
      <c r="K127" s="6" t="s">
        <v>298</v>
      </c>
      <c r="L127" s="329" t="s">
        <v>365</v>
      </c>
      <c r="M127" s="329" t="s">
        <v>17</v>
      </c>
      <c r="N127" s="36" t="s">
        <v>17</v>
      </c>
      <c r="O127" s="329" t="s">
        <v>1325</v>
      </c>
      <c r="P127" s="329" t="s">
        <v>17</v>
      </c>
      <c r="Q127" s="329" t="s">
        <v>17</v>
      </c>
      <c r="R127" s="6" t="s">
        <v>96</v>
      </c>
      <c r="S127" s="329" t="s">
        <v>1326</v>
      </c>
      <c r="T127" s="329" t="s">
        <v>157</v>
      </c>
      <c r="U127" s="329" t="s">
        <v>17</v>
      </c>
      <c r="V127" s="329" t="s">
        <v>17</v>
      </c>
      <c r="W127" s="329" t="s">
        <v>17</v>
      </c>
      <c r="X127" s="329" t="s">
        <v>17</v>
      </c>
      <c r="Y127" s="329" t="s">
        <v>17</v>
      </c>
      <c r="Z127" s="329" t="s">
        <v>17</v>
      </c>
      <c r="AA127" s="329" t="s">
        <v>17</v>
      </c>
      <c r="AB127" s="329" t="s">
        <v>17</v>
      </c>
      <c r="AC127" s="329" t="s">
        <v>1327</v>
      </c>
      <c r="AD127" s="329" t="s">
        <v>24</v>
      </c>
      <c r="AE127" s="10" t="s">
        <v>17</v>
      </c>
      <c r="AF127" s="329" t="s">
        <v>768</v>
      </c>
      <c r="AG127" s="5"/>
      <c r="AH127" s="5"/>
      <c r="AI127" s="292"/>
      <c r="AJ127" s="292"/>
      <c r="AK127" s="292"/>
    </row>
    <row r="128" spans="1:37" s="3" customFormat="1" ht="50.1" customHeight="1" x14ac:dyDescent="0.3">
      <c r="A128" s="6">
        <v>651297</v>
      </c>
      <c r="B128" s="6" t="s">
        <v>143</v>
      </c>
      <c r="C128" s="6" t="s">
        <v>1328</v>
      </c>
      <c r="D128" s="67" t="s">
        <v>149</v>
      </c>
      <c r="E128" s="230">
        <v>43672</v>
      </c>
      <c r="F128" s="338" t="s">
        <v>1329</v>
      </c>
      <c r="G128" s="6" t="s">
        <v>15</v>
      </c>
      <c r="H128" s="334" t="s">
        <v>1330</v>
      </c>
      <c r="I128" s="334" t="s">
        <v>1331</v>
      </c>
      <c r="J128" s="6" t="s">
        <v>16</v>
      </c>
      <c r="K128" s="6" t="s">
        <v>327</v>
      </c>
      <c r="L128" s="67" t="s">
        <v>149</v>
      </c>
      <c r="M128" s="67" t="s">
        <v>460</v>
      </c>
      <c r="N128" s="339" t="s">
        <v>1332</v>
      </c>
      <c r="O128" s="47" t="s">
        <v>1333</v>
      </c>
      <c r="P128" s="10" t="s">
        <v>17</v>
      </c>
      <c r="Q128" s="10" t="s">
        <v>17</v>
      </c>
      <c r="R128" s="48" t="s">
        <v>185</v>
      </c>
      <c r="S128" s="25" t="s">
        <v>1334</v>
      </c>
      <c r="T128" s="48" t="s">
        <v>157</v>
      </c>
      <c r="U128" s="340"/>
      <c r="V128" s="48" t="s">
        <v>17</v>
      </c>
      <c r="W128" s="48" t="s">
        <v>17</v>
      </c>
      <c r="X128" s="48" t="s">
        <v>17</v>
      </c>
      <c r="Y128" s="48" t="s">
        <v>17</v>
      </c>
      <c r="Z128" s="48" t="s">
        <v>17</v>
      </c>
      <c r="AA128" s="48" t="s">
        <v>17</v>
      </c>
      <c r="AB128" s="48" t="s">
        <v>17</v>
      </c>
      <c r="AC128" s="6" t="s">
        <v>1335</v>
      </c>
      <c r="AD128" s="6" t="s">
        <v>19</v>
      </c>
      <c r="AE128" s="10" t="s">
        <v>17</v>
      </c>
      <c r="AF128" s="6" t="s">
        <v>1336</v>
      </c>
      <c r="AG128" s="215"/>
      <c r="AH128" s="215"/>
      <c r="AI128" s="5"/>
      <c r="AJ128" s="5"/>
      <c r="AK128" s="5"/>
    </row>
    <row r="129" spans="1:37" s="3" customFormat="1" ht="50.1" customHeight="1" x14ac:dyDescent="0.3">
      <c r="A129" s="6">
        <v>419901</v>
      </c>
      <c r="B129" s="6" t="s">
        <v>31</v>
      </c>
      <c r="C129" s="6" t="s">
        <v>1337</v>
      </c>
      <c r="D129" s="66" t="s">
        <v>36</v>
      </c>
      <c r="E129" s="230">
        <v>40898</v>
      </c>
      <c r="F129" s="341" t="s">
        <v>1338</v>
      </c>
      <c r="G129" s="9" t="s">
        <v>33</v>
      </c>
      <c r="H129" s="342" t="s">
        <v>296</v>
      </c>
      <c r="I129" s="67" t="s">
        <v>1339</v>
      </c>
      <c r="J129" s="6" t="s">
        <v>16</v>
      </c>
      <c r="K129" s="6" t="s">
        <v>298</v>
      </c>
      <c r="L129" s="6" t="s">
        <v>444</v>
      </c>
      <c r="M129" s="6" t="s">
        <v>23</v>
      </c>
      <c r="N129" s="25" t="s">
        <v>1340</v>
      </c>
      <c r="O129" s="6" t="s">
        <v>1341</v>
      </c>
      <c r="P129" s="10" t="s">
        <v>65</v>
      </c>
      <c r="Q129" s="10" t="s">
        <v>65</v>
      </c>
      <c r="R129" s="6" t="s">
        <v>96</v>
      </c>
      <c r="S129" s="15">
        <v>3992</v>
      </c>
      <c r="T129" s="10" t="s">
        <v>61</v>
      </c>
      <c r="U129" s="12" t="s">
        <v>127</v>
      </c>
      <c r="V129" s="10" t="s">
        <v>65</v>
      </c>
      <c r="W129" s="10" t="s">
        <v>65</v>
      </c>
      <c r="X129" s="10" t="s">
        <v>65</v>
      </c>
      <c r="Y129" s="10" t="s">
        <v>65</v>
      </c>
      <c r="Z129" s="13">
        <v>43868</v>
      </c>
      <c r="AA129" s="13" t="s">
        <v>23</v>
      </c>
      <c r="AB129" s="10" t="s">
        <v>65</v>
      </c>
      <c r="AC129" s="15" t="s">
        <v>1342</v>
      </c>
      <c r="AD129" s="6" t="s">
        <v>22</v>
      </c>
      <c r="AE129" s="10" t="s">
        <v>439</v>
      </c>
      <c r="AF129" s="6" t="s">
        <v>1343</v>
      </c>
      <c r="AG129" s="140"/>
      <c r="AH129" s="140"/>
      <c r="AI129" s="5"/>
      <c r="AJ129" s="5"/>
      <c r="AK129" s="5"/>
    </row>
    <row r="130" spans="1:37" s="3" customFormat="1" ht="50.1" customHeight="1" x14ac:dyDescent="0.3">
      <c r="A130" s="6">
        <v>334329</v>
      </c>
      <c r="B130" s="6" t="s">
        <v>143</v>
      </c>
      <c r="C130" s="6" t="s">
        <v>1344</v>
      </c>
      <c r="D130" s="67" t="s">
        <v>186</v>
      </c>
      <c r="E130" s="230">
        <v>32912</v>
      </c>
      <c r="F130" s="341" t="s">
        <v>1345</v>
      </c>
      <c r="G130" s="7" t="s">
        <v>145</v>
      </c>
      <c r="H130" s="67" t="s">
        <v>1346</v>
      </c>
      <c r="I130" s="67" t="s">
        <v>1347</v>
      </c>
      <c r="J130" s="6" t="s">
        <v>16</v>
      </c>
      <c r="K130" s="6" t="s">
        <v>298</v>
      </c>
      <c r="L130" s="67" t="s">
        <v>1348</v>
      </c>
      <c r="M130" s="67" t="s">
        <v>17</v>
      </c>
      <c r="N130" s="343" t="s">
        <v>1348</v>
      </c>
      <c r="O130" s="6" t="s">
        <v>23</v>
      </c>
      <c r="P130" s="10" t="s">
        <v>23</v>
      </c>
      <c r="Q130" s="10" t="s">
        <v>23</v>
      </c>
      <c r="R130" s="158" t="s">
        <v>180</v>
      </c>
      <c r="S130" s="10" t="s">
        <v>329</v>
      </c>
      <c r="T130" s="10" t="s">
        <v>187</v>
      </c>
      <c r="U130" s="12" t="s">
        <v>23</v>
      </c>
      <c r="V130" s="10" t="s">
        <v>23</v>
      </c>
      <c r="W130" s="232" t="s">
        <v>23</v>
      </c>
      <c r="X130" s="10" t="s">
        <v>23</v>
      </c>
      <c r="Y130" s="10" t="s">
        <v>23</v>
      </c>
      <c r="Z130" s="13">
        <v>35565</v>
      </c>
      <c r="AA130" s="13" t="s">
        <v>23</v>
      </c>
      <c r="AB130" s="10" t="s">
        <v>23</v>
      </c>
      <c r="AC130" s="10" t="s">
        <v>1349</v>
      </c>
      <c r="AD130" s="10" t="s">
        <v>188</v>
      </c>
      <c r="AE130" s="10" t="s">
        <v>17</v>
      </c>
      <c r="AF130" s="6" t="s">
        <v>1350</v>
      </c>
      <c r="AG130" s="5"/>
      <c r="AH130" s="5"/>
      <c r="AI130" s="5"/>
      <c r="AJ130" s="5"/>
      <c r="AK130" s="5"/>
    </row>
    <row r="131" spans="1:37" s="3" customFormat="1" ht="50.1" customHeight="1" x14ac:dyDescent="0.3">
      <c r="A131" s="7">
        <v>644896</v>
      </c>
      <c r="B131" s="6" t="s">
        <v>137</v>
      </c>
      <c r="C131" s="7" t="s">
        <v>1351</v>
      </c>
      <c r="D131" s="6" t="s">
        <v>248</v>
      </c>
      <c r="E131" s="241">
        <v>43861</v>
      </c>
      <c r="F131" s="7" t="s">
        <v>711</v>
      </c>
      <c r="G131" s="6" t="s">
        <v>29</v>
      </c>
      <c r="H131" s="7" t="s">
        <v>1352</v>
      </c>
      <c r="I131" s="7" t="s">
        <v>296</v>
      </c>
      <c r="J131" s="6" t="s">
        <v>16</v>
      </c>
      <c r="K131" s="6" t="s">
        <v>298</v>
      </c>
      <c r="L131" s="7" t="s">
        <v>1353</v>
      </c>
      <c r="M131" s="7" t="s">
        <v>17</v>
      </c>
      <c r="N131" s="36" t="s">
        <v>1354</v>
      </c>
      <c r="O131" s="7" t="s">
        <v>17</v>
      </c>
      <c r="P131" s="32" t="s">
        <v>17</v>
      </c>
      <c r="Q131" s="32" t="s">
        <v>17</v>
      </c>
      <c r="R131" s="32" t="s">
        <v>238</v>
      </c>
      <c r="S131" s="35" t="s">
        <v>1355</v>
      </c>
      <c r="T131" s="32" t="s">
        <v>21</v>
      </c>
      <c r="U131" s="33" t="s">
        <v>23</v>
      </c>
      <c r="V131" s="32" t="s">
        <v>17</v>
      </c>
      <c r="W131" s="37" t="s">
        <v>17</v>
      </c>
      <c r="X131" s="33" t="s">
        <v>17</v>
      </c>
      <c r="Y131" s="32">
        <v>0</v>
      </c>
      <c r="Z131" s="44" t="s">
        <v>1356</v>
      </c>
      <c r="AA131" s="44" t="s">
        <v>1357</v>
      </c>
      <c r="AB131" s="32" t="s">
        <v>17</v>
      </c>
      <c r="AC131" s="32" t="s">
        <v>1358</v>
      </c>
      <c r="AD131" s="6" t="s">
        <v>22</v>
      </c>
      <c r="AE131" s="10" t="s">
        <v>17</v>
      </c>
      <c r="AF131" s="7" t="s">
        <v>1359</v>
      </c>
      <c r="AG131" s="5"/>
      <c r="AH131" s="5"/>
      <c r="AI131" s="5"/>
      <c r="AJ131" s="5"/>
      <c r="AK131" s="5"/>
    </row>
    <row r="132" spans="1:37" s="3" customFormat="1" ht="50.1" customHeight="1" x14ac:dyDescent="0.3">
      <c r="A132" s="7">
        <v>600630</v>
      </c>
      <c r="B132" s="7" t="s">
        <v>143</v>
      </c>
      <c r="C132" s="7" t="s">
        <v>1360</v>
      </c>
      <c r="D132" s="7" t="s">
        <v>189</v>
      </c>
      <c r="E132" s="241">
        <v>43609</v>
      </c>
      <c r="F132" s="7" t="s">
        <v>1361</v>
      </c>
      <c r="G132" s="6" t="s">
        <v>15</v>
      </c>
      <c r="H132" s="7" t="s">
        <v>296</v>
      </c>
      <c r="I132" s="7" t="s">
        <v>1362</v>
      </c>
      <c r="J132" s="6" t="s">
        <v>16</v>
      </c>
      <c r="K132" s="6" t="s">
        <v>298</v>
      </c>
      <c r="L132" s="7" t="s">
        <v>1363</v>
      </c>
      <c r="M132" s="7" t="s">
        <v>17</v>
      </c>
      <c r="N132" s="36" t="s">
        <v>1364</v>
      </c>
      <c r="O132" s="7" t="s">
        <v>1365</v>
      </c>
      <c r="P132" s="32" t="s">
        <v>17</v>
      </c>
      <c r="Q132" s="32" t="s">
        <v>17</v>
      </c>
      <c r="R132" s="6" t="s">
        <v>96</v>
      </c>
      <c r="S132" s="35" t="s">
        <v>1366</v>
      </c>
      <c r="T132" s="32" t="s">
        <v>85</v>
      </c>
      <c r="U132" s="33">
        <v>44650</v>
      </c>
      <c r="V132" s="32" t="s">
        <v>17</v>
      </c>
      <c r="W132" s="37" t="s">
        <v>17</v>
      </c>
      <c r="X132" s="33" t="s">
        <v>17</v>
      </c>
      <c r="Y132" s="32" t="s">
        <v>17</v>
      </c>
      <c r="Z132" s="44" t="s">
        <v>17</v>
      </c>
      <c r="AA132" s="44" t="s">
        <v>17</v>
      </c>
      <c r="AB132" s="32" t="s">
        <v>17</v>
      </c>
      <c r="AC132" s="32" t="s">
        <v>1367</v>
      </c>
      <c r="AD132" s="32" t="s">
        <v>19</v>
      </c>
      <c r="AE132" s="10" t="s">
        <v>17</v>
      </c>
      <c r="AF132" s="7" t="s">
        <v>1368</v>
      </c>
      <c r="AG132" s="5"/>
      <c r="AH132" s="5"/>
      <c r="AI132" s="5"/>
      <c r="AJ132" s="5"/>
      <c r="AK132" s="5"/>
    </row>
    <row r="133" spans="1:37" s="263" customFormat="1" ht="50.1" customHeight="1" x14ac:dyDescent="0.3">
      <c r="A133" s="23">
        <v>741810</v>
      </c>
      <c r="B133" s="23" t="s">
        <v>31</v>
      </c>
      <c r="C133" s="23" t="s">
        <v>1369</v>
      </c>
      <c r="D133" s="23" t="s">
        <v>78</v>
      </c>
      <c r="E133" s="240">
        <v>45174</v>
      </c>
      <c r="F133" s="23" t="s">
        <v>1370</v>
      </c>
      <c r="G133" s="9" t="s">
        <v>33</v>
      </c>
      <c r="H133" s="6" t="s">
        <v>904</v>
      </c>
      <c r="I133" s="23" t="s">
        <v>1371</v>
      </c>
      <c r="J133" s="6" t="s">
        <v>16</v>
      </c>
      <c r="K133" s="6" t="s">
        <v>298</v>
      </c>
      <c r="L133" s="199" t="s">
        <v>1372</v>
      </c>
      <c r="M133" s="7" t="s">
        <v>17</v>
      </c>
      <c r="N133" s="39" t="s">
        <v>1373</v>
      </c>
      <c r="O133" s="23" t="s">
        <v>1374</v>
      </c>
      <c r="P133" s="6" t="s">
        <v>17</v>
      </c>
      <c r="Q133" s="6" t="s">
        <v>17</v>
      </c>
      <c r="R133" s="6" t="s">
        <v>96</v>
      </c>
      <c r="S133" s="6" t="s">
        <v>1375</v>
      </c>
      <c r="T133" s="23" t="s">
        <v>41</v>
      </c>
      <c r="U133" s="23" t="s">
        <v>128</v>
      </c>
      <c r="V133" s="23" t="s">
        <v>17</v>
      </c>
      <c r="W133" s="23" t="s">
        <v>17</v>
      </c>
      <c r="X133" s="23" t="s">
        <v>17</v>
      </c>
      <c r="Y133" s="23" t="s">
        <v>17</v>
      </c>
      <c r="Z133" s="6" t="s">
        <v>23</v>
      </c>
      <c r="AA133" s="6" t="s">
        <v>23</v>
      </c>
      <c r="AB133" s="6" t="s">
        <v>23</v>
      </c>
      <c r="AC133" s="23" t="s">
        <v>1376</v>
      </c>
      <c r="AD133" s="10" t="s">
        <v>82</v>
      </c>
      <c r="AE133" s="23" t="s">
        <v>439</v>
      </c>
      <c r="AF133" s="23" t="s">
        <v>448</v>
      </c>
      <c r="AG133" s="140"/>
      <c r="AH133" s="140"/>
      <c r="AI133" s="5"/>
      <c r="AJ133" s="5"/>
      <c r="AK133" s="5"/>
    </row>
    <row r="134" spans="1:37" s="263" customFormat="1" ht="50.1" customHeight="1" x14ac:dyDescent="0.3">
      <c r="A134" s="199">
        <v>664511</v>
      </c>
      <c r="B134" s="199" t="s">
        <v>143</v>
      </c>
      <c r="C134" s="218" t="s">
        <v>1377</v>
      </c>
      <c r="D134" s="199" t="s">
        <v>149</v>
      </c>
      <c r="E134" s="236">
        <v>44221</v>
      </c>
      <c r="F134" s="199" t="s">
        <v>1378</v>
      </c>
      <c r="G134" s="7" t="s">
        <v>145</v>
      </c>
      <c r="H134" s="199" t="s">
        <v>1379</v>
      </c>
      <c r="I134" s="199" t="s">
        <v>1380</v>
      </c>
      <c r="J134" s="6" t="s">
        <v>16</v>
      </c>
      <c r="K134" s="199" t="s">
        <v>327</v>
      </c>
      <c r="L134" s="199" t="s">
        <v>365</v>
      </c>
      <c r="M134" s="199" t="s">
        <v>17</v>
      </c>
      <c r="N134" s="23" t="s">
        <v>1381</v>
      </c>
      <c r="O134" s="199" t="s">
        <v>17</v>
      </c>
      <c r="P134" s="199" t="s">
        <v>17</v>
      </c>
      <c r="Q134" s="199" t="s">
        <v>17</v>
      </c>
      <c r="R134" s="6" t="s">
        <v>96</v>
      </c>
      <c r="S134" s="199" t="s">
        <v>1382</v>
      </c>
      <c r="T134" s="199" t="s">
        <v>157</v>
      </c>
      <c r="U134" s="199" t="s">
        <v>17</v>
      </c>
      <c r="V134" s="199" t="s">
        <v>17</v>
      </c>
      <c r="W134" s="199" t="s">
        <v>17</v>
      </c>
      <c r="X134" s="199" t="s">
        <v>17</v>
      </c>
      <c r="Y134" s="199" t="s">
        <v>17</v>
      </c>
      <c r="Z134" s="199" t="s">
        <v>17</v>
      </c>
      <c r="AA134" s="199" t="s">
        <v>17</v>
      </c>
      <c r="AB134" s="199" t="s">
        <v>17</v>
      </c>
      <c r="AC134" s="199" t="s">
        <v>1383</v>
      </c>
      <c r="AD134" s="199" t="s">
        <v>19</v>
      </c>
      <c r="AE134" s="10" t="s">
        <v>17</v>
      </c>
      <c r="AF134" s="199" t="s">
        <v>768</v>
      </c>
      <c r="AG134" s="140"/>
      <c r="AH134" s="140"/>
      <c r="AI134" s="5"/>
      <c r="AJ134" s="5"/>
      <c r="AK134" s="5"/>
    </row>
    <row r="135" spans="1:37" s="3" customFormat="1" ht="50.1" customHeight="1" x14ac:dyDescent="0.3">
      <c r="A135" s="31">
        <v>546199</v>
      </c>
      <c r="B135" s="31" t="s">
        <v>143</v>
      </c>
      <c r="C135" s="31" t="s">
        <v>1384</v>
      </c>
      <c r="D135" s="31" t="s">
        <v>149</v>
      </c>
      <c r="E135" s="344">
        <v>42128</v>
      </c>
      <c r="F135" s="31" t="s">
        <v>1385</v>
      </c>
      <c r="G135" s="31" t="s">
        <v>147</v>
      </c>
      <c r="H135" s="31" t="s">
        <v>1386</v>
      </c>
      <c r="I135" s="31" t="s">
        <v>1387</v>
      </c>
      <c r="J135" s="6" t="s">
        <v>16</v>
      </c>
      <c r="K135" s="668" t="s">
        <v>781</v>
      </c>
      <c r="L135" s="31" t="s">
        <v>1388</v>
      </c>
      <c r="M135" s="7" t="s">
        <v>23</v>
      </c>
      <c r="N135" s="345" t="s">
        <v>1388</v>
      </c>
      <c r="O135" s="319" t="s">
        <v>17</v>
      </c>
      <c r="P135" s="319" t="s">
        <v>17</v>
      </c>
      <c r="Q135" s="32" t="s">
        <v>23</v>
      </c>
      <c r="R135" s="6" t="s">
        <v>96</v>
      </c>
      <c r="S135" s="319">
        <v>1170969</v>
      </c>
      <c r="T135" s="10" t="s">
        <v>68</v>
      </c>
      <c r="U135" s="346" t="s">
        <v>190</v>
      </c>
      <c r="V135" s="319" t="s">
        <v>23</v>
      </c>
      <c r="W135" s="319" t="s">
        <v>23</v>
      </c>
      <c r="X135" s="319" t="s">
        <v>1389</v>
      </c>
      <c r="Y135" s="319" t="s">
        <v>23</v>
      </c>
      <c r="Z135" s="347" t="s">
        <v>17</v>
      </c>
      <c r="AA135" s="347" t="s">
        <v>17</v>
      </c>
      <c r="AB135" s="319" t="s">
        <v>17</v>
      </c>
      <c r="AC135" s="319" t="s">
        <v>1390</v>
      </c>
      <c r="AD135" s="10" t="s">
        <v>19</v>
      </c>
      <c r="AE135" s="10" t="s">
        <v>17</v>
      </c>
      <c r="AF135" s="319" t="s">
        <v>1391</v>
      </c>
      <c r="AG135" s="5"/>
      <c r="AH135" s="5"/>
      <c r="AI135" s="5"/>
      <c r="AJ135" s="5"/>
      <c r="AK135" s="5"/>
    </row>
    <row r="136" spans="1:37" s="3" customFormat="1" ht="50.1" customHeight="1" x14ac:dyDescent="0.3">
      <c r="A136" s="7">
        <v>621623</v>
      </c>
      <c r="B136" s="7" t="s">
        <v>228</v>
      </c>
      <c r="C136" s="7" t="s">
        <v>1392</v>
      </c>
      <c r="D136" s="7" t="s">
        <v>228</v>
      </c>
      <c r="E136" s="241">
        <v>43781</v>
      </c>
      <c r="F136" s="7" t="s">
        <v>1393</v>
      </c>
      <c r="G136" s="31" t="s">
        <v>229</v>
      </c>
      <c r="H136" s="7" t="s">
        <v>296</v>
      </c>
      <c r="I136" s="7" t="s">
        <v>1394</v>
      </c>
      <c r="J136" s="6" t="s">
        <v>16</v>
      </c>
      <c r="K136" s="7" t="s">
        <v>316</v>
      </c>
      <c r="L136" s="7" t="s">
        <v>1395</v>
      </c>
      <c r="M136" s="7" t="s">
        <v>1396</v>
      </c>
      <c r="N136" s="36" t="s">
        <v>1397</v>
      </c>
      <c r="O136" s="7" t="s">
        <v>17</v>
      </c>
      <c r="P136" s="32" t="s">
        <v>17</v>
      </c>
      <c r="Q136" s="32" t="s">
        <v>17</v>
      </c>
      <c r="R136" s="60" t="s">
        <v>148</v>
      </c>
      <c r="S136" s="35" t="s">
        <v>1398</v>
      </c>
      <c r="T136" s="10" t="s">
        <v>46</v>
      </c>
      <c r="U136" s="33" t="s">
        <v>17</v>
      </c>
      <c r="V136" s="32" t="s">
        <v>17</v>
      </c>
      <c r="W136" s="37" t="s">
        <v>17</v>
      </c>
      <c r="X136" s="33" t="s">
        <v>17</v>
      </c>
      <c r="Y136" s="32" t="s">
        <v>17</v>
      </c>
      <c r="Z136" s="44" t="s">
        <v>17</v>
      </c>
      <c r="AA136" s="44" t="s">
        <v>17</v>
      </c>
      <c r="AB136" s="32" t="s">
        <v>17</v>
      </c>
      <c r="AC136" s="32" t="s">
        <v>1399</v>
      </c>
      <c r="AD136" s="32" t="s">
        <v>19</v>
      </c>
      <c r="AE136" s="10" t="s">
        <v>17</v>
      </c>
      <c r="AF136" s="7" t="s">
        <v>423</v>
      </c>
      <c r="AG136" s="5"/>
      <c r="AH136" s="5"/>
      <c r="AI136" s="5"/>
      <c r="AJ136" s="5"/>
      <c r="AK136" s="5"/>
    </row>
    <row r="137" spans="1:37" s="3" customFormat="1" ht="50.1" customHeight="1" x14ac:dyDescent="0.3">
      <c r="A137" s="7">
        <v>579260</v>
      </c>
      <c r="B137" s="6" t="s">
        <v>137</v>
      </c>
      <c r="C137" s="7" t="s">
        <v>1400</v>
      </c>
      <c r="D137" s="6" t="s">
        <v>243</v>
      </c>
      <c r="E137" s="242">
        <v>43312</v>
      </c>
      <c r="F137" s="156" t="s">
        <v>1401</v>
      </c>
      <c r="G137" s="6" t="s">
        <v>29</v>
      </c>
      <c r="H137" s="7" t="s">
        <v>1402</v>
      </c>
      <c r="I137" s="6" t="s">
        <v>1403</v>
      </c>
      <c r="J137" s="6" t="s">
        <v>16</v>
      </c>
      <c r="K137" s="6" t="s">
        <v>298</v>
      </c>
      <c r="L137" s="7" t="s">
        <v>1404</v>
      </c>
      <c r="M137" s="7" t="s">
        <v>17</v>
      </c>
      <c r="N137" s="36" t="s">
        <v>1405</v>
      </c>
      <c r="O137" s="7" t="s">
        <v>1406</v>
      </c>
      <c r="P137" s="32" t="s">
        <v>1407</v>
      </c>
      <c r="Q137" s="32" t="s">
        <v>17</v>
      </c>
      <c r="R137" s="6" t="s">
        <v>96</v>
      </c>
      <c r="S137" s="35" t="s">
        <v>1408</v>
      </c>
      <c r="T137" s="32" t="s">
        <v>157</v>
      </c>
      <c r="U137" s="33" t="s">
        <v>17</v>
      </c>
      <c r="V137" s="33" t="s">
        <v>23</v>
      </c>
      <c r="W137" s="33" t="s">
        <v>23</v>
      </c>
      <c r="X137" s="33" t="s">
        <v>23</v>
      </c>
      <c r="Y137" s="33" t="s">
        <v>23</v>
      </c>
      <c r="Z137" s="33" t="s">
        <v>1409</v>
      </c>
      <c r="AA137" s="33" t="s">
        <v>17</v>
      </c>
      <c r="AB137" s="33" t="s">
        <v>17</v>
      </c>
      <c r="AC137" s="35" t="s">
        <v>1410</v>
      </c>
      <c r="AD137" s="10" t="s">
        <v>19</v>
      </c>
      <c r="AE137" s="10" t="s">
        <v>17</v>
      </c>
      <c r="AF137" s="7" t="s">
        <v>302</v>
      </c>
    </row>
    <row r="138" spans="1:37" s="3" customFormat="1" ht="50.1" customHeight="1" x14ac:dyDescent="0.3">
      <c r="A138" s="7">
        <v>600990</v>
      </c>
      <c r="B138" s="7" t="s">
        <v>228</v>
      </c>
      <c r="C138" s="7" t="s">
        <v>1411</v>
      </c>
      <c r="D138" s="156" t="s">
        <v>228</v>
      </c>
      <c r="E138" s="242">
        <v>43453</v>
      </c>
      <c r="F138" s="156" t="s">
        <v>1412</v>
      </c>
      <c r="G138" s="31" t="s">
        <v>229</v>
      </c>
      <c r="H138" s="7" t="s">
        <v>296</v>
      </c>
      <c r="I138" s="7" t="s">
        <v>1413</v>
      </c>
      <c r="J138" s="6" t="s">
        <v>16</v>
      </c>
      <c r="K138" s="7" t="s">
        <v>316</v>
      </c>
      <c r="L138" s="7" t="s">
        <v>1414</v>
      </c>
      <c r="M138" s="6" t="s">
        <v>1026</v>
      </c>
      <c r="N138" s="36" t="s">
        <v>1415</v>
      </c>
      <c r="O138" s="7" t="s">
        <v>1416</v>
      </c>
      <c r="P138" s="32" t="s">
        <v>17</v>
      </c>
      <c r="Q138" s="32" t="s">
        <v>17</v>
      </c>
      <c r="R138" s="60" t="s">
        <v>148</v>
      </c>
      <c r="S138" s="70" t="s">
        <v>1417</v>
      </c>
      <c r="T138" s="32" t="s">
        <v>55</v>
      </c>
      <c r="U138" s="33">
        <v>1326</v>
      </c>
      <c r="V138" s="33" t="s">
        <v>17</v>
      </c>
      <c r="W138" s="33" t="s">
        <v>17</v>
      </c>
      <c r="X138" s="33" t="s">
        <v>17</v>
      </c>
      <c r="Y138" s="32" t="s">
        <v>17</v>
      </c>
      <c r="Z138" s="33" t="s">
        <v>17</v>
      </c>
      <c r="AA138" s="33" t="s">
        <v>17</v>
      </c>
      <c r="AB138" s="33" t="s">
        <v>17</v>
      </c>
      <c r="AC138" s="199" t="s">
        <v>1418</v>
      </c>
      <c r="AD138" s="10" t="s">
        <v>19</v>
      </c>
      <c r="AE138" s="10" t="s">
        <v>17</v>
      </c>
      <c r="AF138" s="7" t="s">
        <v>702</v>
      </c>
      <c r="AG138" s="5"/>
      <c r="AH138" s="5"/>
    </row>
    <row r="139" spans="1:37" s="3" customFormat="1" ht="50.1" customHeight="1" x14ac:dyDescent="0.3">
      <c r="A139" s="7">
        <v>561539</v>
      </c>
      <c r="B139" s="7" t="s">
        <v>143</v>
      </c>
      <c r="C139" s="7" t="s">
        <v>1419</v>
      </c>
      <c r="D139" s="7" t="s">
        <v>149</v>
      </c>
      <c r="E139" s="241">
        <v>42005</v>
      </c>
      <c r="F139" s="7" t="s">
        <v>1420</v>
      </c>
      <c r="G139" s="314" t="s">
        <v>147</v>
      </c>
      <c r="H139" s="7" t="s">
        <v>1421</v>
      </c>
      <c r="I139" s="7" t="s">
        <v>1422</v>
      </c>
      <c r="J139" s="6" t="s">
        <v>16</v>
      </c>
      <c r="K139" s="6" t="s">
        <v>327</v>
      </c>
      <c r="L139" s="7" t="s">
        <v>1423</v>
      </c>
      <c r="M139" s="7" t="s">
        <v>23</v>
      </c>
      <c r="N139" s="36" t="s">
        <v>1423</v>
      </c>
      <c r="O139" s="7" t="s">
        <v>1424</v>
      </c>
      <c r="P139" s="319" t="s">
        <v>17</v>
      </c>
      <c r="Q139" s="319" t="s">
        <v>17</v>
      </c>
      <c r="R139" s="6" t="s">
        <v>96</v>
      </c>
      <c r="S139" s="35" t="s">
        <v>1425</v>
      </c>
      <c r="T139" s="287" t="s">
        <v>59</v>
      </c>
      <c r="U139" s="33">
        <v>3465</v>
      </c>
      <c r="V139" s="319" t="s">
        <v>17</v>
      </c>
      <c r="W139" s="319" t="s">
        <v>17</v>
      </c>
      <c r="X139" s="319" t="s">
        <v>17</v>
      </c>
      <c r="Y139" s="319" t="s">
        <v>17</v>
      </c>
      <c r="Z139" s="319" t="s">
        <v>17</v>
      </c>
      <c r="AA139" s="319" t="s">
        <v>17</v>
      </c>
      <c r="AB139" s="319" t="s">
        <v>17</v>
      </c>
      <c r="AC139" s="32" t="s">
        <v>1426</v>
      </c>
      <c r="AD139" s="10" t="s">
        <v>19</v>
      </c>
      <c r="AE139" s="10" t="s">
        <v>17</v>
      </c>
      <c r="AF139" s="32" t="s">
        <v>1427</v>
      </c>
      <c r="AG139" s="5"/>
      <c r="AH139" s="5"/>
      <c r="AI139" s="292"/>
      <c r="AJ139" s="292"/>
      <c r="AK139" s="292"/>
    </row>
    <row r="140" spans="1:37" s="3" customFormat="1" ht="50.1" customHeight="1" x14ac:dyDescent="0.3">
      <c r="A140" s="6">
        <v>164144</v>
      </c>
      <c r="B140" s="6" t="s">
        <v>137</v>
      </c>
      <c r="C140" s="6" t="s">
        <v>1428</v>
      </c>
      <c r="D140" s="6" t="s">
        <v>151</v>
      </c>
      <c r="E140" s="230">
        <v>38625</v>
      </c>
      <c r="F140" s="6" t="s">
        <v>616</v>
      </c>
      <c r="G140" s="7" t="s">
        <v>145</v>
      </c>
      <c r="H140" s="6" t="s">
        <v>296</v>
      </c>
      <c r="I140" s="6" t="s">
        <v>1429</v>
      </c>
      <c r="J140" s="6" t="s">
        <v>16</v>
      </c>
      <c r="K140" s="6" t="s">
        <v>298</v>
      </c>
      <c r="L140" s="6" t="s">
        <v>1430</v>
      </c>
      <c r="M140" s="6" t="s">
        <v>23</v>
      </c>
      <c r="N140" s="25" t="s">
        <v>1430</v>
      </c>
      <c r="O140" s="6" t="s">
        <v>23</v>
      </c>
      <c r="P140" s="10">
        <v>25818291</v>
      </c>
      <c r="Q140" s="10" t="s">
        <v>23</v>
      </c>
      <c r="R140" s="60" t="s">
        <v>148</v>
      </c>
      <c r="S140" s="10" t="s">
        <v>1431</v>
      </c>
      <c r="T140" s="10" t="s">
        <v>75</v>
      </c>
      <c r="U140" s="12" t="s">
        <v>23</v>
      </c>
      <c r="V140" s="10" t="s">
        <v>23</v>
      </c>
      <c r="W140" s="10" t="s">
        <v>23</v>
      </c>
      <c r="X140" s="10" t="s">
        <v>23</v>
      </c>
      <c r="Y140" s="10" t="s">
        <v>23</v>
      </c>
      <c r="Z140" s="13">
        <v>40647</v>
      </c>
      <c r="AA140" s="10" t="s">
        <v>23</v>
      </c>
      <c r="AB140" s="10" t="s">
        <v>23</v>
      </c>
      <c r="AC140" s="6" t="s">
        <v>1432</v>
      </c>
      <c r="AD140" s="10" t="s">
        <v>19</v>
      </c>
      <c r="AE140" s="10" t="s">
        <v>17</v>
      </c>
      <c r="AF140" s="6" t="s">
        <v>1433</v>
      </c>
      <c r="AG140" s="5"/>
      <c r="AH140" s="5"/>
      <c r="AI140" s="5"/>
      <c r="AJ140" s="5"/>
      <c r="AK140" s="5"/>
    </row>
    <row r="141" spans="1:37" s="3" customFormat="1" ht="50.1" customHeight="1" x14ac:dyDescent="0.3">
      <c r="A141" s="199">
        <v>744079</v>
      </c>
      <c r="B141" s="199" t="s">
        <v>143</v>
      </c>
      <c r="C141" s="218" t="s">
        <v>1434</v>
      </c>
      <c r="D141" s="156" t="s">
        <v>144</v>
      </c>
      <c r="E141" s="236">
        <v>45051</v>
      </c>
      <c r="F141" s="199" t="s">
        <v>1435</v>
      </c>
      <c r="G141" s="7" t="s">
        <v>145</v>
      </c>
      <c r="H141" s="199" t="s">
        <v>296</v>
      </c>
      <c r="I141" s="199" t="s">
        <v>1436</v>
      </c>
      <c r="J141" s="6" t="s">
        <v>16</v>
      </c>
      <c r="K141" s="6" t="s">
        <v>298</v>
      </c>
      <c r="L141" s="199" t="s">
        <v>1437</v>
      </c>
      <c r="M141" s="199" t="s">
        <v>17</v>
      </c>
      <c r="N141" s="220" t="s">
        <v>1437</v>
      </c>
      <c r="O141" s="199" t="s">
        <v>1438</v>
      </c>
      <c r="P141" s="199" t="s">
        <v>17</v>
      </c>
      <c r="Q141" s="199" t="s">
        <v>17</v>
      </c>
      <c r="R141" s="6" t="s">
        <v>96</v>
      </c>
      <c r="S141" s="199" t="s">
        <v>1439</v>
      </c>
      <c r="T141" s="199" t="s">
        <v>41</v>
      </c>
      <c r="U141" s="199" t="s">
        <v>17</v>
      </c>
      <c r="V141" s="199" t="s">
        <v>17</v>
      </c>
      <c r="W141" s="199" t="s">
        <v>17</v>
      </c>
      <c r="X141" s="199" t="s">
        <v>17</v>
      </c>
      <c r="Y141" s="199" t="s">
        <v>17</v>
      </c>
      <c r="Z141" s="199" t="s">
        <v>17</v>
      </c>
      <c r="AA141" s="199" t="s">
        <v>17</v>
      </c>
      <c r="AB141" s="199" t="s">
        <v>17</v>
      </c>
      <c r="AC141" s="199" t="s">
        <v>1440</v>
      </c>
      <c r="AD141" s="199" t="s">
        <v>19</v>
      </c>
      <c r="AE141" s="10" t="s">
        <v>17</v>
      </c>
      <c r="AF141" s="199" t="s">
        <v>1441</v>
      </c>
      <c r="AG141" s="140"/>
      <c r="AH141" s="140"/>
      <c r="AI141" s="140"/>
      <c r="AJ141" s="140"/>
      <c r="AK141" s="140"/>
    </row>
    <row r="142" spans="1:37" s="3" customFormat="1" ht="50.1" customHeight="1" x14ac:dyDescent="0.3">
      <c r="A142" s="199">
        <v>792124</v>
      </c>
      <c r="B142" s="199" t="s">
        <v>143</v>
      </c>
      <c r="C142" s="218" t="s">
        <v>1442</v>
      </c>
      <c r="D142" s="156" t="s">
        <v>144</v>
      </c>
      <c r="E142" s="236">
        <v>45061</v>
      </c>
      <c r="F142" s="199" t="s">
        <v>1443</v>
      </c>
      <c r="G142" s="7" t="s">
        <v>145</v>
      </c>
      <c r="H142" s="199" t="s">
        <v>296</v>
      </c>
      <c r="I142" s="199" t="s">
        <v>1444</v>
      </c>
      <c r="J142" s="6" t="s">
        <v>16</v>
      </c>
      <c r="K142" s="6" t="s">
        <v>298</v>
      </c>
      <c r="L142" s="199" t="s">
        <v>1445</v>
      </c>
      <c r="M142" s="199" t="s">
        <v>17</v>
      </c>
      <c r="N142" s="220" t="s">
        <v>1445</v>
      </c>
      <c r="O142" s="199" t="s">
        <v>1446</v>
      </c>
      <c r="P142" s="199" t="s">
        <v>17</v>
      </c>
      <c r="Q142" s="199" t="s">
        <v>17</v>
      </c>
      <c r="R142" s="6" t="s">
        <v>96</v>
      </c>
      <c r="S142" s="199" t="s">
        <v>1447</v>
      </c>
      <c r="T142" s="199" t="s">
        <v>41</v>
      </c>
      <c r="U142" s="199" t="s">
        <v>17</v>
      </c>
      <c r="V142" s="199" t="s">
        <v>17</v>
      </c>
      <c r="W142" s="199" t="s">
        <v>17</v>
      </c>
      <c r="X142" s="199" t="s">
        <v>17</v>
      </c>
      <c r="Y142" s="199" t="s">
        <v>17</v>
      </c>
      <c r="Z142" s="199" t="s">
        <v>17</v>
      </c>
      <c r="AA142" s="199" t="s">
        <v>17</v>
      </c>
      <c r="AB142" s="199" t="s">
        <v>17</v>
      </c>
      <c r="AC142" s="199" t="s">
        <v>1448</v>
      </c>
      <c r="AD142" s="199" t="s">
        <v>19</v>
      </c>
      <c r="AE142" s="10" t="s">
        <v>17</v>
      </c>
      <c r="AF142" s="199" t="s">
        <v>1449</v>
      </c>
      <c r="AG142" s="140"/>
      <c r="AH142" s="140"/>
      <c r="AI142" s="5"/>
      <c r="AJ142" s="5"/>
      <c r="AK142" s="5"/>
    </row>
    <row r="143" spans="1:37" s="3" customFormat="1" ht="50.1" customHeight="1" x14ac:dyDescent="0.3">
      <c r="A143" s="6">
        <v>334865</v>
      </c>
      <c r="B143" s="6" t="s">
        <v>143</v>
      </c>
      <c r="C143" s="6" t="s">
        <v>1450</v>
      </c>
      <c r="D143" s="6" t="s">
        <v>144</v>
      </c>
      <c r="E143" s="230">
        <v>40456</v>
      </c>
      <c r="F143" s="6" t="s">
        <v>1451</v>
      </c>
      <c r="G143" s="185" t="s">
        <v>15</v>
      </c>
      <c r="H143" s="6" t="s">
        <v>296</v>
      </c>
      <c r="I143" s="6" t="s">
        <v>1452</v>
      </c>
      <c r="J143" s="6" t="s">
        <v>16</v>
      </c>
      <c r="K143" s="6" t="s">
        <v>298</v>
      </c>
      <c r="L143" s="6" t="s">
        <v>1453</v>
      </c>
      <c r="M143" s="6" t="s">
        <v>23</v>
      </c>
      <c r="N143" s="25" t="s">
        <v>1453</v>
      </c>
      <c r="O143" s="6" t="s">
        <v>23</v>
      </c>
      <c r="P143" s="10" t="s">
        <v>23</v>
      </c>
      <c r="Q143" s="10" t="s">
        <v>23</v>
      </c>
      <c r="R143" s="10" t="s">
        <v>191</v>
      </c>
      <c r="S143" s="10" t="s">
        <v>606</v>
      </c>
      <c r="T143" s="10" t="s">
        <v>68</v>
      </c>
      <c r="U143" s="12">
        <v>2789.44</v>
      </c>
      <c r="V143" s="10" t="s">
        <v>23</v>
      </c>
      <c r="W143" s="10" t="s">
        <v>23</v>
      </c>
      <c r="X143" s="10" t="s">
        <v>23</v>
      </c>
      <c r="Y143" s="10" t="s">
        <v>23</v>
      </c>
      <c r="Z143" s="13" t="s">
        <v>23</v>
      </c>
      <c r="AA143" s="10" t="s">
        <v>23</v>
      </c>
      <c r="AB143" s="10" t="s">
        <v>23</v>
      </c>
      <c r="AC143" s="10" t="s">
        <v>1454</v>
      </c>
      <c r="AD143" s="6" t="s">
        <v>22</v>
      </c>
      <c r="AE143" s="10" t="s">
        <v>17</v>
      </c>
      <c r="AF143" s="6" t="s">
        <v>1455</v>
      </c>
      <c r="AG143" s="5"/>
      <c r="AH143" s="5"/>
      <c r="AI143" s="245"/>
      <c r="AJ143" s="245"/>
      <c r="AK143" s="245"/>
    </row>
    <row r="144" spans="1:37" ht="50.1" customHeight="1" x14ac:dyDescent="0.3">
      <c r="A144" s="7">
        <v>565560</v>
      </c>
      <c r="B144" s="7" t="s">
        <v>143</v>
      </c>
      <c r="C144" s="31" t="s">
        <v>1456</v>
      </c>
      <c r="D144" s="31" t="s">
        <v>149</v>
      </c>
      <c r="E144" s="313">
        <v>42272</v>
      </c>
      <c r="F144" s="348" t="s">
        <v>1457</v>
      </c>
      <c r="G144" s="31" t="s">
        <v>147</v>
      </c>
      <c r="H144" s="349" t="s">
        <v>1458</v>
      </c>
      <c r="I144" s="43" t="s">
        <v>1459</v>
      </c>
      <c r="J144" s="6" t="s">
        <v>16</v>
      </c>
      <c r="K144" s="6" t="s">
        <v>327</v>
      </c>
      <c r="L144" s="43" t="s">
        <v>1460</v>
      </c>
      <c r="M144" s="43" t="s">
        <v>23</v>
      </c>
      <c r="N144" s="315" t="s">
        <v>1461</v>
      </c>
      <c r="O144" s="43" t="s">
        <v>1462</v>
      </c>
      <c r="P144" s="158" t="s">
        <v>23</v>
      </c>
      <c r="Q144" s="158" t="s">
        <v>23</v>
      </c>
      <c r="R144" s="6" t="s">
        <v>96</v>
      </c>
      <c r="S144" s="350" t="s">
        <v>1463</v>
      </c>
      <c r="T144" s="10" t="s">
        <v>43</v>
      </c>
      <c r="U144" s="316" t="s">
        <v>192</v>
      </c>
      <c r="V144" s="317" t="s">
        <v>23</v>
      </c>
      <c r="W144" s="158" t="s">
        <v>23</v>
      </c>
      <c r="X144" s="158" t="s">
        <v>23</v>
      </c>
      <c r="Y144" s="158" t="s">
        <v>23</v>
      </c>
      <c r="Z144" s="318" t="s">
        <v>1464</v>
      </c>
      <c r="AA144" s="318" t="s">
        <v>1465</v>
      </c>
      <c r="AB144" s="158" t="s">
        <v>17</v>
      </c>
      <c r="AC144" s="158" t="s">
        <v>1466</v>
      </c>
      <c r="AD144" s="6" t="s">
        <v>22</v>
      </c>
      <c r="AE144" s="10" t="s">
        <v>17</v>
      </c>
      <c r="AF144" s="43" t="s">
        <v>1467</v>
      </c>
      <c r="AG144" s="14"/>
      <c r="AH144" s="14"/>
      <c r="AI144" s="5"/>
      <c r="AJ144" s="5"/>
      <c r="AK144" s="5"/>
    </row>
    <row r="145" spans="1:37" s="3" customFormat="1" ht="50.1" customHeight="1" x14ac:dyDescent="0.3">
      <c r="A145" s="60">
        <v>747488</v>
      </c>
      <c r="B145" s="60" t="s">
        <v>143</v>
      </c>
      <c r="C145" s="60" t="s">
        <v>1468</v>
      </c>
      <c r="D145" s="60" t="s">
        <v>159</v>
      </c>
      <c r="E145" s="236">
        <v>42149</v>
      </c>
      <c r="F145" s="351" t="s">
        <v>1469</v>
      </c>
      <c r="G145" s="199" t="s">
        <v>147</v>
      </c>
      <c r="H145" s="117" t="s">
        <v>1470</v>
      </c>
      <c r="I145" s="199" t="s">
        <v>1471</v>
      </c>
      <c r="J145" s="6" t="s">
        <v>16</v>
      </c>
      <c r="K145" s="6" t="s">
        <v>327</v>
      </c>
      <c r="L145" s="199" t="s">
        <v>1472</v>
      </c>
      <c r="M145" s="199" t="s">
        <v>23</v>
      </c>
      <c r="N145" s="199" t="s">
        <v>1473</v>
      </c>
      <c r="O145" s="199" t="s">
        <v>17</v>
      </c>
      <c r="P145" s="199" t="s">
        <v>23</v>
      </c>
      <c r="Q145" s="199" t="s">
        <v>23</v>
      </c>
      <c r="R145" s="158" t="s">
        <v>180</v>
      </c>
      <c r="S145" s="199" t="s">
        <v>17</v>
      </c>
      <c r="T145" s="278" t="s">
        <v>17</v>
      </c>
      <c r="U145" s="199" t="s">
        <v>23</v>
      </c>
      <c r="V145" s="199" t="s">
        <v>23</v>
      </c>
      <c r="W145" s="199" t="s">
        <v>23</v>
      </c>
      <c r="X145" s="199" t="s">
        <v>23</v>
      </c>
      <c r="Y145" s="199" t="s">
        <v>17</v>
      </c>
      <c r="Z145" s="199" t="s">
        <v>23</v>
      </c>
      <c r="AA145" s="199" t="s">
        <v>17</v>
      </c>
      <c r="AB145" s="199" t="s">
        <v>23</v>
      </c>
      <c r="AC145" s="60" t="s">
        <v>1474</v>
      </c>
      <c r="AD145" s="60" t="s">
        <v>19</v>
      </c>
      <c r="AE145" s="10" t="s">
        <v>17</v>
      </c>
      <c r="AF145" s="60" t="s">
        <v>1474</v>
      </c>
      <c r="AI145" s="5"/>
      <c r="AJ145" s="5"/>
      <c r="AK145" s="5"/>
    </row>
    <row r="146" spans="1:37" s="3" customFormat="1" ht="50.1" customHeight="1" x14ac:dyDescent="0.3">
      <c r="A146" s="6">
        <v>530000</v>
      </c>
      <c r="B146" s="6" t="s">
        <v>143</v>
      </c>
      <c r="C146" s="6" t="s">
        <v>1475</v>
      </c>
      <c r="D146" s="6" t="s">
        <v>159</v>
      </c>
      <c r="E146" s="230">
        <v>42564</v>
      </c>
      <c r="F146" s="6" t="s">
        <v>1476</v>
      </c>
      <c r="G146" s="31" t="s">
        <v>147</v>
      </c>
      <c r="H146" s="6" t="s">
        <v>296</v>
      </c>
      <c r="I146" s="6" t="s">
        <v>1477</v>
      </c>
      <c r="J146" s="6" t="s">
        <v>16</v>
      </c>
      <c r="K146" s="6" t="s">
        <v>298</v>
      </c>
      <c r="L146" s="6" t="s">
        <v>1478</v>
      </c>
      <c r="M146" s="6" t="s">
        <v>23</v>
      </c>
      <c r="N146" s="25" t="s">
        <v>1478</v>
      </c>
      <c r="O146" s="6" t="s">
        <v>23</v>
      </c>
      <c r="P146" s="10" t="s">
        <v>23</v>
      </c>
      <c r="Q146" s="10" t="s">
        <v>23</v>
      </c>
      <c r="R146" s="60" t="s">
        <v>148</v>
      </c>
      <c r="S146" s="10" t="s">
        <v>1479</v>
      </c>
      <c r="T146" s="10" t="s">
        <v>46</v>
      </c>
      <c r="U146" s="12">
        <v>228.74</v>
      </c>
      <c r="V146" s="10" t="s">
        <v>23</v>
      </c>
      <c r="W146" s="10" t="s">
        <v>23</v>
      </c>
      <c r="X146" s="12" t="s">
        <v>23</v>
      </c>
      <c r="Y146" s="10" t="s">
        <v>23</v>
      </c>
      <c r="Z146" s="13">
        <v>43648</v>
      </c>
      <c r="AA146" s="10" t="s">
        <v>23</v>
      </c>
      <c r="AB146" s="10" t="s">
        <v>23</v>
      </c>
      <c r="AC146" s="10" t="s">
        <v>1480</v>
      </c>
      <c r="AD146" s="10" t="s">
        <v>19</v>
      </c>
      <c r="AE146" s="10" t="s">
        <v>17</v>
      </c>
      <c r="AF146" s="10" t="s">
        <v>1481</v>
      </c>
      <c r="AG146" s="5"/>
      <c r="AH146" s="5"/>
      <c r="AI146" s="5"/>
      <c r="AJ146" s="5"/>
      <c r="AK146" s="5"/>
    </row>
    <row r="147" spans="1:37" s="3" customFormat="1" ht="50.1" customHeight="1" x14ac:dyDescent="0.3">
      <c r="A147" s="7">
        <v>682791</v>
      </c>
      <c r="B147" s="7" t="s">
        <v>143</v>
      </c>
      <c r="C147" s="7" t="s">
        <v>1482</v>
      </c>
      <c r="D147" s="7" t="s">
        <v>149</v>
      </c>
      <c r="E147" s="241">
        <v>44323</v>
      </c>
      <c r="F147" s="7" t="s">
        <v>735</v>
      </c>
      <c r="G147" s="7" t="s">
        <v>145</v>
      </c>
      <c r="H147" s="7" t="s">
        <v>1483</v>
      </c>
      <c r="I147" s="7" t="s">
        <v>1484</v>
      </c>
      <c r="J147" s="6" t="s">
        <v>16</v>
      </c>
      <c r="K147" s="7" t="s">
        <v>298</v>
      </c>
      <c r="L147" s="7" t="s">
        <v>611</v>
      </c>
      <c r="M147" s="7" t="s">
        <v>17</v>
      </c>
      <c r="N147" s="36" t="s">
        <v>1485</v>
      </c>
      <c r="O147" s="7" t="s">
        <v>17</v>
      </c>
      <c r="P147" s="7" t="s">
        <v>17</v>
      </c>
      <c r="Q147" s="7" t="s">
        <v>17</v>
      </c>
      <c r="R147" s="6" t="s">
        <v>96</v>
      </c>
      <c r="S147" s="35" t="s">
        <v>1486</v>
      </c>
      <c r="T147" s="10" t="s">
        <v>68</v>
      </c>
      <c r="U147" s="33" t="s">
        <v>17</v>
      </c>
      <c r="V147" s="32" t="s">
        <v>17</v>
      </c>
      <c r="W147" s="37" t="s">
        <v>17</v>
      </c>
      <c r="X147" s="33" t="s">
        <v>17</v>
      </c>
      <c r="Y147" s="32" t="s">
        <v>17</v>
      </c>
      <c r="Z147" s="44" t="s">
        <v>17</v>
      </c>
      <c r="AA147" s="44" t="s">
        <v>17</v>
      </c>
      <c r="AB147" s="32" t="s">
        <v>17</v>
      </c>
      <c r="AC147" s="32" t="s">
        <v>1487</v>
      </c>
      <c r="AD147" s="46" t="s">
        <v>19</v>
      </c>
      <c r="AE147" s="10" t="s">
        <v>17</v>
      </c>
      <c r="AF147" s="7" t="s">
        <v>768</v>
      </c>
      <c r="AI147" s="5"/>
      <c r="AJ147" s="5"/>
      <c r="AK147" s="5"/>
    </row>
    <row r="148" spans="1:37" s="3" customFormat="1" ht="50.1" customHeight="1" x14ac:dyDescent="0.3">
      <c r="A148" s="7">
        <v>667385</v>
      </c>
      <c r="B148" s="7" t="s">
        <v>143</v>
      </c>
      <c r="C148" s="7" t="s">
        <v>1488</v>
      </c>
      <c r="D148" s="7" t="s">
        <v>156</v>
      </c>
      <c r="E148" s="241">
        <v>44088</v>
      </c>
      <c r="F148" s="7" t="s">
        <v>1489</v>
      </c>
      <c r="G148" s="7" t="s">
        <v>145</v>
      </c>
      <c r="H148" s="7" t="s">
        <v>1490</v>
      </c>
      <c r="I148" s="7" t="s">
        <v>1491</v>
      </c>
      <c r="J148" s="6" t="s">
        <v>16</v>
      </c>
      <c r="K148" s="6" t="s">
        <v>298</v>
      </c>
      <c r="L148" s="7" t="s">
        <v>1492</v>
      </c>
      <c r="M148" s="7" t="s">
        <v>17</v>
      </c>
      <c r="N148" s="36" t="s">
        <v>17</v>
      </c>
      <c r="O148" s="7" t="s">
        <v>17</v>
      </c>
      <c r="P148" s="7" t="s">
        <v>17</v>
      </c>
      <c r="Q148" s="7" t="s">
        <v>17</v>
      </c>
      <c r="R148" s="6" t="s">
        <v>96</v>
      </c>
      <c r="S148" s="7" t="s">
        <v>1493</v>
      </c>
      <c r="T148" s="7" t="s">
        <v>157</v>
      </c>
      <c r="U148" s="7" t="s">
        <v>193</v>
      </c>
      <c r="V148" s="7" t="s">
        <v>17</v>
      </c>
      <c r="W148" s="7" t="s">
        <v>17</v>
      </c>
      <c r="X148" s="7" t="s">
        <v>17</v>
      </c>
      <c r="Y148" s="7" t="s">
        <v>17</v>
      </c>
      <c r="Z148" s="7" t="s">
        <v>17</v>
      </c>
      <c r="AA148" s="7" t="s">
        <v>17</v>
      </c>
      <c r="AB148" s="7" t="s">
        <v>17</v>
      </c>
      <c r="AC148" s="7" t="s">
        <v>1494</v>
      </c>
      <c r="AD148" s="7" t="s">
        <v>24</v>
      </c>
      <c r="AE148" s="10" t="s">
        <v>17</v>
      </c>
      <c r="AF148" s="7" t="s">
        <v>19</v>
      </c>
      <c r="AG148" s="5"/>
      <c r="AH148" s="5"/>
      <c r="AI148" s="245"/>
      <c r="AJ148" s="245"/>
      <c r="AK148" s="245"/>
    </row>
    <row r="149" spans="1:37" s="3" customFormat="1" ht="50.1" customHeight="1" x14ac:dyDescent="0.3">
      <c r="A149" s="6">
        <v>262704</v>
      </c>
      <c r="B149" s="6" t="s">
        <v>137</v>
      </c>
      <c r="C149" s="6" t="s">
        <v>1495</v>
      </c>
      <c r="D149" s="6" t="s">
        <v>151</v>
      </c>
      <c r="E149" s="230">
        <v>38849</v>
      </c>
      <c r="F149" s="6" t="s">
        <v>410</v>
      </c>
      <c r="G149" s="100" t="s">
        <v>15</v>
      </c>
      <c r="H149" s="6" t="s">
        <v>296</v>
      </c>
      <c r="I149" s="6" t="s">
        <v>1496</v>
      </c>
      <c r="J149" s="6" t="s">
        <v>16</v>
      </c>
      <c r="K149" s="6" t="s">
        <v>298</v>
      </c>
      <c r="L149" s="6" t="s">
        <v>1497</v>
      </c>
      <c r="M149" s="6" t="s">
        <v>23</v>
      </c>
      <c r="N149" s="25" t="s">
        <v>1497</v>
      </c>
      <c r="O149" s="6" t="s">
        <v>23</v>
      </c>
      <c r="P149" s="10">
        <v>42753250</v>
      </c>
      <c r="Q149" s="10" t="s">
        <v>23</v>
      </c>
      <c r="R149" s="10" t="s">
        <v>163</v>
      </c>
      <c r="S149" s="10" t="s">
        <v>1498</v>
      </c>
      <c r="T149" s="32" t="s">
        <v>38</v>
      </c>
      <c r="U149" s="12" t="s">
        <v>23</v>
      </c>
      <c r="V149" s="10" t="s">
        <v>23</v>
      </c>
      <c r="W149" s="10" t="s">
        <v>23</v>
      </c>
      <c r="X149" s="10" t="s">
        <v>23</v>
      </c>
      <c r="Y149" s="10" t="s">
        <v>23</v>
      </c>
      <c r="Z149" s="13">
        <v>40812</v>
      </c>
      <c r="AA149" s="10" t="s">
        <v>23</v>
      </c>
      <c r="AB149" s="10" t="s">
        <v>23</v>
      </c>
      <c r="AC149" s="10" t="s">
        <v>1499</v>
      </c>
      <c r="AD149" s="6" t="s">
        <v>22</v>
      </c>
      <c r="AE149" s="10" t="s">
        <v>17</v>
      </c>
      <c r="AF149" s="10" t="s">
        <v>1500</v>
      </c>
      <c r="AG149" s="5"/>
      <c r="AH149" s="5"/>
    </row>
    <row r="150" spans="1:37" s="3" customFormat="1" ht="50.1" customHeight="1" x14ac:dyDescent="0.3">
      <c r="A150" s="25" t="s">
        <v>194</v>
      </c>
      <c r="B150" s="43" t="s">
        <v>143</v>
      </c>
      <c r="C150" s="25" t="s">
        <v>1501</v>
      </c>
      <c r="D150" s="156" t="s">
        <v>195</v>
      </c>
      <c r="E150" s="230">
        <v>44365</v>
      </c>
      <c r="F150" s="25" t="s">
        <v>1502</v>
      </c>
      <c r="G150" s="100" t="s">
        <v>15</v>
      </c>
      <c r="H150" s="36" t="s">
        <v>296</v>
      </c>
      <c r="I150" s="36" t="s">
        <v>1503</v>
      </c>
      <c r="J150" s="6" t="s">
        <v>16</v>
      </c>
      <c r="K150" s="6" t="s">
        <v>298</v>
      </c>
      <c r="L150" s="22" t="s">
        <v>1180</v>
      </c>
      <c r="M150" s="22" t="s">
        <v>460</v>
      </c>
      <c r="N150" s="305" t="s">
        <v>1504</v>
      </c>
      <c r="O150" s="22" t="s">
        <v>1505</v>
      </c>
      <c r="P150" s="10" t="s">
        <v>17</v>
      </c>
      <c r="Q150" s="10" t="s">
        <v>17</v>
      </c>
      <c r="R150" s="6" t="s">
        <v>96</v>
      </c>
      <c r="S150" s="25" t="s">
        <v>483</v>
      </c>
      <c r="T150" s="10" t="s">
        <v>68</v>
      </c>
      <c r="U150" s="41" t="s">
        <v>196</v>
      </c>
      <c r="V150" s="40" t="s">
        <v>17</v>
      </c>
      <c r="W150" s="41" t="s">
        <v>17</v>
      </c>
      <c r="X150" s="41" t="s">
        <v>17</v>
      </c>
      <c r="Y150" s="41" t="s">
        <v>17</v>
      </c>
      <c r="Z150" s="41" t="s">
        <v>17</v>
      </c>
      <c r="AA150" s="41" t="s">
        <v>17</v>
      </c>
      <c r="AB150" s="41" t="s">
        <v>17</v>
      </c>
      <c r="AC150" s="41" t="s">
        <v>1506</v>
      </c>
      <c r="AD150" s="32" t="s">
        <v>19</v>
      </c>
      <c r="AE150" s="10" t="s">
        <v>17</v>
      </c>
      <c r="AF150" s="7" t="s">
        <v>1507</v>
      </c>
      <c r="AG150" s="140"/>
      <c r="AH150" s="140"/>
      <c r="AI150" s="245"/>
      <c r="AJ150" s="245"/>
      <c r="AK150" s="245"/>
    </row>
    <row r="151" spans="1:37" s="3" customFormat="1" ht="50.1" customHeight="1" x14ac:dyDescent="0.3">
      <c r="A151" s="6">
        <v>706387</v>
      </c>
      <c r="B151" s="6" t="s">
        <v>143</v>
      </c>
      <c r="C151" s="6" t="s">
        <v>1508</v>
      </c>
      <c r="D151" s="156" t="s">
        <v>144</v>
      </c>
      <c r="E151" s="230">
        <v>44568</v>
      </c>
      <c r="F151" s="6" t="s">
        <v>1096</v>
      </c>
      <c r="G151" s="7" t="s">
        <v>145</v>
      </c>
      <c r="H151" s="6" t="s">
        <v>762</v>
      </c>
      <c r="I151" s="23" t="s">
        <v>1509</v>
      </c>
      <c r="J151" s="6" t="s">
        <v>16</v>
      </c>
      <c r="K151" s="6" t="s">
        <v>298</v>
      </c>
      <c r="L151" s="23" t="s">
        <v>1510</v>
      </c>
      <c r="M151" s="23" t="s">
        <v>17</v>
      </c>
      <c r="N151" s="25" t="s">
        <v>1510</v>
      </c>
      <c r="O151" s="23" t="s">
        <v>1511</v>
      </c>
      <c r="P151" s="23" t="s">
        <v>17</v>
      </c>
      <c r="Q151" s="23" t="s">
        <v>17</v>
      </c>
      <c r="R151" s="6" t="s">
        <v>96</v>
      </c>
      <c r="S151" s="23" t="s">
        <v>1512</v>
      </c>
      <c r="T151" s="23" t="s">
        <v>41</v>
      </c>
      <c r="U151" s="23" t="s">
        <v>17</v>
      </c>
      <c r="V151" s="23" t="s">
        <v>17</v>
      </c>
      <c r="W151" s="23" t="s">
        <v>17</v>
      </c>
      <c r="X151" s="23" t="s">
        <v>17</v>
      </c>
      <c r="Y151" s="23" t="s">
        <v>17</v>
      </c>
      <c r="Z151" s="23" t="s">
        <v>17</v>
      </c>
      <c r="AA151" s="23" t="s">
        <v>17</v>
      </c>
      <c r="AB151" s="23" t="s">
        <v>17</v>
      </c>
      <c r="AC151" s="23" t="s">
        <v>1513</v>
      </c>
      <c r="AD151" s="48" t="s">
        <v>19</v>
      </c>
      <c r="AE151" s="10" t="s">
        <v>17</v>
      </c>
      <c r="AF151" s="48" t="s">
        <v>1514</v>
      </c>
      <c r="AI151" s="5"/>
      <c r="AJ151" s="5"/>
      <c r="AK151" s="5"/>
    </row>
    <row r="152" spans="1:37" s="3" customFormat="1" ht="50.1" customHeight="1" x14ac:dyDescent="0.3">
      <c r="A152" s="38" t="s">
        <v>231</v>
      </c>
      <c r="B152" s="7" t="s">
        <v>228</v>
      </c>
      <c r="C152" s="38" t="s">
        <v>1515</v>
      </c>
      <c r="D152" s="6" t="s">
        <v>228</v>
      </c>
      <c r="E152" s="230">
        <v>44813</v>
      </c>
      <c r="F152" s="6" t="s">
        <v>1516</v>
      </c>
      <c r="G152" s="31" t="s">
        <v>229</v>
      </c>
      <c r="H152" s="6" t="s">
        <v>296</v>
      </c>
      <c r="I152" s="6" t="s">
        <v>1517</v>
      </c>
      <c r="J152" s="6" t="s">
        <v>16</v>
      </c>
      <c r="K152" s="6" t="s">
        <v>1024</v>
      </c>
      <c r="L152" s="6" t="s">
        <v>1518</v>
      </c>
      <c r="M152" s="352" t="s">
        <v>532</v>
      </c>
      <c r="N152" s="25" t="s">
        <v>1519</v>
      </c>
      <c r="O152" s="48" t="s">
        <v>1520</v>
      </c>
      <c r="P152" s="10" t="s">
        <v>17</v>
      </c>
      <c r="Q152" s="10" t="s">
        <v>1521</v>
      </c>
      <c r="R152" s="6" t="s">
        <v>96</v>
      </c>
      <c r="S152" s="10" t="s">
        <v>1522</v>
      </c>
      <c r="T152" s="10" t="s">
        <v>41</v>
      </c>
      <c r="U152" s="12">
        <v>2126.66</v>
      </c>
      <c r="V152" s="12" t="s">
        <v>17</v>
      </c>
      <c r="W152" s="48" t="s">
        <v>17</v>
      </c>
      <c r="X152" s="48" t="s">
        <v>17</v>
      </c>
      <c r="Y152" s="48" t="s">
        <v>17</v>
      </c>
      <c r="Z152" s="48" t="s">
        <v>17</v>
      </c>
      <c r="AA152" s="48" t="s">
        <v>17</v>
      </c>
      <c r="AB152" s="48" t="s">
        <v>17</v>
      </c>
      <c r="AC152" s="238" t="s">
        <v>1523</v>
      </c>
      <c r="AD152" s="48" t="s">
        <v>19</v>
      </c>
      <c r="AE152" s="10" t="s">
        <v>17</v>
      </c>
      <c r="AF152" s="48" t="s">
        <v>750</v>
      </c>
      <c r="AG152" s="140"/>
      <c r="AH152" s="140"/>
      <c r="AI152" s="5"/>
      <c r="AJ152" s="5"/>
      <c r="AK152" s="5"/>
    </row>
    <row r="153" spans="1:37" s="3" customFormat="1" ht="50.1" customHeight="1" x14ac:dyDescent="0.3">
      <c r="A153" s="6">
        <v>505455</v>
      </c>
      <c r="B153" s="6" t="s">
        <v>143</v>
      </c>
      <c r="C153" s="6" t="s">
        <v>1524</v>
      </c>
      <c r="D153" s="6" t="s">
        <v>149</v>
      </c>
      <c r="E153" s="230">
        <v>41906</v>
      </c>
      <c r="F153" s="6" t="s">
        <v>1525</v>
      </c>
      <c r="G153" s="6" t="s">
        <v>147</v>
      </c>
      <c r="H153" s="6" t="s">
        <v>296</v>
      </c>
      <c r="I153" s="6" t="s">
        <v>1526</v>
      </c>
      <c r="J153" s="6" t="s">
        <v>16</v>
      </c>
      <c r="K153" s="6" t="s">
        <v>298</v>
      </c>
      <c r="L153" s="6" t="s">
        <v>1527</v>
      </c>
      <c r="M153" s="6" t="s">
        <v>23</v>
      </c>
      <c r="N153" s="25" t="s">
        <v>1527</v>
      </c>
      <c r="O153" s="6" t="s">
        <v>1528</v>
      </c>
      <c r="P153" s="10" t="s">
        <v>23</v>
      </c>
      <c r="Q153" s="10" t="s">
        <v>23</v>
      </c>
      <c r="R153" s="6" t="s">
        <v>96</v>
      </c>
      <c r="S153" s="10" t="s">
        <v>1529</v>
      </c>
      <c r="T153" s="10" t="s">
        <v>21</v>
      </c>
      <c r="U153" s="12">
        <v>10480</v>
      </c>
      <c r="V153" s="10" t="s">
        <v>23</v>
      </c>
      <c r="W153" s="10" t="s">
        <v>23</v>
      </c>
      <c r="X153" s="10" t="s">
        <v>23</v>
      </c>
      <c r="Y153" s="10" t="s">
        <v>23</v>
      </c>
      <c r="Z153" s="13" t="s">
        <v>23</v>
      </c>
      <c r="AA153" s="10" t="s">
        <v>23</v>
      </c>
      <c r="AB153" s="10" t="s">
        <v>23</v>
      </c>
      <c r="AC153" s="10" t="s">
        <v>1530</v>
      </c>
      <c r="AD153" s="10" t="s">
        <v>19</v>
      </c>
      <c r="AE153" s="10" t="s">
        <v>17</v>
      </c>
      <c r="AF153" s="6" t="s">
        <v>1531</v>
      </c>
      <c r="AG153" s="14"/>
      <c r="AH153" s="14"/>
      <c r="AI153" s="5"/>
      <c r="AJ153" s="5"/>
      <c r="AK153" s="5"/>
    </row>
    <row r="154" spans="1:37" s="3" customFormat="1" ht="50.1" customHeight="1" x14ac:dyDescent="0.3">
      <c r="A154" s="7">
        <v>597702</v>
      </c>
      <c r="B154" s="7" t="s">
        <v>143</v>
      </c>
      <c r="C154" s="30" t="s">
        <v>1532</v>
      </c>
      <c r="D154" s="156" t="s">
        <v>149</v>
      </c>
      <c r="E154" s="242">
        <v>43510</v>
      </c>
      <c r="F154" s="353" t="s">
        <v>879</v>
      </c>
      <c r="G154" s="7" t="s">
        <v>145</v>
      </c>
      <c r="H154" s="227" t="s">
        <v>1533</v>
      </c>
      <c r="I154" s="7" t="s">
        <v>1534</v>
      </c>
      <c r="J154" s="6" t="s">
        <v>16</v>
      </c>
      <c r="K154" s="6" t="s">
        <v>298</v>
      </c>
      <c r="L154" s="7" t="s">
        <v>365</v>
      </c>
      <c r="M154" s="7" t="s">
        <v>17</v>
      </c>
      <c r="N154" s="36" t="s">
        <v>1535</v>
      </c>
      <c r="O154" s="7" t="s">
        <v>1536</v>
      </c>
      <c r="P154" s="7" t="s">
        <v>17</v>
      </c>
      <c r="Q154" s="7" t="s">
        <v>17</v>
      </c>
      <c r="R154" s="6" t="s">
        <v>96</v>
      </c>
      <c r="S154" s="7" t="s">
        <v>1537</v>
      </c>
      <c r="T154" s="7" t="s">
        <v>41</v>
      </c>
      <c r="U154" s="7" t="s">
        <v>17</v>
      </c>
      <c r="V154" s="7" t="s">
        <v>17</v>
      </c>
      <c r="W154" s="7" t="s">
        <v>17</v>
      </c>
      <c r="X154" s="7" t="s">
        <v>17</v>
      </c>
      <c r="Y154" s="7" t="s">
        <v>17</v>
      </c>
      <c r="Z154" s="7" t="s">
        <v>17</v>
      </c>
      <c r="AA154" s="7" t="s">
        <v>17</v>
      </c>
      <c r="AB154" s="7" t="s">
        <v>17</v>
      </c>
      <c r="AC154" s="5" t="s">
        <v>1538</v>
      </c>
      <c r="AD154" s="7" t="s">
        <v>19</v>
      </c>
      <c r="AE154" s="10" t="s">
        <v>17</v>
      </c>
      <c r="AF154" s="7" t="s">
        <v>768</v>
      </c>
      <c r="AG154" s="14"/>
      <c r="AH154" s="14"/>
      <c r="AI154" s="140"/>
      <c r="AJ154" s="140"/>
      <c r="AK154" s="140"/>
    </row>
    <row r="155" spans="1:37" s="3" customFormat="1" ht="50.1" customHeight="1" x14ac:dyDescent="0.3">
      <c r="A155" s="7">
        <v>663854</v>
      </c>
      <c r="B155" s="6" t="s">
        <v>137</v>
      </c>
      <c r="C155" s="7" t="s">
        <v>1539</v>
      </c>
      <c r="D155" s="6" t="s">
        <v>243</v>
      </c>
      <c r="E155" s="241">
        <v>43328</v>
      </c>
      <c r="F155" s="7" t="s">
        <v>847</v>
      </c>
      <c r="G155" s="185" t="s">
        <v>29</v>
      </c>
      <c r="H155" s="7" t="s">
        <v>1540</v>
      </c>
      <c r="I155" s="7" t="s">
        <v>1541</v>
      </c>
      <c r="J155" s="6" t="s">
        <v>16</v>
      </c>
      <c r="K155" s="668" t="s">
        <v>781</v>
      </c>
      <c r="L155" s="7" t="s">
        <v>243</v>
      </c>
      <c r="M155" s="7" t="s">
        <v>23</v>
      </c>
      <c r="N155" s="36" t="s">
        <v>1542</v>
      </c>
      <c r="O155" s="7" t="s">
        <v>1543</v>
      </c>
      <c r="P155" s="32" t="s">
        <v>460</v>
      </c>
      <c r="Q155" s="32" t="s">
        <v>460</v>
      </c>
      <c r="R155" s="6" t="s">
        <v>96</v>
      </c>
      <c r="S155" s="35" t="s">
        <v>1544</v>
      </c>
      <c r="T155" s="32" t="s">
        <v>41</v>
      </c>
      <c r="U155" s="33" t="s">
        <v>255</v>
      </c>
      <c r="V155" s="32" t="s">
        <v>460</v>
      </c>
      <c r="W155" s="37" t="s">
        <v>460</v>
      </c>
      <c r="X155" s="33" t="s">
        <v>460</v>
      </c>
      <c r="Y155" s="32" t="s">
        <v>460</v>
      </c>
      <c r="Z155" s="44" t="s">
        <v>19</v>
      </c>
      <c r="AA155" s="44" t="s">
        <v>460</v>
      </c>
      <c r="AB155" s="32" t="s">
        <v>460</v>
      </c>
      <c r="AC155" s="32" t="s">
        <v>1545</v>
      </c>
      <c r="AD155" s="32" t="s">
        <v>19</v>
      </c>
      <c r="AE155" s="10" t="s">
        <v>17</v>
      </c>
      <c r="AF155" s="7" t="s">
        <v>1546</v>
      </c>
      <c r="AG155" s="5"/>
      <c r="AH155" s="5"/>
      <c r="AI155" s="5"/>
      <c r="AJ155" s="5"/>
      <c r="AK155" s="5"/>
    </row>
    <row r="156" spans="1:37" s="3" customFormat="1" ht="50.1" customHeight="1" x14ac:dyDescent="0.3">
      <c r="A156" s="6">
        <v>716731</v>
      </c>
      <c r="B156" s="6" t="s">
        <v>143</v>
      </c>
      <c r="C156" s="6" t="s">
        <v>1547</v>
      </c>
      <c r="D156" s="156" t="s">
        <v>144</v>
      </c>
      <c r="E156" s="230">
        <v>44833</v>
      </c>
      <c r="F156" s="354" t="s">
        <v>1548</v>
      </c>
      <c r="G156" s="6" t="s">
        <v>15</v>
      </c>
      <c r="H156" s="57" t="s">
        <v>1549</v>
      </c>
      <c r="I156" s="6" t="s">
        <v>1550</v>
      </c>
      <c r="J156" s="6" t="s">
        <v>16</v>
      </c>
      <c r="K156" s="6" t="s">
        <v>298</v>
      </c>
      <c r="L156" s="6" t="s">
        <v>906</v>
      </c>
      <c r="M156" s="7" t="s">
        <v>17</v>
      </c>
      <c r="N156" s="36" t="s">
        <v>1551</v>
      </c>
      <c r="O156" s="6" t="s">
        <v>1543</v>
      </c>
      <c r="P156" s="6" t="s">
        <v>17</v>
      </c>
      <c r="Q156" s="6" t="s">
        <v>17</v>
      </c>
      <c r="R156" s="6" t="s">
        <v>96</v>
      </c>
      <c r="S156" s="6" t="s">
        <v>1552</v>
      </c>
      <c r="T156" s="6" t="s">
        <v>41</v>
      </c>
      <c r="U156" s="6" t="s">
        <v>197</v>
      </c>
      <c r="V156" s="6" t="s">
        <v>1553</v>
      </c>
      <c r="W156" s="6" t="s">
        <v>17</v>
      </c>
      <c r="X156" s="6" t="s">
        <v>17</v>
      </c>
      <c r="Y156" s="6" t="s">
        <v>17</v>
      </c>
      <c r="Z156" s="6" t="s">
        <v>19</v>
      </c>
      <c r="AA156" s="6" t="s">
        <v>17</v>
      </c>
      <c r="AB156" s="6" t="s">
        <v>17</v>
      </c>
      <c r="AC156" s="6" t="s">
        <v>1554</v>
      </c>
      <c r="AD156" s="6" t="s">
        <v>19</v>
      </c>
      <c r="AE156" s="10" t="s">
        <v>17</v>
      </c>
      <c r="AF156" s="6" t="s">
        <v>1555</v>
      </c>
      <c r="AG156" s="231"/>
      <c r="AH156" s="355"/>
      <c r="AI156" s="140"/>
      <c r="AJ156" s="140"/>
      <c r="AK156" s="140"/>
    </row>
    <row r="157" spans="1:37" s="3" customFormat="1" ht="50.1" customHeight="1" x14ac:dyDescent="0.3">
      <c r="A157" s="6">
        <v>559550</v>
      </c>
      <c r="B157" s="6" t="s">
        <v>228</v>
      </c>
      <c r="C157" s="7" t="s">
        <v>1556</v>
      </c>
      <c r="D157" s="7" t="s">
        <v>228</v>
      </c>
      <c r="E157" s="241">
        <v>42974</v>
      </c>
      <c r="F157" s="356" t="s">
        <v>1557</v>
      </c>
      <c r="G157" s="31" t="s">
        <v>229</v>
      </c>
      <c r="H157" s="227" t="s">
        <v>296</v>
      </c>
      <c r="I157" s="7" t="s">
        <v>1558</v>
      </c>
      <c r="J157" s="6" t="s">
        <v>16</v>
      </c>
      <c r="K157" s="7" t="s">
        <v>316</v>
      </c>
      <c r="L157" s="7" t="s">
        <v>1559</v>
      </c>
      <c r="M157" s="7" t="s">
        <v>1560</v>
      </c>
      <c r="N157" s="36" t="s">
        <v>1559</v>
      </c>
      <c r="O157" s="7" t="s">
        <v>1543</v>
      </c>
      <c r="P157" s="10" t="s">
        <v>23</v>
      </c>
      <c r="Q157" s="10" t="s">
        <v>23</v>
      </c>
      <c r="R157" s="6" t="s">
        <v>17</v>
      </c>
      <c r="S157" s="35" t="s">
        <v>1552</v>
      </c>
      <c r="T157" s="10" t="s">
        <v>41</v>
      </c>
      <c r="U157" s="10" t="s">
        <v>23</v>
      </c>
      <c r="V157" s="10" t="s">
        <v>23</v>
      </c>
      <c r="W157" s="10" t="s">
        <v>23</v>
      </c>
      <c r="X157" s="10" t="s">
        <v>23</v>
      </c>
      <c r="Y157" s="10" t="s">
        <v>23</v>
      </c>
      <c r="Z157" s="10" t="s">
        <v>23</v>
      </c>
      <c r="AA157" s="10" t="s">
        <v>23</v>
      </c>
      <c r="AB157" s="10" t="s">
        <v>23</v>
      </c>
      <c r="AC157" s="199" t="s">
        <v>1561</v>
      </c>
      <c r="AD157" s="10" t="s">
        <v>19</v>
      </c>
      <c r="AE157" s="10" t="s">
        <v>17</v>
      </c>
      <c r="AF157" s="6" t="s">
        <v>1562</v>
      </c>
      <c r="AG157" s="5"/>
      <c r="AH157" s="5"/>
      <c r="AI157" s="238"/>
      <c r="AJ157" s="238"/>
      <c r="AK157" s="238"/>
    </row>
    <row r="158" spans="1:37" s="3" customFormat="1" ht="50.1" customHeight="1" x14ac:dyDescent="0.3">
      <c r="A158" s="6">
        <v>546194</v>
      </c>
      <c r="B158" s="6" t="s">
        <v>143</v>
      </c>
      <c r="C158" s="6" t="s">
        <v>1563</v>
      </c>
      <c r="D158" s="6" t="s">
        <v>159</v>
      </c>
      <c r="E158" s="230">
        <v>42354</v>
      </c>
      <c r="F158" s="354" t="s">
        <v>1564</v>
      </c>
      <c r="G158" s="31" t="s">
        <v>147</v>
      </c>
      <c r="H158" s="57" t="s">
        <v>296</v>
      </c>
      <c r="I158" s="6" t="s">
        <v>1565</v>
      </c>
      <c r="J158" s="6" t="s">
        <v>16</v>
      </c>
      <c r="K158" s="6" t="s">
        <v>298</v>
      </c>
      <c r="L158" s="6" t="s">
        <v>1566</v>
      </c>
      <c r="M158" s="6" t="s">
        <v>23</v>
      </c>
      <c r="N158" s="25" t="s">
        <v>1566</v>
      </c>
      <c r="O158" s="6" t="s">
        <v>23</v>
      </c>
      <c r="P158" s="10" t="s">
        <v>23</v>
      </c>
      <c r="Q158" s="10" t="s">
        <v>23</v>
      </c>
      <c r="R158" s="60" t="s">
        <v>148</v>
      </c>
      <c r="S158" s="11" t="s">
        <v>890</v>
      </c>
      <c r="T158" s="10" t="s">
        <v>46</v>
      </c>
      <c r="U158" s="12">
        <v>321.16000000000003</v>
      </c>
      <c r="V158" s="10" t="s">
        <v>23</v>
      </c>
      <c r="W158" s="10" t="s">
        <v>23</v>
      </c>
      <c r="X158" s="12" t="s">
        <v>23</v>
      </c>
      <c r="Y158" s="12" t="s">
        <v>23</v>
      </c>
      <c r="Z158" s="12" t="s">
        <v>23</v>
      </c>
      <c r="AA158" s="12" t="s">
        <v>23</v>
      </c>
      <c r="AB158" s="10" t="s">
        <v>23</v>
      </c>
      <c r="AC158" s="10" t="s">
        <v>1567</v>
      </c>
      <c r="AD158" s="10" t="s">
        <v>19</v>
      </c>
      <c r="AE158" s="10" t="s">
        <v>17</v>
      </c>
      <c r="AF158" s="10" t="s">
        <v>1568</v>
      </c>
      <c r="AG158" s="5"/>
      <c r="AH158" s="5"/>
      <c r="AI158" s="5"/>
      <c r="AJ158" s="5"/>
      <c r="AK158" s="5"/>
    </row>
    <row r="159" spans="1:37" s="3" customFormat="1" ht="50.1" customHeight="1" x14ac:dyDescent="0.3">
      <c r="A159" s="7">
        <v>692106</v>
      </c>
      <c r="B159" s="7" t="s">
        <v>31</v>
      </c>
      <c r="C159" s="7" t="s">
        <v>1569</v>
      </c>
      <c r="D159" s="7" t="s">
        <v>36</v>
      </c>
      <c r="E159" s="241">
        <v>44866</v>
      </c>
      <c r="F159" s="356" t="s">
        <v>935</v>
      </c>
      <c r="G159" s="16" t="s">
        <v>52</v>
      </c>
      <c r="H159" s="227" t="s">
        <v>296</v>
      </c>
      <c r="I159" s="7" t="s">
        <v>1570</v>
      </c>
      <c r="J159" s="6" t="s">
        <v>16</v>
      </c>
      <c r="K159" s="6" t="s">
        <v>298</v>
      </c>
      <c r="L159" s="7" t="s">
        <v>434</v>
      </c>
      <c r="M159" s="7" t="s">
        <v>17</v>
      </c>
      <c r="N159" s="36" t="s">
        <v>458</v>
      </c>
      <c r="O159" s="7" t="s">
        <v>1571</v>
      </c>
      <c r="P159" s="32" t="s">
        <v>17</v>
      </c>
      <c r="Q159" s="32" t="s">
        <v>17</v>
      </c>
      <c r="R159" s="6" t="s">
        <v>96</v>
      </c>
      <c r="S159" s="35" t="s">
        <v>1572</v>
      </c>
      <c r="T159" s="32" t="s">
        <v>18</v>
      </c>
      <c r="U159" s="33" t="s">
        <v>129</v>
      </c>
      <c r="V159" s="32" t="s">
        <v>460</v>
      </c>
      <c r="W159" s="37" t="s">
        <v>17</v>
      </c>
      <c r="X159" s="33" t="s">
        <v>17</v>
      </c>
      <c r="Y159" s="32" t="s">
        <v>17</v>
      </c>
      <c r="Z159" s="44" t="s">
        <v>17</v>
      </c>
      <c r="AA159" s="44" t="s">
        <v>17</v>
      </c>
      <c r="AB159" s="32" t="s">
        <v>17</v>
      </c>
      <c r="AC159" s="35" t="s">
        <v>1573</v>
      </c>
      <c r="AD159" s="10" t="s">
        <v>82</v>
      </c>
      <c r="AE159" s="10" t="s">
        <v>17</v>
      </c>
      <c r="AF159" s="7" t="s">
        <v>440</v>
      </c>
      <c r="AG159" s="215"/>
      <c r="AH159" s="215"/>
      <c r="AI159" s="5"/>
      <c r="AJ159" s="5"/>
      <c r="AK159" s="5"/>
    </row>
    <row r="160" spans="1:37" s="3" customFormat="1" ht="50.1" customHeight="1" x14ac:dyDescent="0.3">
      <c r="A160" s="6">
        <v>402289</v>
      </c>
      <c r="B160" s="6" t="s">
        <v>228</v>
      </c>
      <c r="C160" s="6" t="s">
        <v>1574</v>
      </c>
      <c r="D160" s="6" t="s">
        <v>228</v>
      </c>
      <c r="E160" s="230">
        <v>41276</v>
      </c>
      <c r="F160" s="354" t="s">
        <v>637</v>
      </c>
      <c r="G160" s="31" t="s">
        <v>229</v>
      </c>
      <c r="H160" s="57" t="s">
        <v>296</v>
      </c>
      <c r="I160" s="6" t="s">
        <v>1575</v>
      </c>
      <c r="J160" s="6" t="s">
        <v>16</v>
      </c>
      <c r="K160" s="6" t="s">
        <v>316</v>
      </c>
      <c r="L160" s="6" t="s">
        <v>300</v>
      </c>
      <c r="M160" s="6" t="s">
        <v>588</v>
      </c>
      <c r="N160" s="25" t="s">
        <v>1576</v>
      </c>
      <c r="O160" s="6" t="s">
        <v>300</v>
      </c>
      <c r="P160" s="10" t="s">
        <v>23</v>
      </c>
      <c r="Q160" s="10" t="s">
        <v>23</v>
      </c>
      <c r="R160" s="6" t="s">
        <v>96</v>
      </c>
      <c r="S160" s="15" t="s">
        <v>1577</v>
      </c>
      <c r="T160" s="10" t="s">
        <v>21</v>
      </c>
      <c r="U160" s="12" t="s">
        <v>23</v>
      </c>
      <c r="V160" s="10" t="s">
        <v>23</v>
      </c>
      <c r="W160" s="10" t="s">
        <v>23</v>
      </c>
      <c r="X160" s="10" t="s">
        <v>23</v>
      </c>
      <c r="Y160" s="10" t="s">
        <v>23</v>
      </c>
      <c r="Z160" s="10" t="s">
        <v>23</v>
      </c>
      <c r="AA160" s="10" t="s">
        <v>23</v>
      </c>
      <c r="AB160" s="10" t="s">
        <v>23</v>
      </c>
      <c r="AC160" s="11" t="s">
        <v>1578</v>
      </c>
      <c r="AD160" s="10" t="s">
        <v>19</v>
      </c>
      <c r="AE160" s="10" t="s">
        <v>17</v>
      </c>
      <c r="AF160" s="6" t="s">
        <v>1113</v>
      </c>
      <c r="AG160" s="14"/>
      <c r="AH160" s="14"/>
      <c r="AI160" s="5"/>
      <c r="AJ160" s="5"/>
      <c r="AK160" s="5"/>
    </row>
    <row r="161" spans="1:37" s="3" customFormat="1" ht="50.1" customHeight="1" x14ac:dyDescent="0.3">
      <c r="A161" s="6">
        <v>527527</v>
      </c>
      <c r="B161" s="6" t="s">
        <v>31</v>
      </c>
      <c r="C161" s="6" t="s">
        <v>1579</v>
      </c>
      <c r="D161" s="7" t="s">
        <v>36</v>
      </c>
      <c r="E161" s="230">
        <v>42306</v>
      </c>
      <c r="F161" s="354" t="s">
        <v>1580</v>
      </c>
      <c r="G161" s="9" t="s">
        <v>33</v>
      </c>
      <c r="H161" s="57" t="s">
        <v>296</v>
      </c>
      <c r="I161" s="6" t="s">
        <v>1581</v>
      </c>
      <c r="J161" s="6" t="s">
        <v>16</v>
      </c>
      <c r="K161" s="6" t="s">
        <v>298</v>
      </c>
      <c r="L161" s="6" t="s">
        <v>444</v>
      </c>
      <c r="M161" s="6" t="s">
        <v>23</v>
      </c>
      <c r="N161" s="25" t="s">
        <v>1582</v>
      </c>
      <c r="O161" s="6" t="s">
        <v>1583</v>
      </c>
      <c r="P161" s="10" t="s">
        <v>23</v>
      </c>
      <c r="Q161" s="10" t="s">
        <v>23</v>
      </c>
      <c r="R161" s="6" t="s">
        <v>96</v>
      </c>
      <c r="S161" s="15" t="s">
        <v>1584</v>
      </c>
      <c r="T161" s="10" t="s">
        <v>41</v>
      </c>
      <c r="U161" s="12">
        <f>8504+7178</f>
        <v>15682</v>
      </c>
      <c r="V161" s="10" t="s">
        <v>23</v>
      </c>
      <c r="W161" s="10" t="s">
        <v>23</v>
      </c>
      <c r="X161" s="10" t="s">
        <v>23</v>
      </c>
      <c r="Y161" s="10" t="s">
        <v>23</v>
      </c>
      <c r="Z161" s="10" t="s">
        <v>23</v>
      </c>
      <c r="AA161" s="10" t="s">
        <v>23</v>
      </c>
      <c r="AB161" s="10" t="s">
        <v>23</v>
      </c>
      <c r="AC161" s="11" t="s">
        <v>1585</v>
      </c>
      <c r="AD161" s="10" t="s">
        <v>82</v>
      </c>
      <c r="AE161" s="10" t="s">
        <v>439</v>
      </c>
      <c r="AF161" s="10" t="s">
        <v>448</v>
      </c>
      <c r="AG161" s="292"/>
      <c r="AH161" s="292"/>
      <c r="AI161" s="5"/>
      <c r="AJ161" s="5"/>
      <c r="AK161" s="5"/>
    </row>
    <row r="162" spans="1:37" s="3" customFormat="1" ht="50.1" customHeight="1" x14ac:dyDescent="0.3">
      <c r="A162" s="6">
        <v>432751</v>
      </c>
      <c r="B162" s="6" t="s">
        <v>228</v>
      </c>
      <c r="C162" s="6" t="s">
        <v>1586</v>
      </c>
      <c r="D162" s="6" t="s">
        <v>228</v>
      </c>
      <c r="E162" s="230">
        <v>41627</v>
      </c>
      <c r="F162" s="6" t="s">
        <v>585</v>
      </c>
      <c r="G162" s="31" t="s">
        <v>229</v>
      </c>
      <c r="H162" s="6" t="s">
        <v>1587</v>
      </c>
      <c r="I162" s="6" t="s">
        <v>1588</v>
      </c>
      <c r="J162" s="6" t="s">
        <v>16</v>
      </c>
      <c r="K162" s="6" t="s">
        <v>316</v>
      </c>
      <c r="L162" s="6" t="s">
        <v>1589</v>
      </c>
      <c r="M162" s="6" t="s">
        <v>1026</v>
      </c>
      <c r="N162" s="25" t="s">
        <v>1590</v>
      </c>
      <c r="O162" s="6" t="s">
        <v>1591</v>
      </c>
      <c r="P162" s="6" t="s">
        <v>23</v>
      </c>
      <c r="Q162" s="6" t="s">
        <v>23</v>
      </c>
      <c r="R162" s="6" t="s">
        <v>96</v>
      </c>
      <c r="S162" s="15" t="s">
        <v>1592</v>
      </c>
      <c r="T162" s="10" t="s">
        <v>41</v>
      </c>
      <c r="U162" s="12" t="s">
        <v>23</v>
      </c>
      <c r="V162" s="6" t="s">
        <v>23</v>
      </c>
      <c r="W162" s="6" t="s">
        <v>23</v>
      </c>
      <c r="X162" s="10" t="s">
        <v>23</v>
      </c>
      <c r="Y162" s="10" t="s">
        <v>23</v>
      </c>
      <c r="Z162" s="10" t="s">
        <v>23</v>
      </c>
      <c r="AA162" s="10" t="s">
        <v>23</v>
      </c>
      <c r="AB162" s="10" t="s">
        <v>23</v>
      </c>
      <c r="AC162" s="10" t="s">
        <v>1593</v>
      </c>
      <c r="AD162" s="10" t="s">
        <v>19</v>
      </c>
      <c r="AE162" s="10" t="s">
        <v>17</v>
      </c>
      <c r="AF162" s="6" t="s">
        <v>423</v>
      </c>
      <c r="AG162" s="292"/>
      <c r="AH162" s="292"/>
      <c r="AI162" s="5"/>
      <c r="AJ162" s="5"/>
      <c r="AK162" s="5"/>
    </row>
    <row r="163" spans="1:37" s="3" customFormat="1" ht="50.1" customHeight="1" x14ac:dyDescent="0.3">
      <c r="A163" s="6">
        <v>768941</v>
      </c>
      <c r="B163" s="6" t="s">
        <v>143</v>
      </c>
      <c r="C163" s="6" t="s">
        <v>1594</v>
      </c>
      <c r="D163" s="6" t="s">
        <v>151</v>
      </c>
      <c r="E163" s="230">
        <v>42089</v>
      </c>
      <c r="F163" s="6" t="s">
        <v>1595</v>
      </c>
      <c r="G163" s="6" t="s">
        <v>15</v>
      </c>
      <c r="H163" s="6" t="s">
        <v>904</v>
      </c>
      <c r="I163" s="6" t="s">
        <v>1596</v>
      </c>
      <c r="J163" s="6" t="s">
        <v>16</v>
      </c>
      <c r="K163" s="6" t="s">
        <v>298</v>
      </c>
      <c r="L163" s="6" t="s">
        <v>1597</v>
      </c>
      <c r="M163" s="6" t="s">
        <v>23</v>
      </c>
      <c r="N163" s="25" t="s">
        <v>1598</v>
      </c>
      <c r="O163" s="6" t="s">
        <v>696</v>
      </c>
      <c r="P163" s="10" t="s">
        <v>23</v>
      </c>
      <c r="Q163" s="10" t="s">
        <v>23</v>
      </c>
      <c r="R163" s="6" t="s">
        <v>96</v>
      </c>
      <c r="S163" s="10" t="s">
        <v>700</v>
      </c>
      <c r="T163" s="10" t="s">
        <v>68</v>
      </c>
      <c r="U163" s="12" t="s">
        <v>23</v>
      </c>
      <c r="V163" s="10" t="s">
        <v>23</v>
      </c>
      <c r="W163" s="10" t="s">
        <v>23</v>
      </c>
      <c r="X163" s="12" t="s">
        <v>23</v>
      </c>
      <c r="Y163" s="10">
        <v>42553000</v>
      </c>
      <c r="Z163" s="13">
        <v>43748</v>
      </c>
      <c r="AA163" s="10" t="s">
        <v>23</v>
      </c>
      <c r="AB163" s="10" t="s">
        <v>23</v>
      </c>
      <c r="AC163" s="357" t="s">
        <v>1599</v>
      </c>
      <c r="AD163" s="6" t="s">
        <v>22</v>
      </c>
      <c r="AE163" s="10" t="s">
        <v>17</v>
      </c>
      <c r="AF163" s="10" t="s">
        <v>1600</v>
      </c>
      <c r="AG163" s="238"/>
      <c r="AH163" s="238"/>
      <c r="AI163" s="5"/>
      <c r="AJ163" s="5"/>
      <c r="AK163" s="5"/>
    </row>
    <row r="164" spans="1:37" s="3" customFormat="1" ht="50.1" customHeight="1" x14ac:dyDescent="0.3">
      <c r="A164" s="7">
        <v>648160</v>
      </c>
      <c r="B164" s="6" t="s">
        <v>137</v>
      </c>
      <c r="C164" s="7" t="s">
        <v>1601</v>
      </c>
      <c r="D164" s="6" t="s">
        <v>248</v>
      </c>
      <c r="E164" s="241">
        <v>41568</v>
      </c>
      <c r="F164" s="7" t="s">
        <v>1602</v>
      </c>
      <c r="G164" s="6" t="s">
        <v>29</v>
      </c>
      <c r="H164" s="7" t="s">
        <v>1603</v>
      </c>
      <c r="I164" s="7" t="s">
        <v>357</v>
      </c>
      <c r="J164" s="6" t="s">
        <v>16</v>
      </c>
      <c r="K164" s="6" t="s">
        <v>298</v>
      </c>
      <c r="L164" s="7" t="s">
        <v>1604</v>
      </c>
      <c r="M164" s="7" t="s">
        <v>17</v>
      </c>
      <c r="N164" s="36" t="s">
        <v>1605</v>
      </c>
      <c r="O164" s="7" t="s">
        <v>17</v>
      </c>
      <c r="P164" s="32" t="s">
        <v>23</v>
      </c>
      <c r="Q164" s="32" t="s">
        <v>17</v>
      </c>
      <c r="R164" s="32" t="s">
        <v>238</v>
      </c>
      <c r="S164" s="35" t="s">
        <v>1606</v>
      </c>
      <c r="T164" s="10" t="s">
        <v>75</v>
      </c>
      <c r="U164" s="33" t="s">
        <v>23</v>
      </c>
      <c r="V164" s="32" t="s">
        <v>17</v>
      </c>
      <c r="W164" s="37" t="s">
        <v>17</v>
      </c>
      <c r="X164" s="33" t="s">
        <v>23</v>
      </c>
      <c r="Y164" s="32" t="s">
        <v>23</v>
      </c>
      <c r="Z164" s="44" t="s">
        <v>1607</v>
      </c>
      <c r="AA164" s="44" t="s">
        <v>17</v>
      </c>
      <c r="AB164" s="32" t="s">
        <v>17</v>
      </c>
      <c r="AC164" s="32" t="s">
        <v>1608</v>
      </c>
      <c r="AD164" s="32" t="s">
        <v>19</v>
      </c>
      <c r="AE164" s="10" t="s">
        <v>17</v>
      </c>
      <c r="AF164" s="7" t="s">
        <v>1609</v>
      </c>
      <c r="AG164" s="5"/>
      <c r="AH164" s="5"/>
      <c r="AI164" s="5"/>
      <c r="AJ164" s="5"/>
      <c r="AK164" s="5"/>
    </row>
    <row r="165" spans="1:37" s="3" customFormat="1" ht="50.1" customHeight="1" x14ac:dyDescent="0.3">
      <c r="A165" s="235">
        <v>708936</v>
      </c>
      <c r="B165" s="235" t="s">
        <v>228</v>
      </c>
      <c r="C165" s="235" t="s">
        <v>1610</v>
      </c>
      <c r="D165" s="235" t="s">
        <v>227</v>
      </c>
      <c r="E165" s="236">
        <v>44568</v>
      </c>
      <c r="F165" s="235" t="s">
        <v>1611</v>
      </c>
      <c r="G165" s="31" t="s">
        <v>229</v>
      </c>
      <c r="H165" s="235" t="s">
        <v>296</v>
      </c>
      <c r="I165" s="235" t="s">
        <v>1612</v>
      </c>
      <c r="J165" s="6" t="s">
        <v>16</v>
      </c>
      <c r="K165" s="235" t="s">
        <v>316</v>
      </c>
      <c r="L165" s="235" t="s">
        <v>1613</v>
      </c>
      <c r="M165" s="235" t="s">
        <v>1614</v>
      </c>
      <c r="N165" s="237" t="s">
        <v>1615</v>
      </c>
      <c r="O165" s="235" t="s">
        <v>17</v>
      </c>
      <c r="P165" s="235" t="s">
        <v>17</v>
      </c>
      <c r="Q165" s="235" t="s">
        <v>17</v>
      </c>
      <c r="R165" s="6" t="s">
        <v>17</v>
      </c>
      <c r="S165" s="235" t="s">
        <v>1616</v>
      </c>
      <c r="T165" s="278" t="s">
        <v>17</v>
      </c>
      <c r="U165" s="235" t="s">
        <v>17</v>
      </c>
      <c r="V165" s="235" t="s">
        <v>17</v>
      </c>
      <c r="W165" s="235" t="s">
        <v>17</v>
      </c>
      <c r="X165" s="235" t="s">
        <v>17</v>
      </c>
      <c r="Y165" s="235" t="s">
        <v>17</v>
      </c>
      <c r="Z165" s="235" t="s">
        <v>17</v>
      </c>
      <c r="AA165" s="235" t="s">
        <v>17</v>
      </c>
      <c r="AB165" s="235" t="s">
        <v>17</v>
      </c>
      <c r="AC165" s="235" t="s">
        <v>1617</v>
      </c>
      <c r="AD165" s="199" t="s">
        <v>24</v>
      </c>
      <c r="AE165" s="10" t="s">
        <v>17</v>
      </c>
      <c r="AF165" s="235" t="s">
        <v>750</v>
      </c>
      <c r="AG165" s="140"/>
      <c r="AH165" s="140"/>
      <c r="AI165" s="5"/>
      <c r="AJ165" s="5"/>
      <c r="AK165" s="5"/>
    </row>
    <row r="166" spans="1:37" s="3" customFormat="1" ht="50.1" customHeight="1" x14ac:dyDescent="0.3">
      <c r="A166" s="6">
        <v>537078</v>
      </c>
      <c r="B166" s="6" t="s">
        <v>31</v>
      </c>
      <c r="C166" s="6" t="s">
        <v>1618</v>
      </c>
      <c r="D166" s="7" t="s">
        <v>36</v>
      </c>
      <c r="E166" s="230">
        <v>42286</v>
      </c>
      <c r="F166" s="6" t="s">
        <v>1619</v>
      </c>
      <c r="G166" s="9" t="s">
        <v>33</v>
      </c>
      <c r="H166" s="6" t="s">
        <v>296</v>
      </c>
      <c r="I166" s="6" t="s">
        <v>1620</v>
      </c>
      <c r="J166" s="6" t="s">
        <v>16</v>
      </c>
      <c r="K166" s="6" t="s">
        <v>298</v>
      </c>
      <c r="L166" s="6" t="s">
        <v>444</v>
      </c>
      <c r="M166" s="6" t="s">
        <v>23</v>
      </c>
      <c r="N166" s="25" t="s">
        <v>1621</v>
      </c>
      <c r="O166" s="6" t="s">
        <v>1622</v>
      </c>
      <c r="P166" s="10" t="s">
        <v>23</v>
      </c>
      <c r="Q166" s="10" t="s">
        <v>23</v>
      </c>
      <c r="R166" s="6" t="s">
        <v>96</v>
      </c>
      <c r="S166" s="11" t="s">
        <v>1623</v>
      </c>
      <c r="T166" s="10" t="s">
        <v>43</v>
      </c>
      <c r="U166" s="12">
        <v>670</v>
      </c>
      <c r="V166" s="10" t="s">
        <v>23</v>
      </c>
      <c r="W166" s="10" t="s">
        <v>23</v>
      </c>
      <c r="X166" s="10" t="s">
        <v>23</v>
      </c>
      <c r="Y166" s="10" t="s">
        <v>23</v>
      </c>
      <c r="Z166" s="10" t="s">
        <v>23</v>
      </c>
      <c r="AA166" s="10" t="s">
        <v>23</v>
      </c>
      <c r="AB166" s="10" t="s">
        <v>23</v>
      </c>
      <c r="AC166" s="11" t="s">
        <v>1624</v>
      </c>
      <c r="AD166" s="10" t="s">
        <v>82</v>
      </c>
      <c r="AE166" s="10" t="s">
        <v>439</v>
      </c>
      <c r="AF166" s="6" t="s">
        <v>1625</v>
      </c>
      <c r="AG166" s="5"/>
      <c r="AH166" s="5"/>
      <c r="AI166" s="5"/>
      <c r="AJ166" s="5"/>
      <c r="AK166" s="5"/>
    </row>
    <row r="167" spans="1:37" s="3" customFormat="1" ht="50.1" customHeight="1" x14ac:dyDescent="0.3">
      <c r="A167" s="6">
        <v>705583</v>
      </c>
      <c r="B167" s="6" t="s">
        <v>227</v>
      </c>
      <c r="C167" s="6" t="s">
        <v>1626</v>
      </c>
      <c r="D167" s="6" t="s">
        <v>228</v>
      </c>
      <c r="E167" s="230">
        <v>43576</v>
      </c>
      <c r="F167" s="6" t="s">
        <v>1627</v>
      </c>
      <c r="G167" s="31" t="s">
        <v>229</v>
      </c>
      <c r="H167" s="6" t="s">
        <v>296</v>
      </c>
      <c r="I167" s="6" t="s">
        <v>1628</v>
      </c>
      <c r="J167" s="6" t="s">
        <v>16</v>
      </c>
      <c r="K167" s="6" t="s">
        <v>1024</v>
      </c>
      <c r="L167" s="6" t="s">
        <v>1629</v>
      </c>
      <c r="M167" s="7" t="s">
        <v>1630</v>
      </c>
      <c r="N167" s="25" t="s">
        <v>1631</v>
      </c>
      <c r="O167" s="6" t="s">
        <v>1632</v>
      </c>
      <c r="P167" s="10" t="s">
        <v>23</v>
      </c>
      <c r="Q167" s="10" t="s">
        <v>23</v>
      </c>
      <c r="R167" s="6" t="s">
        <v>96</v>
      </c>
      <c r="S167" s="15" t="s">
        <v>1633</v>
      </c>
      <c r="T167" s="10" t="s">
        <v>21</v>
      </c>
      <c r="U167" s="12">
        <v>8612.58</v>
      </c>
      <c r="V167" s="10" t="s">
        <v>23</v>
      </c>
      <c r="W167" s="10" t="s">
        <v>23</v>
      </c>
      <c r="X167" s="10" t="s">
        <v>23</v>
      </c>
      <c r="Y167" s="10" t="s">
        <v>23</v>
      </c>
      <c r="Z167" s="10" t="s">
        <v>23</v>
      </c>
      <c r="AA167" s="10" t="s">
        <v>23</v>
      </c>
      <c r="AB167" s="10" t="s">
        <v>23</v>
      </c>
      <c r="AC167" s="221" t="s">
        <v>1634</v>
      </c>
      <c r="AD167" s="10" t="s">
        <v>19</v>
      </c>
      <c r="AE167" s="10" t="s">
        <v>17</v>
      </c>
      <c r="AF167" s="6" t="s">
        <v>1635</v>
      </c>
      <c r="AG167" s="5"/>
      <c r="AH167" s="5"/>
      <c r="AI167" s="292"/>
      <c r="AJ167" s="292"/>
      <c r="AK167" s="292"/>
    </row>
    <row r="168" spans="1:37" s="3" customFormat="1" ht="50.1" customHeight="1" x14ac:dyDescent="0.3">
      <c r="A168" s="239">
        <v>653514</v>
      </c>
      <c r="B168" s="6" t="s">
        <v>143</v>
      </c>
      <c r="C168" s="7" t="s">
        <v>1636</v>
      </c>
      <c r="D168" s="7" t="s">
        <v>149</v>
      </c>
      <c r="E168" s="241">
        <v>43616</v>
      </c>
      <c r="F168" s="7" t="s">
        <v>609</v>
      </c>
      <c r="G168" s="7" t="s">
        <v>145</v>
      </c>
      <c r="H168" s="7" t="s">
        <v>1637</v>
      </c>
      <c r="I168" s="7" t="s">
        <v>1638</v>
      </c>
      <c r="J168" s="6" t="s">
        <v>16</v>
      </c>
      <c r="K168" s="6" t="s">
        <v>327</v>
      </c>
      <c r="L168" s="7" t="s">
        <v>365</v>
      </c>
      <c r="M168" s="6" t="s">
        <v>17</v>
      </c>
      <c r="N168" s="25" t="s">
        <v>17</v>
      </c>
      <c r="O168" s="7" t="s">
        <v>17</v>
      </c>
      <c r="P168" s="239" t="s">
        <v>17</v>
      </c>
      <c r="Q168" s="6" t="s">
        <v>17</v>
      </c>
      <c r="R168" s="6" t="s">
        <v>96</v>
      </c>
      <c r="S168" s="239" t="s">
        <v>1639</v>
      </c>
      <c r="T168" s="7" t="s">
        <v>18</v>
      </c>
      <c r="U168" s="239" t="s">
        <v>17</v>
      </c>
      <c r="V168" s="239" t="s">
        <v>17</v>
      </c>
      <c r="W168" s="239" t="s">
        <v>17</v>
      </c>
      <c r="X168" s="7" t="s">
        <v>17</v>
      </c>
      <c r="Y168" s="7" t="s">
        <v>17</v>
      </c>
      <c r="Z168" s="239" t="s">
        <v>17</v>
      </c>
      <c r="AA168" s="7" t="s">
        <v>17</v>
      </c>
      <c r="AB168" s="7" t="s">
        <v>17</v>
      </c>
      <c r="AC168" s="7" t="s">
        <v>1327</v>
      </c>
      <c r="AD168" s="7" t="s">
        <v>19</v>
      </c>
      <c r="AE168" s="10" t="s">
        <v>17</v>
      </c>
      <c r="AF168" s="7" t="s">
        <v>768</v>
      </c>
      <c r="AG168" s="5"/>
      <c r="AH168" s="5"/>
      <c r="AI168" s="5"/>
      <c r="AJ168" s="5"/>
      <c r="AK168" s="5"/>
    </row>
    <row r="169" spans="1:37" s="3" customFormat="1" ht="50.1" customHeight="1" x14ac:dyDescent="0.3">
      <c r="A169" s="199">
        <v>744339</v>
      </c>
      <c r="B169" s="199" t="s">
        <v>143</v>
      </c>
      <c r="C169" s="199" t="s">
        <v>1640</v>
      </c>
      <c r="D169" s="199" t="s">
        <v>149</v>
      </c>
      <c r="E169" s="236">
        <v>44722</v>
      </c>
      <c r="F169" s="199" t="s">
        <v>1641</v>
      </c>
      <c r="G169" s="215" t="s">
        <v>15</v>
      </c>
      <c r="H169" s="199" t="s">
        <v>1642</v>
      </c>
      <c r="I169" s="215" t="s">
        <v>1643</v>
      </c>
      <c r="J169" s="6" t="s">
        <v>16</v>
      </c>
      <c r="K169" s="199" t="s">
        <v>327</v>
      </c>
      <c r="L169" s="199" t="s">
        <v>1644</v>
      </c>
      <c r="M169" s="199" t="s">
        <v>17</v>
      </c>
      <c r="N169" s="220" t="s">
        <v>1645</v>
      </c>
      <c r="O169" s="199" t="s">
        <v>1646</v>
      </c>
      <c r="P169" s="199" t="s">
        <v>17</v>
      </c>
      <c r="Q169" s="199" t="s">
        <v>17</v>
      </c>
      <c r="R169" s="6" t="s">
        <v>96</v>
      </c>
      <c r="S169" s="199" t="s">
        <v>1647</v>
      </c>
      <c r="T169" s="199" t="s">
        <v>41</v>
      </c>
      <c r="U169" s="199">
        <v>438.86</v>
      </c>
      <c r="V169" s="199" t="s">
        <v>17</v>
      </c>
      <c r="W169" s="199" t="s">
        <v>17</v>
      </c>
      <c r="X169" s="199" t="s">
        <v>17</v>
      </c>
      <c r="Y169" s="199" t="s">
        <v>17</v>
      </c>
      <c r="Z169" s="199" t="s">
        <v>17</v>
      </c>
      <c r="AA169" s="199" t="s">
        <v>17</v>
      </c>
      <c r="AB169" s="199" t="s">
        <v>17</v>
      </c>
      <c r="AC169" s="199" t="s">
        <v>815</v>
      </c>
      <c r="AD169" s="199" t="s">
        <v>19</v>
      </c>
      <c r="AE169" s="10" t="s">
        <v>17</v>
      </c>
      <c r="AF169" s="199" t="s">
        <v>1648</v>
      </c>
      <c r="AG169" s="215"/>
      <c r="AH169" s="215"/>
    </row>
    <row r="170" spans="1:37" s="3" customFormat="1" ht="50.1" customHeight="1" x14ac:dyDescent="0.3">
      <c r="A170" s="7">
        <v>581364</v>
      </c>
      <c r="B170" s="7" t="s">
        <v>228</v>
      </c>
      <c r="C170" s="7" t="s">
        <v>1649</v>
      </c>
      <c r="D170" s="156" t="s">
        <v>228</v>
      </c>
      <c r="E170" s="242">
        <v>43297</v>
      </c>
      <c r="F170" s="156" t="s">
        <v>1650</v>
      </c>
      <c r="G170" s="31" t="s">
        <v>229</v>
      </c>
      <c r="H170" s="7" t="s">
        <v>296</v>
      </c>
      <c r="I170" s="6" t="s">
        <v>1651</v>
      </c>
      <c r="J170" s="6" t="s">
        <v>16</v>
      </c>
      <c r="K170" s="157" t="s">
        <v>316</v>
      </c>
      <c r="L170" s="7" t="s">
        <v>1652</v>
      </c>
      <c r="M170" s="7" t="s">
        <v>1653</v>
      </c>
      <c r="N170" s="36" t="s">
        <v>1654</v>
      </c>
      <c r="O170" s="7" t="s">
        <v>1652</v>
      </c>
      <c r="P170" s="32" t="s">
        <v>17</v>
      </c>
      <c r="Q170" s="32" t="s">
        <v>17</v>
      </c>
      <c r="R170" s="6" t="s">
        <v>17</v>
      </c>
      <c r="S170" s="32" t="s">
        <v>1655</v>
      </c>
      <c r="T170" s="32" t="s">
        <v>85</v>
      </c>
      <c r="U170" s="33" t="s">
        <v>17</v>
      </c>
      <c r="V170" s="32" t="s">
        <v>17</v>
      </c>
      <c r="W170" s="32" t="s">
        <v>17</v>
      </c>
      <c r="X170" s="32" t="s">
        <v>17</v>
      </c>
      <c r="Y170" s="32" t="s">
        <v>17</v>
      </c>
      <c r="Z170" s="32" t="s">
        <v>17</v>
      </c>
      <c r="AA170" s="32" t="s">
        <v>17</v>
      </c>
      <c r="AB170" s="32" t="s">
        <v>17</v>
      </c>
      <c r="AC170" s="33" t="s">
        <v>1656</v>
      </c>
      <c r="AD170" s="10" t="s">
        <v>19</v>
      </c>
      <c r="AE170" s="10" t="s">
        <v>17</v>
      </c>
      <c r="AF170" s="7" t="s">
        <v>423</v>
      </c>
      <c r="AG170" s="5"/>
      <c r="AH170" s="5"/>
      <c r="AI170" s="5"/>
      <c r="AJ170" s="5"/>
      <c r="AK170" s="5"/>
    </row>
    <row r="171" spans="1:37" s="3" customFormat="1" ht="50.1" customHeight="1" x14ac:dyDescent="0.3">
      <c r="A171" s="7">
        <v>580422</v>
      </c>
      <c r="B171" s="6" t="s">
        <v>137</v>
      </c>
      <c r="C171" s="7" t="s">
        <v>1657</v>
      </c>
      <c r="D171" s="260" t="s">
        <v>242</v>
      </c>
      <c r="E171" s="242">
        <v>43328</v>
      </c>
      <c r="F171" s="156" t="s">
        <v>1658</v>
      </c>
      <c r="G171" s="6" t="s">
        <v>29</v>
      </c>
      <c r="H171" s="7" t="s">
        <v>1659</v>
      </c>
      <c r="I171" s="6" t="s">
        <v>1660</v>
      </c>
      <c r="J171" s="6" t="s">
        <v>16</v>
      </c>
      <c r="K171" s="6" t="s">
        <v>298</v>
      </c>
      <c r="L171" s="6" t="s">
        <v>374</v>
      </c>
      <c r="M171" s="7" t="s">
        <v>17</v>
      </c>
      <c r="N171" s="36" t="s">
        <v>1661</v>
      </c>
      <c r="O171" s="6" t="s">
        <v>374</v>
      </c>
      <c r="P171" s="32" t="s">
        <v>17</v>
      </c>
      <c r="Q171" s="32" t="s">
        <v>17</v>
      </c>
      <c r="R171" s="10" t="s">
        <v>163</v>
      </c>
      <c r="S171" s="15" t="s">
        <v>1662</v>
      </c>
      <c r="T171" s="32" t="s">
        <v>38</v>
      </c>
      <c r="U171" s="12">
        <v>1311</v>
      </c>
      <c r="V171" s="10" t="s">
        <v>23</v>
      </c>
      <c r="W171" s="10" t="s">
        <v>23</v>
      </c>
      <c r="X171" s="10" t="s">
        <v>23</v>
      </c>
      <c r="Y171" s="10" t="s">
        <v>23</v>
      </c>
      <c r="Z171" s="13" t="s">
        <v>1663</v>
      </c>
      <c r="AA171" s="13" t="s">
        <v>23</v>
      </c>
      <c r="AB171" s="10" t="s">
        <v>23</v>
      </c>
      <c r="AC171" s="11" t="s">
        <v>877</v>
      </c>
      <c r="AD171" s="10" t="s">
        <v>19</v>
      </c>
      <c r="AE171" s="10" t="s">
        <v>17</v>
      </c>
      <c r="AF171" s="7" t="s">
        <v>1664</v>
      </c>
      <c r="AG171" s="5"/>
      <c r="AH171" s="5"/>
      <c r="AI171" s="5"/>
      <c r="AJ171" s="5"/>
      <c r="AK171" s="5"/>
    </row>
    <row r="172" spans="1:37" s="3" customFormat="1" ht="50.1" customHeight="1" x14ac:dyDescent="0.3">
      <c r="A172" s="38">
        <v>765053</v>
      </c>
      <c r="B172" s="38" t="s">
        <v>228</v>
      </c>
      <c r="C172" s="38" t="s">
        <v>1665</v>
      </c>
      <c r="D172" s="38" t="s">
        <v>228</v>
      </c>
      <c r="E172" s="240">
        <v>43903</v>
      </c>
      <c r="F172" s="38" t="s">
        <v>1666</v>
      </c>
      <c r="G172" s="31" t="s">
        <v>229</v>
      </c>
      <c r="H172" s="38" t="s">
        <v>296</v>
      </c>
      <c r="I172" s="38" t="s">
        <v>1667</v>
      </c>
      <c r="J172" s="6" t="s">
        <v>16</v>
      </c>
      <c r="K172" s="38" t="s">
        <v>1024</v>
      </c>
      <c r="L172" s="38" t="s">
        <v>1668</v>
      </c>
      <c r="M172" s="38" t="s">
        <v>1669</v>
      </c>
      <c r="N172" s="38" t="s">
        <v>1670</v>
      </c>
      <c r="O172" s="38" t="s">
        <v>17</v>
      </c>
      <c r="P172" s="38" t="s">
        <v>17</v>
      </c>
      <c r="Q172" s="38" t="s">
        <v>17</v>
      </c>
      <c r="R172" s="6" t="s">
        <v>96</v>
      </c>
      <c r="S172" s="38" t="s">
        <v>1671</v>
      </c>
      <c r="T172" s="278" t="s">
        <v>17</v>
      </c>
      <c r="U172" s="38" t="s">
        <v>17</v>
      </c>
      <c r="V172" s="38" t="s">
        <v>17</v>
      </c>
      <c r="W172" s="38" t="s">
        <v>17</v>
      </c>
      <c r="X172" s="38" t="s">
        <v>17</v>
      </c>
      <c r="Y172" s="38" t="s">
        <v>17</v>
      </c>
      <c r="Z172" s="38" t="s">
        <v>17</v>
      </c>
      <c r="AA172" s="38" t="s">
        <v>17</v>
      </c>
      <c r="AB172" s="38" t="s">
        <v>17</v>
      </c>
      <c r="AC172" s="39" t="s">
        <v>1672</v>
      </c>
      <c r="AD172" s="38" t="s">
        <v>19</v>
      </c>
      <c r="AE172" s="10" t="s">
        <v>17</v>
      </c>
      <c r="AF172" s="38" t="s">
        <v>1673</v>
      </c>
      <c r="AG172" s="5"/>
      <c r="AH172" s="5"/>
      <c r="AI172" s="5"/>
      <c r="AJ172" s="5"/>
      <c r="AK172" s="5"/>
    </row>
    <row r="173" spans="1:37" s="3" customFormat="1" ht="50.1" customHeight="1" x14ac:dyDescent="0.3">
      <c r="A173" s="91">
        <v>651277</v>
      </c>
      <c r="B173" s="91" t="s">
        <v>143</v>
      </c>
      <c r="C173" s="93" t="s">
        <v>1674</v>
      </c>
      <c r="D173" s="92" t="s">
        <v>149</v>
      </c>
      <c r="E173" s="358">
        <v>43529</v>
      </c>
      <c r="F173" s="112" t="s">
        <v>1675</v>
      </c>
      <c r="G173" s="92" t="s">
        <v>15</v>
      </c>
      <c r="H173" s="359" t="s">
        <v>1676</v>
      </c>
      <c r="I173" s="359" t="s">
        <v>1677</v>
      </c>
      <c r="J173" s="6" t="s">
        <v>16</v>
      </c>
      <c r="K173" s="6" t="s">
        <v>327</v>
      </c>
      <c r="L173" s="92" t="s">
        <v>1678</v>
      </c>
      <c r="M173" s="92" t="s">
        <v>460</v>
      </c>
      <c r="N173" s="222" t="s">
        <v>1679</v>
      </c>
      <c r="O173" s="360" t="s">
        <v>1680</v>
      </c>
      <c r="P173" s="92" t="s">
        <v>17</v>
      </c>
      <c r="Q173" s="361" t="s">
        <v>17</v>
      </c>
      <c r="R173" s="6" t="s">
        <v>96</v>
      </c>
      <c r="S173" s="93" t="s">
        <v>1681</v>
      </c>
      <c r="T173" s="75" t="s">
        <v>18</v>
      </c>
      <c r="U173" s="361" t="s">
        <v>198</v>
      </c>
      <c r="V173" s="92" t="s">
        <v>17</v>
      </c>
      <c r="W173" s="92" t="s">
        <v>17</v>
      </c>
      <c r="X173" s="92" t="s">
        <v>17</v>
      </c>
      <c r="Y173" s="92" t="s">
        <v>17</v>
      </c>
      <c r="Z173" s="92" t="s">
        <v>17</v>
      </c>
      <c r="AA173" s="92" t="s">
        <v>17</v>
      </c>
      <c r="AB173" s="92" t="s">
        <v>17</v>
      </c>
      <c r="AC173" s="361" t="s">
        <v>1682</v>
      </c>
      <c r="AD173" s="360" t="s">
        <v>19</v>
      </c>
      <c r="AE173" s="10" t="s">
        <v>17</v>
      </c>
      <c r="AF173" s="7" t="s">
        <v>1683</v>
      </c>
      <c r="AG173" s="5"/>
      <c r="AH173" s="5"/>
    </row>
    <row r="174" spans="1:37" s="3" customFormat="1" ht="50.1" customHeight="1" x14ac:dyDescent="0.3">
      <c r="A174" s="258">
        <v>749867</v>
      </c>
      <c r="B174" s="258" t="s">
        <v>143</v>
      </c>
      <c r="C174" s="268" t="s">
        <v>1684</v>
      </c>
      <c r="D174" s="258" t="s">
        <v>149</v>
      </c>
      <c r="E174" s="236">
        <v>44960</v>
      </c>
      <c r="F174" s="258" t="s">
        <v>1685</v>
      </c>
      <c r="G174" s="7" t="s">
        <v>145</v>
      </c>
      <c r="H174" s="258" t="s">
        <v>1686</v>
      </c>
      <c r="I174" s="258" t="s">
        <v>1687</v>
      </c>
      <c r="J174" s="6" t="s">
        <v>16</v>
      </c>
      <c r="K174" s="6" t="s">
        <v>327</v>
      </c>
      <c r="L174" s="6" t="s">
        <v>611</v>
      </c>
      <c r="M174" s="6" t="s">
        <v>17</v>
      </c>
      <c r="N174" s="25" t="s">
        <v>1688</v>
      </c>
      <c r="O174" s="6" t="s">
        <v>17</v>
      </c>
      <c r="P174" s="10" t="s">
        <v>17</v>
      </c>
      <c r="Q174" s="10" t="s">
        <v>17</v>
      </c>
      <c r="R174" s="6" t="s">
        <v>96</v>
      </c>
      <c r="S174" s="11" t="s">
        <v>1689</v>
      </c>
      <c r="T174" s="10" t="s">
        <v>43</v>
      </c>
      <c r="U174" s="12" t="s">
        <v>17</v>
      </c>
      <c r="V174" s="10" t="s">
        <v>17</v>
      </c>
      <c r="W174" s="232" t="s">
        <v>17</v>
      </c>
      <c r="X174" s="12" t="s">
        <v>17</v>
      </c>
      <c r="Y174" s="10" t="s">
        <v>17</v>
      </c>
      <c r="Z174" s="13" t="s">
        <v>17</v>
      </c>
      <c r="AA174" s="13" t="s">
        <v>17</v>
      </c>
      <c r="AB174" s="10" t="s">
        <v>17</v>
      </c>
      <c r="AC174" s="10" t="s">
        <v>1690</v>
      </c>
      <c r="AD174" s="10" t="s">
        <v>19</v>
      </c>
      <c r="AE174" s="10" t="s">
        <v>17</v>
      </c>
      <c r="AF174" s="10" t="s">
        <v>768</v>
      </c>
      <c r="AG174" s="215"/>
      <c r="AH174" s="215"/>
      <c r="AI174" s="5"/>
      <c r="AJ174" s="5"/>
      <c r="AK174" s="5"/>
    </row>
    <row r="175" spans="1:37" s="3" customFormat="1" ht="50.1" customHeight="1" x14ac:dyDescent="0.3">
      <c r="A175" s="6">
        <v>347321</v>
      </c>
      <c r="B175" s="6" t="s">
        <v>137</v>
      </c>
      <c r="C175" s="6" t="s">
        <v>1691</v>
      </c>
      <c r="D175" s="6" t="s">
        <v>243</v>
      </c>
      <c r="E175" s="230">
        <v>40360</v>
      </c>
      <c r="F175" s="6" t="s">
        <v>1692</v>
      </c>
      <c r="G175" s="6" t="s">
        <v>29</v>
      </c>
      <c r="H175" s="6" t="s">
        <v>1693</v>
      </c>
      <c r="I175" s="6" t="s">
        <v>1694</v>
      </c>
      <c r="J175" s="6" t="s">
        <v>16</v>
      </c>
      <c r="K175" s="6" t="s">
        <v>298</v>
      </c>
      <c r="L175" s="6" t="s">
        <v>1695</v>
      </c>
      <c r="M175" s="6" t="s">
        <v>23</v>
      </c>
      <c r="N175" s="25" t="s">
        <v>1695</v>
      </c>
      <c r="O175" s="6" t="s">
        <v>23</v>
      </c>
      <c r="P175" s="10" t="s">
        <v>23</v>
      </c>
      <c r="Q175" s="10" t="s">
        <v>23</v>
      </c>
      <c r="R175" s="6" t="s">
        <v>96</v>
      </c>
      <c r="S175" s="10" t="s">
        <v>1696</v>
      </c>
      <c r="T175" s="10" t="s">
        <v>51</v>
      </c>
      <c r="U175" s="12" t="s">
        <v>23</v>
      </c>
      <c r="V175" s="10" t="s">
        <v>23</v>
      </c>
      <c r="W175" s="10" t="s">
        <v>23</v>
      </c>
      <c r="X175" s="12">
        <f>65000+7537.94</f>
        <v>72537.94</v>
      </c>
      <c r="Y175" s="10">
        <v>61627899339</v>
      </c>
      <c r="Z175" s="13">
        <v>43328</v>
      </c>
      <c r="AA175" s="13" t="s">
        <v>23</v>
      </c>
      <c r="AB175" s="10" t="s">
        <v>23</v>
      </c>
      <c r="AC175" s="11" t="s">
        <v>1231</v>
      </c>
      <c r="AD175" s="10" t="s">
        <v>19</v>
      </c>
      <c r="AE175" s="10" t="s">
        <v>17</v>
      </c>
      <c r="AF175" s="6" t="s">
        <v>1697</v>
      </c>
      <c r="AG175" s="5"/>
      <c r="AH175" s="5"/>
      <c r="AI175" s="5"/>
      <c r="AJ175" s="5"/>
      <c r="AK175" s="5"/>
    </row>
    <row r="176" spans="1:37" s="3" customFormat="1" ht="50.1" customHeight="1" x14ac:dyDescent="0.3">
      <c r="A176" s="7">
        <v>583560</v>
      </c>
      <c r="B176" s="7" t="s">
        <v>143</v>
      </c>
      <c r="C176" s="7" t="s">
        <v>1698</v>
      </c>
      <c r="D176" s="7" t="s">
        <v>149</v>
      </c>
      <c r="E176" s="241">
        <v>42689</v>
      </c>
      <c r="F176" s="7" t="s">
        <v>1699</v>
      </c>
      <c r="G176" s="7" t="s">
        <v>147</v>
      </c>
      <c r="H176" s="7" t="s">
        <v>1700</v>
      </c>
      <c r="I176" s="7" t="s">
        <v>1701</v>
      </c>
      <c r="J176" s="6" t="s">
        <v>16</v>
      </c>
      <c r="K176" s="6" t="s">
        <v>298</v>
      </c>
      <c r="L176" s="7" t="s">
        <v>1702</v>
      </c>
      <c r="M176" s="7" t="s">
        <v>17</v>
      </c>
      <c r="N176" s="36" t="s">
        <v>1703</v>
      </c>
      <c r="O176" s="7" t="s">
        <v>17</v>
      </c>
      <c r="P176" s="32" t="s">
        <v>17</v>
      </c>
      <c r="Q176" s="32" t="s">
        <v>17</v>
      </c>
      <c r="R176" s="32" t="s">
        <v>199</v>
      </c>
      <c r="S176" s="35" t="s">
        <v>1704</v>
      </c>
      <c r="T176" s="10" t="s">
        <v>187</v>
      </c>
      <c r="U176" s="33" t="s">
        <v>200</v>
      </c>
      <c r="V176" s="32" t="s">
        <v>17</v>
      </c>
      <c r="W176" s="37" t="s">
        <v>200</v>
      </c>
      <c r="X176" s="33" t="s">
        <v>17</v>
      </c>
      <c r="Y176" s="32" t="s">
        <v>17</v>
      </c>
      <c r="Z176" s="44" t="s">
        <v>17</v>
      </c>
      <c r="AA176" s="44" t="s">
        <v>17</v>
      </c>
      <c r="AB176" s="32" t="s">
        <v>17</v>
      </c>
      <c r="AC176" s="32" t="s">
        <v>1705</v>
      </c>
      <c r="AD176" s="32" t="s">
        <v>19</v>
      </c>
      <c r="AE176" s="10" t="s">
        <v>17</v>
      </c>
      <c r="AF176" s="7" t="s">
        <v>1706</v>
      </c>
      <c r="AI176" s="5"/>
      <c r="AJ176" s="5"/>
      <c r="AK176" s="5"/>
    </row>
    <row r="177" spans="1:37" s="3" customFormat="1" ht="50.1" customHeight="1" x14ac:dyDescent="0.3">
      <c r="A177" s="23">
        <v>761945</v>
      </c>
      <c r="B177" s="258" t="s">
        <v>31</v>
      </c>
      <c r="C177" s="362" t="s">
        <v>1707</v>
      </c>
      <c r="D177" s="258" t="s">
        <v>36</v>
      </c>
      <c r="E177" s="236">
        <v>44484</v>
      </c>
      <c r="F177" s="258" t="s">
        <v>1708</v>
      </c>
      <c r="G177" s="9" t="s">
        <v>33</v>
      </c>
      <c r="H177" s="6" t="s">
        <v>1709</v>
      </c>
      <c r="I177" s="293" t="s">
        <v>1710</v>
      </c>
      <c r="J177" s="6" t="s">
        <v>16</v>
      </c>
      <c r="K177" s="668" t="s">
        <v>781</v>
      </c>
      <c r="L177" s="199" t="s">
        <v>1711</v>
      </c>
      <c r="M177" s="7" t="s">
        <v>17</v>
      </c>
      <c r="N177" s="363" t="s">
        <v>1712</v>
      </c>
      <c r="O177" s="6" t="s">
        <v>23</v>
      </c>
      <c r="P177" s="6" t="s">
        <v>17</v>
      </c>
      <c r="Q177" s="6" t="s">
        <v>17</v>
      </c>
      <c r="R177" s="6" t="s">
        <v>17</v>
      </c>
      <c r="S177" s="258" t="s">
        <v>1713</v>
      </c>
      <c r="T177" s="6" t="s">
        <v>157</v>
      </c>
      <c r="U177" s="23" t="s">
        <v>17</v>
      </c>
      <c r="V177" s="23" t="s">
        <v>17</v>
      </c>
      <c r="W177" s="6" t="s">
        <v>23</v>
      </c>
      <c r="X177" s="6" t="s">
        <v>23</v>
      </c>
      <c r="Y177" s="6" t="s">
        <v>23</v>
      </c>
      <c r="Z177" s="6" t="s">
        <v>23</v>
      </c>
      <c r="AA177" s="6" t="s">
        <v>23</v>
      </c>
      <c r="AB177" s="6" t="s">
        <v>23</v>
      </c>
      <c r="AC177" s="235" t="s">
        <v>1714</v>
      </c>
      <c r="AD177" s="10" t="s">
        <v>82</v>
      </c>
      <c r="AE177" s="6" t="s">
        <v>341</v>
      </c>
      <c r="AF177" s="258" t="s">
        <v>448</v>
      </c>
      <c r="AG177" s="5"/>
      <c r="AH177" s="5"/>
      <c r="AI177" s="5"/>
      <c r="AJ177" s="5"/>
      <c r="AK177" s="5"/>
    </row>
    <row r="178" spans="1:37" s="3" customFormat="1" ht="50.1" customHeight="1" x14ac:dyDescent="0.3">
      <c r="A178" s="199">
        <v>762281</v>
      </c>
      <c r="B178" s="199" t="s">
        <v>143</v>
      </c>
      <c r="C178" s="199" t="s">
        <v>1715</v>
      </c>
      <c r="D178" s="199" t="s">
        <v>149</v>
      </c>
      <c r="E178" s="236">
        <v>44474</v>
      </c>
      <c r="F178" s="351" t="s">
        <v>1716</v>
      </c>
      <c r="G178" s="100" t="s">
        <v>15</v>
      </c>
      <c r="H178" s="364" t="s">
        <v>1717</v>
      </c>
      <c r="I178" s="258" t="s">
        <v>1718</v>
      </c>
      <c r="J178" s="6" t="s">
        <v>16</v>
      </c>
      <c r="K178" s="668" t="s">
        <v>781</v>
      </c>
      <c r="L178" s="199" t="s">
        <v>35</v>
      </c>
      <c r="M178" s="199" t="s">
        <v>17</v>
      </c>
      <c r="N178" s="220" t="s">
        <v>1719</v>
      </c>
      <c r="O178" s="365" t="s">
        <v>1720</v>
      </c>
      <c r="P178" s="199" t="s">
        <v>17</v>
      </c>
      <c r="Q178" s="199" t="s">
        <v>17</v>
      </c>
      <c r="R178" s="6" t="s">
        <v>96</v>
      </c>
      <c r="S178" s="199" t="s">
        <v>1721</v>
      </c>
      <c r="T178" s="199" t="s">
        <v>41</v>
      </c>
      <c r="U178" s="199">
        <v>3643</v>
      </c>
      <c r="V178" s="199" t="s">
        <v>17</v>
      </c>
      <c r="W178" s="199" t="s">
        <v>17</v>
      </c>
      <c r="X178" s="199" t="s">
        <v>17</v>
      </c>
      <c r="Y178" s="199" t="s">
        <v>17</v>
      </c>
      <c r="Z178" s="199" t="s">
        <v>17</v>
      </c>
      <c r="AA178" s="199" t="s">
        <v>17</v>
      </c>
      <c r="AB178" s="199" t="s">
        <v>17</v>
      </c>
      <c r="AC178" s="199" t="s">
        <v>1195</v>
      </c>
      <c r="AD178" s="199" t="s">
        <v>19</v>
      </c>
      <c r="AE178" s="10" t="s">
        <v>17</v>
      </c>
      <c r="AF178" s="258" t="s">
        <v>1722</v>
      </c>
      <c r="AI178" s="5"/>
      <c r="AJ178" s="5"/>
      <c r="AK178" s="5"/>
    </row>
    <row r="179" spans="1:37" s="3" customFormat="1" ht="50.1" customHeight="1" x14ac:dyDescent="0.3">
      <c r="A179" s="199">
        <v>745899</v>
      </c>
      <c r="B179" s="199" t="s">
        <v>31</v>
      </c>
      <c r="C179" s="199" t="s">
        <v>1723</v>
      </c>
      <c r="D179" s="199" t="s">
        <v>36</v>
      </c>
      <c r="E179" s="236">
        <v>45243</v>
      </c>
      <c r="F179" s="199" t="s">
        <v>1724</v>
      </c>
      <c r="G179" s="16" t="s">
        <v>52</v>
      </c>
      <c r="H179" s="199" t="s">
        <v>1725</v>
      </c>
      <c r="I179" s="199" t="s">
        <v>1726</v>
      </c>
      <c r="J179" s="6" t="s">
        <v>16</v>
      </c>
      <c r="K179" s="6" t="s">
        <v>298</v>
      </c>
      <c r="L179" s="199" t="s">
        <v>1727</v>
      </c>
      <c r="M179" s="199" t="s">
        <v>17</v>
      </c>
      <c r="N179" s="220" t="s">
        <v>1728</v>
      </c>
      <c r="O179" s="365" t="s">
        <v>1720</v>
      </c>
      <c r="P179" s="199" t="s">
        <v>17</v>
      </c>
      <c r="Q179" s="199" t="s">
        <v>17</v>
      </c>
      <c r="R179" s="6" t="s">
        <v>96</v>
      </c>
      <c r="S179" s="199" t="s">
        <v>1721</v>
      </c>
      <c r="T179" s="199" t="s">
        <v>41</v>
      </c>
      <c r="U179" s="199">
        <v>3643</v>
      </c>
      <c r="V179" s="199" t="s">
        <v>17</v>
      </c>
      <c r="W179" s="199" t="s">
        <v>17</v>
      </c>
      <c r="X179" s="199" t="s">
        <v>17</v>
      </c>
      <c r="Y179" s="199" t="s">
        <v>17</v>
      </c>
      <c r="Z179" s="199" t="s">
        <v>17</v>
      </c>
      <c r="AA179" s="199" t="s">
        <v>17</v>
      </c>
      <c r="AB179" s="199" t="s">
        <v>17</v>
      </c>
      <c r="AC179" s="199" t="s">
        <v>1729</v>
      </c>
      <c r="AD179" s="10" t="s">
        <v>82</v>
      </c>
      <c r="AE179" s="10" t="s">
        <v>17</v>
      </c>
      <c r="AF179" s="199" t="s">
        <v>1730</v>
      </c>
      <c r="AG179" s="140"/>
      <c r="AH179" s="140"/>
      <c r="AI179" s="238"/>
      <c r="AJ179" s="238"/>
      <c r="AK179" s="238"/>
    </row>
    <row r="180" spans="1:37" s="3" customFormat="1" ht="50.1" customHeight="1" x14ac:dyDescent="0.3">
      <c r="A180" s="7">
        <v>655612</v>
      </c>
      <c r="B180" s="7" t="s">
        <v>143</v>
      </c>
      <c r="C180" s="7" t="s">
        <v>1731</v>
      </c>
      <c r="D180" s="366" t="s">
        <v>149</v>
      </c>
      <c r="E180" s="241">
        <v>42593</v>
      </c>
      <c r="F180" s="7" t="s">
        <v>1732</v>
      </c>
      <c r="G180" s="31" t="s">
        <v>147</v>
      </c>
      <c r="H180" s="7" t="s">
        <v>1733</v>
      </c>
      <c r="I180" s="7" t="s">
        <v>1734</v>
      </c>
      <c r="J180" s="6" t="s">
        <v>16</v>
      </c>
      <c r="K180" s="6" t="s">
        <v>327</v>
      </c>
      <c r="L180" s="7" t="s">
        <v>1245</v>
      </c>
      <c r="M180" s="7" t="s">
        <v>17</v>
      </c>
      <c r="N180" s="36" t="s">
        <v>1262</v>
      </c>
      <c r="O180" s="7" t="s">
        <v>1543</v>
      </c>
      <c r="P180" s="32" t="s">
        <v>17</v>
      </c>
      <c r="Q180" s="32" t="s">
        <v>17</v>
      </c>
      <c r="R180" s="6" t="s">
        <v>96</v>
      </c>
      <c r="S180" s="35" t="s">
        <v>1735</v>
      </c>
      <c r="T180" s="32" t="s">
        <v>41</v>
      </c>
      <c r="U180" s="33" t="s">
        <v>201</v>
      </c>
      <c r="V180" s="32" t="s">
        <v>17</v>
      </c>
      <c r="W180" s="37" t="s">
        <v>17</v>
      </c>
      <c r="X180" s="33" t="s">
        <v>17</v>
      </c>
      <c r="Y180" s="32" t="s">
        <v>17</v>
      </c>
      <c r="Z180" s="44" t="s">
        <v>17</v>
      </c>
      <c r="AA180" s="44" t="s">
        <v>17</v>
      </c>
      <c r="AB180" s="32" t="s">
        <v>17</v>
      </c>
      <c r="AC180" s="32" t="s">
        <v>1736</v>
      </c>
      <c r="AD180" s="32" t="s">
        <v>19</v>
      </c>
      <c r="AE180" s="10" t="s">
        <v>17</v>
      </c>
      <c r="AF180" s="7" t="s">
        <v>1266</v>
      </c>
      <c r="AG180" s="5"/>
      <c r="AH180" s="5"/>
      <c r="AI180" s="5"/>
      <c r="AJ180" s="5"/>
      <c r="AK180" s="5"/>
    </row>
    <row r="181" spans="1:37" s="3" customFormat="1" ht="50.1" customHeight="1" x14ac:dyDescent="0.3">
      <c r="A181" s="258">
        <v>749824</v>
      </c>
      <c r="B181" s="258" t="s">
        <v>143</v>
      </c>
      <c r="C181" s="268" t="s">
        <v>1737</v>
      </c>
      <c r="D181" s="258" t="s">
        <v>149</v>
      </c>
      <c r="E181" s="236">
        <v>44945</v>
      </c>
      <c r="F181" s="258" t="s">
        <v>1738</v>
      </c>
      <c r="G181" s="7" t="s">
        <v>145</v>
      </c>
      <c r="H181" s="258" t="s">
        <v>1739</v>
      </c>
      <c r="I181" s="6" t="s">
        <v>1740</v>
      </c>
      <c r="J181" s="6" t="s">
        <v>16</v>
      </c>
      <c r="K181" s="6" t="s">
        <v>327</v>
      </c>
      <c r="L181" s="6" t="s">
        <v>611</v>
      </c>
      <c r="M181" s="6" t="s">
        <v>17</v>
      </c>
      <c r="N181" s="25" t="s">
        <v>1741</v>
      </c>
      <c r="O181" s="6" t="s">
        <v>17</v>
      </c>
      <c r="P181" s="10" t="s">
        <v>17</v>
      </c>
      <c r="Q181" s="10" t="s">
        <v>17</v>
      </c>
      <c r="R181" s="6" t="s">
        <v>96</v>
      </c>
      <c r="S181" s="11" t="s">
        <v>1742</v>
      </c>
      <c r="T181" s="10" t="s">
        <v>18</v>
      </c>
      <c r="U181" s="12" t="s">
        <v>17</v>
      </c>
      <c r="V181" s="10" t="s">
        <v>17</v>
      </c>
      <c r="W181" s="232" t="s">
        <v>17</v>
      </c>
      <c r="X181" s="12" t="s">
        <v>17</v>
      </c>
      <c r="Y181" s="10" t="s">
        <v>17</v>
      </c>
      <c r="Z181" s="13" t="s">
        <v>17</v>
      </c>
      <c r="AA181" s="13" t="s">
        <v>17</v>
      </c>
      <c r="AB181" s="10" t="s">
        <v>17</v>
      </c>
      <c r="AC181" s="10" t="s">
        <v>1690</v>
      </c>
      <c r="AD181" s="10" t="s">
        <v>19</v>
      </c>
      <c r="AE181" s="10" t="s">
        <v>17</v>
      </c>
      <c r="AF181" s="10" t="s">
        <v>768</v>
      </c>
      <c r="AG181" s="238"/>
      <c r="AH181" s="238"/>
      <c r="AI181" s="5"/>
      <c r="AJ181" s="5"/>
      <c r="AK181" s="5"/>
    </row>
    <row r="182" spans="1:37" s="3" customFormat="1" ht="50.1" customHeight="1" x14ac:dyDescent="0.3">
      <c r="A182" s="6">
        <v>436884</v>
      </c>
      <c r="B182" s="6" t="s">
        <v>228</v>
      </c>
      <c r="C182" s="6" t="s">
        <v>1743</v>
      </c>
      <c r="D182" s="6" t="s">
        <v>228</v>
      </c>
      <c r="E182" s="230">
        <v>41660</v>
      </c>
      <c r="F182" s="6" t="s">
        <v>637</v>
      </c>
      <c r="G182" s="31" t="s">
        <v>229</v>
      </c>
      <c r="H182" s="6" t="s">
        <v>296</v>
      </c>
      <c r="I182" s="6" t="s">
        <v>1744</v>
      </c>
      <c r="J182" s="6" t="s">
        <v>16</v>
      </c>
      <c r="K182" s="6" t="s">
        <v>316</v>
      </c>
      <c r="L182" s="6" t="s">
        <v>1333</v>
      </c>
      <c r="M182" s="6" t="s">
        <v>1745</v>
      </c>
      <c r="N182" s="25" t="s">
        <v>1746</v>
      </c>
      <c r="O182" s="6" t="s">
        <v>1747</v>
      </c>
      <c r="P182" s="6" t="s">
        <v>23</v>
      </c>
      <c r="Q182" s="6" t="s">
        <v>23</v>
      </c>
      <c r="R182" s="6" t="s">
        <v>96</v>
      </c>
      <c r="S182" s="15" t="s">
        <v>1748</v>
      </c>
      <c r="T182" s="32" t="s">
        <v>38</v>
      </c>
      <c r="U182" s="12" t="s">
        <v>23</v>
      </c>
      <c r="V182" s="10" t="s">
        <v>23</v>
      </c>
      <c r="W182" s="10" t="s">
        <v>23</v>
      </c>
      <c r="X182" s="10" t="s">
        <v>23</v>
      </c>
      <c r="Y182" s="10" t="s">
        <v>23</v>
      </c>
      <c r="Z182" s="10" t="s">
        <v>23</v>
      </c>
      <c r="AA182" s="10" t="s">
        <v>23</v>
      </c>
      <c r="AB182" s="10" t="s">
        <v>23</v>
      </c>
      <c r="AC182" s="10" t="s">
        <v>1749</v>
      </c>
      <c r="AD182" s="10" t="s">
        <v>19</v>
      </c>
      <c r="AE182" s="10" t="s">
        <v>17</v>
      </c>
      <c r="AF182" s="6" t="s">
        <v>423</v>
      </c>
      <c r="AG182" s="14"/>
      <c r="AH182" s="14"/>
      <c r="AI182" s="5"/>
      <c r="AJ182" s="5"/>
      <c r="AK182" s="5"/>
    </row>
    <row r="183" spans="1:37" s="3" customFormat="1" ht="50.1" customHeight="1" x14ac:dyDescent="0.3">
      <c r="A183" s="6">
        <v>23</v>
      </c>
      <c r="B183" s="6" t="s">
        <v>31</v>
      </c>
      <c r="C183" s="6" t="s">
        <v>1750</v>
      </c>
      <c r="D183" s="7" t="s">
        <v>36</v>
      </c>
      <c r="E183" s="230">
        <v>40165</v>
      </c>
      <c r="F183" s="6" t="s">
        <v>1525</v>
      </c>
      <c r="G183" s="9" t="s">
        <v>33</v>
      </c>
      <c r="H183" s="6" t="s">
        <v>296</v>
      </c>
      <c r="I183" s="6" t="s">
        <v>1751</v>
      </c>
      <c r="J183" s="6" t="s">
        <v>16</v>
      </c>
      <c r="K183" s="6" t="s">
        <v>298</v>
      </c>
      <c r="L183" s="6" t="s">
        <v>444</v>
      </c>
      <c r="M183" s="6" t="s">
        <v>23</v>
      </c>
      <c r="N183" s="25" t="s">
        <v>1752</v>
      </c>
      <c r="O183" s="6" t="s">
        <v>1753</v>
      </c>
      <c r="P183" s="10" t="s">
        <v>23</v>
      </c>
      <c r="Q183" s="10" t="s">
        <v>23</v>
      </c>
      <c r="R183" s="6" t="s">
        <v>96</v>
      </c>
      <c r="S183" s="15" t="s">
        <v>1754</v>
      </c>
      <c r="T183" s="10" t="s">
        <v>41</v>
      </c>
      <c r="U183" s="12">
        <f>1880+5769+4184+7520</f>
        <v>19353</v>
      </c>
      <c r="V183" s="10" t="s">
        <v>23</v>
      </c>
      <c r="W183" s="10" t="s">
        <v>23</v>
      </c>
      <c r="X183" s="10" t="s">
        <v>23</v>
      </c>
      <c r="Y183" s="10" t="s">
        <v>23</v>
      </c>
      <c r="Z183" s="13">
        <v>42611</v>
      </c>
      <c r="AA183" s="13" t="s">
        <v>23</v>
      </c>
      <c r="AB183" s="10" t="s">
        <v>1755</v>
      </c>
      <c r="AC183" s="11" t="s">
        <v>1756</v>
      </c>
      <c r="AD183" s="6" t="s">
        <v>22</v>
      </c>
      <c r="AE183" s="10" t="s">
        <v>439</v>
      </c>
      <c r="AF183" s="6" t="s">
        <v>546</v>
      </c>
      <c r="AG183" s="5"/>
      <c r="AH183" s="5"/>
      <c r="AI183" s="5"/>
      <c r="AJ183" s="5"/>
      <c r="AK183" s="5"/>
    </row>
    <row r="184" spans="1:37" s="3" customFormat="1" ht="50.1" customHeight="1" x14ac:dyDescent="0.3">
      <c r="A184" s="7">
        <v>594281</v>
      </c>
      <c r="B184" s="7" t="s">
        <v>228</v>
      </c>
      <c r="C184" s="7" t="s">
        <v>1757</v>
      </c>
      <c r="D184" s="7" t="s">
        <v>228</v>
      </c>
      <c r="E184" s="241">
        <v>43076</v>
      </c>
      <c r="F184" s="7" t="s">
        <v>1758</v>
      </c>
      <c r="G184" s="31" t="s">
        <v>229</v>
      </c>
      <c r="H184" s="7" t="s">
        <v>296</v>
      </c>
      <c r="I184" s="6" t="s">
        <v>1759</v>
      </c>
      <c r="J184" s="6" t="s">
        <v>16</v>
      </c>
      <c r="K184" s="6" t="s">
        <v>316</v>
      </c>
      <c r="L184" s="7" t="s">
        <v>1760</v>
      </c>
      <c r="M184" s="6" t="s">
        <v>1217</v>
      </c>
      <c r="N184" s="36" t="s">
        <v>1760</v>
      </c>
      <c r="O184" s="6" t="s">
        <v>1761</v>
      </c>
      <c r="P184" s="6" t="s">
        <v>23</v>
      </c>
      <c r="Q184" s="6" t="s">
        <v>23</v>
      </c>
      <c r="R184" s="6" t="s">
        <v>96</v>
      </c>
      <c r="S184" s="6" t="s">
        <v>1762</v>
      </c>
      <c r="T184" s="32" t="s">
        <v>38</v>
      </c>
      <c r="U184" s="6" t="s">
        <v>233</v>
      </c>
      <c r="V184" s="6" t="s">
        <v>17</v>
      </c>
      <c r="W184" s="6" t="s">
        <v>17</v>
      </c>
      <c r="X184" s="6" t="s">
        <v>17</v>
      </c>
      <c r="Y184" s="6" t="s">
        <v>17</v>
      </c>
      <c r="Z184" s="6" t="s">
        <v>17</v>
      </c>
      <c r="AA184" s="6" t="s">
        <v>17</v>
      </c>
      <c r="AB184" s="6" t="s">
        <v>17</v>
      </c>
      <c r="AC184" s="367" t="s">
        <v>1763</v>
      </c>
      <c r="AD184" s="10" t="s">
        <v>19</v>
      </c>
      <c r="AE184" s="10" t="s">
        <v>17</v>
      </c>
      <c r="AF184" s="7" t="s">
        <v>423</v>
      </c>
      <c r="AG184" s="5"/>
      <c r="AH184" s="5"/>
      <c r="AI184" s="5"/>
      <c r="AJ184" s="5"/>
      <c r="AK184" s="5"/>
    </row>
    <row r="185" spans="1:37" s="3" customFormat="1" ht="50.1" customHeight="1" x14ac:dyDescent="0.3">
      <c r="A185" s="6">
        <v>684272</v>
      </c>
      <c r="B185" s="6" t="s">
        <v>31</v>
      </c>
      <c r="C185" s="6" t="s">
        <v>1764</v>
      </c>
      <c r="D185" s="6" t="s">
        <v>36</v>
      </c>
      <c r="E185" s="230">
        <v>44237</v>
      </c>
      <c r="F185" s="6" t="s">
        <v>1765</v>
      </c>
      <c r="G185" s="6" t="s">
        <v>15</v>
      </c>
      <c r="H185" s="6" t="s">
        <v>1169</v>
      </c>
      <c r="I185" s="6" t="s">
        <v>1766</v>
      </c>
      <c r="J185" s="6" t="s">
        <v>16</v>
      </c>
      <c r="K185" s="6" t="s">
        <v>298</v>
      </c>
      <c r="L185" s="6" t="s">
        <v>1767</v>
      </c>
      <c r="M185" s="7" t="s">
        <v>17</v>
      </c>
      <c r="N185" s="36" t="s">
        <v>1768</v>
      </c>
      <c r="O185" s="6" t="s">
        <v>1769</v>
      </c>
      <c r="P185" s="6" t="s">
        <v>17</v>
      </c>
      <c r="Q185" s="6" t="s">
        <v>17</v>
      </c>
      <c r="R185" s="6" t="s">
        <v>96</v>
      </c>
      <c r="S185" s="6" t="s">
        <v>1770</v>
      </c>
      <c r="T185" s="32" t="s">
        <v>38</v>
      </c>
      <c r="U185" s="6" t="s">
        <v>130</v>
      </c>
      <c r="V185" s="6" t="s">
        <v>17</v>
      </c>
      <c r="W185" s="6" t="s">
        <v>17</v>
      </c>
      <c r="X185" s="6" t="s">
        <v>17</v>
      </c>
      <c r="Y185" s="6" t="s">
        <v>17</v>
      </c>
      <c r="Z185" s="6" t="s">
        <v>17</v>
      </c>
      <c r="AA185" s="6" t="s">
        <v>17</v>
      </c>
      <c r="AB185" s="6" t="s">
        <v>17</v>
      </c>
      <c r="AC185" s="6" t="s">
        <v>1771</v>
      </c>
      <c r="AD185" s="6" t="s">
        <v>22</v>
      </c>
      <c r="AE185" s="10" t="s">
        <v>17</v>
      </c>
      <c r="AF185" s="6" t="s">
        <v>1772</v>
      </c>
      <c r="AI185" s="5"/>
      <c r="AJ185" s="5"/>
      <c r="AK185" s="5"/>
    </row>
    <row r="186" spans="1:37" s="3" customFormat="1" ht="50.1" customHeight="1" x14ac:dyDescent="0.3">
      <c r="A186" s="7">
        <v>653337</v>
      </c>
      <c r="B186" s="7" t="s">
        <v>143</v>
      </c>
      <c r="C186" s="7" t="s">
        <v>1773</v>
      </c>
      <c r="D186" s="7" t="s">
        <v>159</v>
      </c>
      <c r="E186" s="241">
        <v>42639</v>
      </c>
      <c r="F186" s="7" t="s">
        <v>1774</v>
      </c>
      <c r="G186" s="31" t="s">
        <v>147</v>
      </c>
      <c r="H186" s="7" t="s">
        <v>1775</v>
      </c>
      <c r="I186" s="7" t="s">
        <v>1776</v>
      </c>
      <c r="J186" s="6" t="s">
        <v>16</v>
      </c>
      <c r="K186" s="6" t="s">
        <v>327</v>
      </c>
      <c r="L186" s="7" t="s">
        <v>1245</v>
      </c>
      <c r="M186" s="7" t="s">
        <v>17</v>
      </c>
      <c r="N186" s="36" t="s">
        <v>1777</v>
      </c>
      <c r="O186" s="7" t="s">
        <v>1778</v>
      </c>
      <c r="P186" s="32" t="s">
        <v>17</v>
      </c>
      <c r="Q186" s="32" t="s">
        <v>17</v>
      </c>
      <c r="R186" s="6" t="s">
        <v>96</v>
      </c>
      <c r="S186" s="7" t="s">
        <v>1779</v>
      </c>
      <c r="T186" s="32" t="s">
        <v>202</v>
      </c>
      <c r="U186" s="33" t="s">
        <v>203</v>
      </c>
      <c r="V186" s="32" t="s">
        <v>17</v>
      </c>
      <c r="W186" s="37" t="s">
        <v>17</v>
      </c>
      <c r="X186" s="33" t="s">
        <v>17</v>
      </c>
      <c r="Y186" s="32" t="s">
        <v>17</v>
      </c>
      <c r="Z186" s="44" t="s">
        <v>17</v>
      </c>
      <c r="AA186" s="44" t="s">
        <v>17</v>
      </c>
      <c r="AB186" s="32" t="s">
        <v>17</v>
      </c>
      <c r="AC186" s="32" t="s">
        <v>1780</v>
      </c>
      <c r="AD186" s="32" t="s">
        <v>19</v>
      </c>
      <c r="AE186" s="10" t="s">
        <v>17</v>
      </c>
      <c r="AF186" s="7" t="s">
        <v>1781</v>
      </c>
      <c r="AG186" s="5"/>
      <c r="AH186" s="5"/>
      <c r="AI186" s="5"/>
      <c r="AJ186" s="5"/>
      <c r="AK186" s="5"/>
    </row>
    <row r="187" spans="1:37" s="263" customFormat="1" ht="50.1" customHeight="1" x14ac:dyDescent="0.3">
      <c r="A187" s="7">
        <v>630438</v>
      </c>
      <c r="B187" s="6" t="s">
        <v>137</v>
      </c>
      <c r="C187" s="7" t="s">
        <v>1782</v>
      </c>
      <c r="D187" s="6" t="s">
        <v>248</v>
      </c>
      <c r="E187" s="241">
        <v>43864</v>
      </c>
      <c r="F187" s="7" t="s">
        <v>711</v>
      </c>
      <c r="G187" s="6" t="s">
        <v>29</v>
      </c>
      <c r="H187" s="7" t="s">
        <v>1783</v>
      </c>
      <c r="I187" s="7" t="s">
        <v>296</v>
      </c>
      <c r="J187" s="6" t="s">
        <v>16</v>
      </c>
      <c r="K187" s="6" t="s">
        <v>298</v>
      </c>
      <c r="L187" s="7" t="s">
        <v>1784</v>
      </c>
      <c r="M187" s="7" t="s">
        <v>17</v>
      </c>
      <c r="N187" s="368" t="s">
        <v>1785</v>
      </c>
      <c r="O187" s="7" t="s">
        <v>1786</v>
      </c>
      <c r="P187" s="32" t="s">
        <v>1787</v>
      </c>
      <c r="Q187" s="32" t="s">
        <v>87</v>
      </c>
      <c r="R187" s="32" t="s">
        <v>256</v>
      </c>
      <c r="S187" s="35" t="s">
        <v>1788</v>
      </c>
      <c r="T187" s="32" t="s">
        <v>61</v>
      </c>
      <c r="U187" s="32" t="s">
        <v>87</v>
      </c>
      <c r="V187" s="32" t="s">
        <v>87</v>
      </c>
      <c r="W187" s="37" t="s">
        <v>17</v>
      </c>
      <c r="X187" s="33" t="s">
        <v>87</v>
      </c>
      <c r="Y187" s="32" t="s">
        <v>1787</v>
      </c>
      <c r="Z187" s="44" t="s">
        <v>1789</v>
      </c>
      <c r="AA187" s="44" t="s">
        <v>17</v>
      </c>
      <c r="AB187" s="32" t="s">
        <v>87</v>
      </c>
      <c r="AC187" s="32" t="s">
        <v>1790</v>
      </c>
      <c r="AD187" s="369" t="s">
        <v>257</v>
      </c>
      <c r="AE187" s="10" t="s">
        <v>17</v>
      </c>
      <c r="AF187" s="371" t="s">
        <v>1791</v>
      </c>
      <c r="AG187" s="5"/>
      <c r="AH187" s="5"/>
      <c r="AI187" s="5"/>
      <c r="AJ187" s="5"/>
      <c r="AK187" s="5"/>
    </row>
    <row r="188" spans="1:37" s="3" customFormat="1" ht="50.1" customHeight="1" x14ac:dyDescent="0.3">
      <c r="A188" s="329">
        <v>659008</v>
      </c>
      <c r="B188" s="329" t="s">
        <v>228</v>
      </c>
      <c r="C188" s="329" t="s">
        <v>1792</v>
      </c>
      <c r="D188" s="329" t="s">
        <v>228</v>
      </c>
      <c r="E188" s="241">
        <v>44151</v>
      </c>
      <c r="F188" s="329" t="s">
        <v>1793</v>
      </c>
      <c r="G188" s="31" t="s">
        <v>229</v>
      </c>
      <c r="H188" s="329" t="s">
        <v>296</v>
      </c>
      <c r="I188" s="329" t="s">
        <v>1794</v>
      </c>
      <c r="J188" s="6" t="s">
        <v>16</v>
      </c>
      <c r="K188" s="329" t="s">
        <v>316</v>
      </c>
      <c r="L188" s="329" t="s">
        <v>1795</v>
      </c>
      <c r="M188" s="329" t="s">
        <v>1796</v>
      </c>
      <c r="N188" s="36" t="s">
        <v>1797</v>
      </c>
      <c r="O188" s="329" t="s">
        <v>1798</v>
      </c>
      <c r="P188" s="329" t="s">
        <v>17</v>
      </c>
      <c r="Q188" s="329" t="s">
        <v>17</v>
      </c>
      <c r="R188" s="6" t="s">
        <v>96</v>
      </c>
      <c r="S188" s="329" t="s">
        <v>1799</v>
      </c>
      <c r="T188" s="287" t="s">
        <v>59</v>
      </c>
      <c r="U188" s="329" t="s">
        <v>234</v>
      </c>
      <c r="V188" s="329" t="s">
        <v>17</v>
      </c>
      <c r="W188" s="329" t="s">
        <v>17</v>
      </c>
      <c r="X188" s="329" t="s">
        <v>17</v>
      </c>
      <c r="Y188" s="329" t="s">
        <v>17</v>
      </c>
      <c r="Z188" s="329" t="s">
        <v>17</v>
      </c>
      <c r="AA188" s="329" t="s">
        <v>17</v>
      </c>
      <c r="AB188" s="329" t="s">
        <v>17</v>
      </c>
      <c r="AC188" s="329" t="s">
        <v>1800</v>
      </c>
      <c r="AD188" s="372" t="s">
        <v>19</v>
      </c>
      <c r="AE188" s="10" t="s">
        <v>17</v>
      </c>
      <c r="AF188" s="373" t="s">
        <v>750</v>
      </c>
      <c r="AG188" s="263"/>
      <c r="AH188" s="263"/>
      <c r="AI188" s="5"/>
      <c r="AJ188" s="5"/>
      <c r="AK188" s="5"/>
    </row>
    <row r="189" spans="1:37" s="3" customFormat="1" ht="50.1" customHeight="1" x14ac:dyDescent="0.3">
      <c r="A189" s="7">
        <v>653333</v>
      </c>
      <c r="B189" s="7" t="s">
        <v>143</v>
      </c>
      <c r="C189" s="7" t="s">
        <v>1801</v>
      </c>
      <c r="D189" s="7" t="s">
        <v>149</v>
      </c>
      <c r="E189" s="241">
        <v>42612</v>
      </c>
      <c r="F189" s="7" t="s">
        <v>1802</v>
      </c>
      <c r="G189" s="374" t="s">
        <v>147</v>
      </c>
      <c r="H189" s="25" t="s">
        <v>1803</v>
      </c>
      <c r="I189" s="25" t="s">
        <v>1804</v>
      </c>
      <c r="J189" s="6" t="s">
        <v>16</v>
      </c>
      <c r="K189" s="6" t="s">
        <v>327</v>
      </c>
      <c r="L189" s="7" t="s">
        <v>1245</v>
      </c>
      <c r="M189" s="7" t="s">
        <v>17</v>
      </c>
      <c r="N189" s="36" t="s">
        <v>1805</v>
      </c>
      <c r="O189" s="7" t="s">
        <v>1806</v>
      </c>
      <c r="P189" s="32" t="s">
        <v>17</v>
      </c>
      <c r="Q189" s="32" t="s">
        <v>17</v>
      </c>
      <c r="R189" s="6" t="s">
        <v>17</v>
      </c>
      <c r="S189" s="35" t="s">
        <v>1807</v>
      </c>
      <c r="T189" s="32" t="s">
        <v>202</v>
      </c>
      <c r="U189" s="33" t="s">
        <v>183</v>
      </c>
      <c r="V189" s="32" t="s">
        <v>17</v>
      </c>
      <c r="W189" s="37" t="s">
        <v>17</v>
      </c>
      <c r="X189" s="33" t="s">
        <v>17</v>
      </c>
      <c r="Y189" s="32" t="s">
        <v>17</v>
      </c>
      <c r="Z189" s="44" t="s">
        <v>17</v>
      </c>
      <c r="AA189" s="44" t="s">
        <v>17</v>
      </c>
      <c r="AB189" s="32" t="s">
        <v>17</v>
      </c>
      <c r="AC189" s="32" t="s">
        <v>1808</v>
      </c>
      <c r="AD189" s="32" t="s">
        <v>19</v>
      </c>
      <c r="AE189" s="10" t="s">
        <v>17</v>
      </c>
      <c r="AF189" s="7" t="s">
        <v>1809</v>
      </c>
      <c r="AG189" s="5"/>
      <c r="AH189" s="5"/>
      <c r="AI189" s="5"/>
      <c r="AJ189" s="5"/>
      <c r="AK189" s="5"/>
    </row>
    <row r="190" spans="1:37" s="3" customFormat="1" ht="50.1" customHeight="1" x14ac:dyDescent="0.3">
      <c r="A190" s="7">
        <v>550502</v>
      </c>
      <c r="B190" s="7" t="s">
        <v>143</v>
      </c>
      <c r="C190" s="7" t="s">
        <v>1810</v>
      </c>
      <c r="D190" s="7" t="s">
        <v>159</v>
      </c>
      <c r="E190" s="241">
        <v>42678</v>
      </c>
      <c r="F190" s="356" t="s">
        <v>1811</v>
      </c>
      <c r="G190" s="31" t="s">
        <v>147</v>
      </c>
      <c r="H190" s="227" t="s">
        <v>1812</v>
      </c>
      <c r="I190" s="6" t="s">
        <v>1813</v>
      </c>
      <c r="J190" s="6" t="s">
        <v>16</v>
      </c>
      <c r="K190" s="6" t="s">
        <v>327</v>
      </c>
      <c r="L190" s="7" t="s">
        <v>1814</v>
      </c>
      <c r="M190" s="6" t="s">
        <v>23</v>
      </c>
      <c r="N190" s="36" t="s">
        <v>1814</v>
      </c>
      <c r="O190" s="6" t="s">
        <v>1815</v>
      </c>
      <c r="P190" s="6" t="s">
        <v>23</v>
      </c>
      <c r="Q190" s="6" t="s">
        <v>23</v>
      </c>
      <c r="R190" s="6" t="s">
        <v>96</v>
      </c>
      <c r="S190" s="7" t="s">
        <v>1816</v>
      </c>
      <c r="T190" s="7" t="s">
        <v>55</v>
      </c>
      <c r="U190" s="6" t="s">
        <v>23</v>
      </c>
      <c r="V190" s="6" t="s">
        <v>23</v>
      </c>
      <c r="W190" s="6" t="s">
        <v>23</v>
      </c>
      <c r="X190" s="6" t="s">
        <v>23</v>
      </c>
      <c r="Y190" s="6" t="s">
        <v>23</v>
      </c>
      <c r="Z190" s="6" t="s">
        <v>23</v>
      </c>
      <c r="AA190" s="6" t="s">
        <v>23</v>
      </c>
      <c r="AB190" s="6" t="s">
        <v>23</v>
      </c>
      <c r="AC190" s="7" t="s">
        <v>1817</v>
      </c>
      <c r="AD190" s="10" t="s">
        <v>19</v>
      </c>
      <c r="AE190" s="10" t="s">
        <v>17</v>
      </c>
      <c r="AF190" s="7" t="s">
        <v>1818</v>
      </c>
      <c r="AG190" s="5"/>
      <c r="AH190" s="5"/>
      <c r="AI190" s="5"/>
      <c r="AJ190" s="5"/>
      <c r="AK190" s="5"/>
    </row>
    <row r="191" spans="1:37" s="3" customFormat="1" ht="50.1" customHeight="1" x14ac:dyDescent="0.3">
      <c r="A191" s="199">
        <v>744119</v>
      </c>
      <c r="B191" s="199" t="s">
        <v>143</v>
      </c>
      <c r="C191" s="199" t="s">
        <v>1819</v>
      </c>
      <c r="D191" s="199" t="s">
        <v>149</v>
      </c>
      <c r="E191" s="236">
        <v>44768</v>
      </c>
      <c r="F191" s="351" t="s">
        <v>1820</v>
      </c>
      <c r="G191" s="199" t="s">
        <v>15</v>
      </c>
      <c r="H191" s="117" t="s">
        <v>1821</v>
      </c>
      <c r="I191" s="199" t="s">
        <v>1822</v>
      </c>
      <c r="J191" s="6" t="s">
        <v>16</v>
      </c>
      <c r="K191" s="199" t="s">
        <v>327</v>
      </c>
      <c r="L191" s="199" t="s">
        <v>1823</v>
      </c>
      <c r="M191" s="199" t="s">
        <v>17</v>
      </c>
      <c r="N191" s="220" t="s">
        <v>1823</v>
      </c>
      <c r="O191" s="199" t="s">
        <v>1824</v>
      </c>
      <c r="P191" s="199" t="s">
        <v>17</v>
      </c>
      <c r="Q191" s="199" t="s">
        <v>17</v>
      </c>
      <c r="R191" s="6" t="s">
        <v>96</v>
      </c>
      <c r="S191" s="199" t="s">
        <v>1825</v>
      </c>
      <c r="T191" s="199" t="s">
        <v>55</v>
      </c>
      <c r="U191" s="199">
        <v>359.55</v>
      </c>
      <c r="V191" s="199" t="s">
        <v>17</v>
      </c>
      <c r="W191" s="199" t="s">
        <v>17</v>
      </c>
      <c r="X191" s="199" t="s">
        <v>17</v>
      </c>
      <c r="Y191" s="199" t="s">
        <v>17</v>
      </c>
      <c r="Z191" s="199" t="s">
        <v>17</v>
      </c>
      <c r="AA191" s="199" t="s">
        <v>17</v>
      </c>
      <c r="AB191" s="199" t="s">
        <v>17</v>
      </c>
      <c r="AC191" s="199" t="s">
        <v>815</v>
      </c>
      <c r="AD191" s="199" t="s">
        <v>19</v>
      </c>
      <c r="AE191" s="10" t="s">
        <v>17</v>
      </c>
      <c r="AF191" s="199" t="s">
        <v>1826</v>
      </c>
      <c r="AG191" s="375"/>
      <c r="AH191" s="375"/>
      <c r="AI191" s="245"/>
      <c r="AJ191" s="245"/>
      <c r="AK191" s="245"/>
    </row>
    <row r="192" spans="1:37" ht="50.1" customHeight="1" x14ac:dyDescent="0.3">
      <c r="A192" s="60">
        <v>711752</v>
      </c>
      <c r="B192" s="60" t="s">
        <v>143</v>
      </c>
      <c r="C192" s="60" t="s">
        <v>1827</v>
      </c>
      <c r="D192" s="60" t="s">
        <v>159</v>
      </c>
      <c r="E192" s="236">
        <v>43103</v>
      </c>
      <c r="F192" s="351" t="s">
        <v>1828</v>
      </c>
      <c r="G192" s="199" t="s">
        <v>147</v>
      </c>
      <c r="H192" s="117" t="s">
        <v>1829</v>
      </c>
      <c r="I192" s="199" t="s">
        <v>1830</v>
      </c>
      <c r="J192" s="6" t="s">
        <v>16</v>
      </c>
      <c r="K192" s="6" t="s">
        <v>327</v>
      </c>
      <c r="L192" s="199" t="s">
        <v>1472</v>
      </c>
      <c r="M192" s="199" t="s">
        <v>23</v>
      </c>
      <c r="N192" s="199" t="s">
        <v>1473</v>
      </c>
      <c r="O192" s="199" t="s">
        <v>38</v>
      </c>
      <c r="P192" s="199" t="s">
        <v>23</v>
      </c>
      <c r="Q192" s="199" t="s">
        <v>23</v>
      </c>
      <c r="R192" s="158" t="s">
        <v>180</v>
      </c>
      <c r="S192" s="199" t="s">
        <v>17</v>
      </c>
      <c r="T192" s="32" t="s">
        <v>38</v>
      </c>
      <c r="U192" s="199" t="s">
        <v>23</v>
      </c>
      <c r="V192" s="199" t="s">
        <v>23</v>
      </c>
      <c r="W192" s="199" t="s">
        <v>23</v>
      </c>
      <c r="X192" s="199" t="s">
        <v>23</v>
      </c>
      <c r="Y192" s="199" t="s">
        <v>17</v>
      </c>
      <c r="Z192" s="199" t="s">
        <v>23</v>
      </c>
      <c r="AA192" s="199" t="s">
        <v>17</v>
      </c>
      <c r="AB192" s="199" t="s">
        <v>23</v>
      </c>
      <c r="AC192" s="60" t="s">
        <v>1831</v>
      </c>
      <c r="AD192" s="73" t="s">
        <v>19</v>
      </c>
      <c r="AE192" s="10" t="s">
        <v>17</v>
      </c>
      <c r="AF192" s="60" t="s">
        <v>1474</v>
      </c>
      <c r="AG192" s="238"/>
      <c r="AH192" s="238"/>
      <c r="AI192" s="5"/>
      <c r="AJ192" s="5"/>
      <c r="AK192" s="5"/>
    </row>
    <row r="193" spans="1:37" s="3" customFormat="1" ht="50.1" customHeight="1" x14ac:dyDescent="0.3">
      <c r="A193" s="6">
        <v>503787</v>
      </c>
      <c r="B193" s="6" t="s">
        <v>31</v>
      </c>
      <c r="C193" s="6" t="s">
        <v>1832</v>
      </c>
      <c r="D193" s="7" t="s">
        <v>36</v>
      </c>
      <c r="E193" s="230">
        <v>42171</v>
      </c>
      <c r="F193" s="354" t="s">
        <v>857</v>
      </c>
      <c r="G193" s="9" t="s">
        <v>33</v>
      </c>
      <c r="H193" s="57" t="s">
        <v>296</v>
      </c>
      <c r="I193" s="6" t="s">
        <v>1833</v>
      </c>
      <c r="J193" s="6" t="s">
        <v>16</v>
      </c>
      <c r="K193" s="6" t="s">
        <v>298</v>
      </c>
      <c r="L193" s="6" t="s">
        <v>444</v>
      </c>
      <c r="M193" s="6" t="s">
        <v>23</v>
      </c>
      <c r="N193" s="25" t="s">
        <v>1834</v>
      </c>
      <c r="O193" s="6" t="s">
        <v>1835</v>
      </c>
      <c r="P193" s="10" t="s">
        <v>23</v>
      </c>
      <c r="Q193" s="10" t="s">
        <v>23</v>
      </c>
      <c r="R193" s="6" t="s">
        <v>96</v>
      </c>
      <c r="S193" s="15" t="s">
        <v>1836</v>
      </c>
      <c r="T193" s="32" t="s">
        <v>38</v>
      </c>
      <c r="U193" s="12">
        <v>5188</v>
      </c>
      <c r="V193" s="10" t="s">
        <v>23</v>
      </c>
      <c r="W193" s="10" t="s">
        <v>23</v>
      </c>
      <c r="X193" s="10" t="s">
        <v>23</v>
      </c>
      <c r="Y193" s="10" t="s">
        <v>23</v>
      </c>
      <c r="Z193" s="29">
        <v>43682</v>
      </c>
      <c r="AA193" s="10" t="s">
        <v>23</v>
      </c>
      <c r="AB193" s="10" t="s">
        <v>23</v>
      </c>
      <c r="AC193" s="376" t="s">
        <v>1837</v>
      </c>
      <c r="AD193" s="6" t="s">
        <v>22</v>
      </c>
      <c r="AE193" s="10" t="s">
        <v>439</v>
      </c>
      <c r="AF193" s="6" t="s">
        <v>709</v>
      </c>
      <c r="AG193" s="5"/>
      <c r="AH193" s="5"/>
      <c r="AI193" s="5"/>
      <c r="AJ193" s="5"/>
      <c r="AK193" s="5"/>
    </row>
    <row r="194" spans="1:37" ht="50.1" customHeight="1" x14ac:dyDescent="0.3">
      <c r="A194" s="6">
        <v>503813</v>
      </c>
      <c r="B194" s="6" t="s">
        <v>31</v>
      </c>
      <c r="C194" s="6" t="s">
        <v>1838</v>
      </c>
      <c r="D194" s="7" t="s">
        <v>36</v>
      </c>
      <c r="E194" s="230">
        <v>42170</v>
      </c>
      <c r="F194" s="354" t="s">
        <v>857</v>
      </c>
      <c r="G194" s="16" t="s">
        <v>39</v>
      </c>
      <c r="H194" s="57" t="s">
        <v>296</v>
      </c>
      <c r="I194" s="57" t="s">
        <v>1839</v>
      </c>
      <c r="J194" s="6" t="s">
        <v>16</v>
      </c>
      <c r="K194" s="6" t="s">
        <v>298</v>
      </c>
      <c r="L194" s="6" t="s">
        <v>1840</v>
      </c>
      <c r="M194" s="6" t="s">
        <v>23</v>
      </c>
      <c r="N194" s="25" t="s">
        <v>1840</v>
      </c>
      <c r="O194" s="6" t="s">
        <v>1841</v>
      </c>
      <c r="P194" s="10" t="s">
        <v>23</v>
      </c>
      <c r="Q194" s="10" t="s">
        <v>23</v>
      </c>
      <c r="R194" s="6" t="s">
        <v>96</v>
      </c>
      <c r="S194" s="15" t="s">
        <v>1842</v>
      </c>
      <c r="T194" s="10" t="s">
        <v>41</v>
      </c>
      <c r="U194" s="12">
        <v>180274</v>
      </c>
      <c r="V194" s="10" t="s">
        <v>23</v>
      </c>
      <c r="W194" s="10" t="s">
        <v>23</v>
      </c>
      <c r="X194" s="10" t="s">
        <v>23</v>
      </c>
      <c r="Y194" s="10" t="s">
        <v>23</v>
      </c>
      <c r="Z194" s="13" t="s">
        <v>23</v>
      </c>
      <c r="AA194" s="10" t="s">
        <v>23</v>
      </c>
      <c r="AB194" s="10" t="s">
        <v>23</v>
      </c>
      <c r="AC194" s="11" t="s">
        <v>1843</v>
      </c>
      <c r="AD194" s="6" t="s">
        <v>22</v>
      </c>
      <c r="AE194" s="10" t="s">
        <v>1844</v>
      </c>
      <c r="AF194" s="6" t="s">
        <v>877</v>
      </c>
      <c r="AG194" s="14"/>
      <c r="AH194" s="14"/>
      <c r="AI194" s="5"/>
      <c r="AJ194" s="5"/>
      <c r="AK194" s="5"/>
    </row>
    <row r="195" spans="1:37" s="3" customFormat="1" ht="50.1" customHeight="1" x14ac:dyDescent="0.3">
      <c r="A195" s="7">
        <v>583326</v>
      </c>
      <c r="B195" s="6" t="s">
        <v>137</v>
      </c>
      <c r="C195" s="7" t="s">
        <v>1845</v>
      </c>
      <c r="D195" s="6" t="s">
        <v>243</v>
      </c>
      <c r="E195" s="242">
        <v>43369</v>
      </c>
      <c r="F195" s="353" t="s">
        <v>1401</v>
      </c>
      <c r="G195" s="6" t="s">
        <v>29</v>
      </c>
      <c r="H195" s="227" t="s">
        <v>296</v>
      </c>
      <c r="I195" s="7" t="s">
        <v>1846</v>
      </c>
      <c r="J195" s="6" t="s">
        <v>16</v>
      </c>
      <c r="K195" s="6" t="s">
        <v>298</v>
      </c>
      <c r="L195" s="7" t="s">
        <v>1847</v>
      </c>
      <c r="M195" s="6" t="s">
        <v>17</v>
      </c>
      <c r="N195" s="36" t="s">
        <v>1848</v>
      </c>
      <c r="O195" s="7" t="s">
        <v>1849</v>
      </c>
      <c r="P195" s="32" t="s">
        <v>17</v>
      </c>
      <c r="Q195" s="32" t="s">
        <v>17</v>
      </c>
      <c r="R195" s="10" t="s">
        <v>163</v>
      </c>
      <c r="S195" s="70" t="s">
        <v>1850</v>
      </c>
      <c r="T195" s="32" t="s">
        <v>57</v>
      </c>
      <c r="U195" s="99" t="s">
        <v>17</v>
      </c>
      <c r="V195" s="32" t="s">
        <v>17</v>
      </c>
      <c r="W195" s="32" t="s">
        <v>17</v>
      </c>
      <c r="X195" s="32" t="s">
        <v>17</v>
      </c>
      <c r="Y195" s="32" t="s">
        <v>17</v>
      </c>
      <c r="Z195" s="32" t="s">
        <v>1851</v>
      </c>
      <c r="AA195" s="32" t="s">
        <v>17</v>
      </c>
      <c r="AB195" s="32" t="s">
        <v>17</v>
      </c>
      <c r="AC195" s="33" t="s">
        <v>1852</v>
      </c>
      <c r="AD195" s="377" t="s">
        <v>19</v>
      </c>
      <c r="AE195" s="10" t="s">
        <v>17</v>
      </c>
      <c r="AF195" s="7" t="s">
        <v>1853</v>
      </c>
      <c r="AG195" s="5"/>
      <c r="AH195" s="5"/>
      <c r="AI195" s="5"/>
      <c r="AJ195" s="5"/>
      <c r="AK195" s="5"/>
    </row>
    <row r="196" spans="1:37" s="3" customFormat="1" ht="50.1" customHeight="1" x14ac:dyDescent="0.3">
      <c r="A196" s="6">
        <v>700533</v>
      </c>
      <c r="B196" s="6" t="s">
        <v>137</v>
      </c>
      <c r="C196" s="6" t="s">
        <v>1854</v>
      </c>
      <c r="D196" s="6" t="s">
        <v>243</v>
      </c>
      <c r="E196" s="230">
        <v>44625</v>
      </c>
      <c r="F196" s="6" t="s">
        <v>1855</v>
      </c>
      <c r="G196" s="6" t="s">
        <v>15</v>
      </c>
      <c r="H196" s="6" t="s">
        <v>296</v>
      </c>
      <c r="I196" s="6" t="s">
        <v>1856</v>
      </c>
      <c r="J196" s="6" t="s">
        <v>16</v>
      </c>
      <c r="K196" s="6" t="s">
        <v>298</v>
      </c>
      <c r="L196" s="6" t="s">
        <v>1857</v>
      </c>
      <c r="M196" s="6" t="s">
        <v>23</v>
      </c>
      <c r="N196" s="25" t="s">
        <v>1858</v>
      </c>
      <c r="O196" s="6" t="s">
        <v>23</v>
      </c>
      <c r="P196" s="10" t="s">
        <v>1859</v>
      </c>
      <c r="Q196" s="10" t="s">
        <v>23</v>
      </c>
      <c r="R196" s="6" t="s">
        <v>17</v>
      </c>
      <c r="S196" s="10" t="s">
        <v>1850</v>
      </c>
      <c r="T196" s="278" t="s">
        <v>17</v>
      </c>
      <c r="U196" s="12" t="s">
        <v>23</v>
      </c>
      <c r="V196" s="10" t="s">
        <v>23</v>
      </c>
      <c r="W196" s="10" t="s">
        <v>23</v>
      </c>
      <c r="X196" s="12" t="s">
        <v>23</v>
      </c>
      <c r="Y196" s="378" t="s">
        <v>1860</v>
      </c>
      <c r="Z196" s="13" t="s">
        <v>460</v>
      </c>
      <c r="AA196" s="13" t="s">
        <v>23</v>
      </c>
      <c r="AB196" s="10" t="s">
        <v>23</v>
      </c>
      <c r="AC196" s="10" t="s">
        <v>1861</v>
      </c>
      <c r="AD196" s="10" t="s">
        <v>19</v>
      </c>
      <c r="AE196" s="10" t="s">
        <v>17</v>
      </c>
      <c r="AF196" s="6" t="s">
        <v>1862</v>
      </c>
      <c r="AG196" s="238"/>
      <c r="AH196" s="238"/>
      <c r="AI196" s="5"/>
      <c r="AJ196" s="5"/>
      <c r="AK196" s="5"/>
    </row>
    <row r="197" spans="1:37" s="3" customFormat="1" ht="50.1" customHeight="1" x14ac:dyDescent="0.3">
      <c r="A197" s="6">
        <v>713735</v>
      </c>
      <c r="B197" s="6" t="s">
        <v>13</v>
      </c>
      <c r="C197" s="6" t="s">
        <v>1863</v>
      </c>
      <c r="D197" s="6" t="s">
        <v>14</v>
      </c>
      <c r="E197" s="230">
        <v>44267</v>
      </c>
      <c r="F197" s="6" t="s">
        <v>1864</v>
      </c>
      <c r="G197" s="6" t="s">
        <v>15</v>
      </c>
      <c r="H197" s="6" t="s">
        <v>1865</v>
      </c>
      <c r="I197" s="6" t="s">
        <v>1866</v>
      </c>
      <c r="J197" s="6" t="s">
        <v>16</v>
      </c>
      <c r="K197" s="6" t="s">
        <v>298</v>
      </c>
      <c r="L197" s="6" t="s">
        <v>1867</v>
      </c>
      <c r="M197" s="7" t="s">
        <v>17</v>
      </c>
      <c r="N197" s="36" t="s">
        <v>1868</v>
      </c>
      <c r="O197" s="6" t="s">
        <v>1869</v>
      </c>
      <c r="P197" s="6" t="s">
        <v>1870</v>
      </c>
      <c r="Q197" s="6" t="s">
        <v>1870</v>
      </c>
      <c r="R197" s="6" t="s">
        <v>17</v>
      </c>
      <c r="S197" s="6" t="s">
        <v>1871</v>
      </c>
      <c r="T197" s="6" t="s">
        <v>18</v>
      </c>
      <c r="U197" s="6" t="s">
        <v>17</v>
      </c>
      <c r="V197" s="6" t="s">
        <v>17</v>
      </c>
      <c r="W197" s="6" t="s">
        <v>17</v>
      </c>
      <c r="X197" s="6" t="s">
        <v>17</v>
      </c>
      <c r="Y197" s="6" t="s">
        <v>17</v>
      </c>
      <c r="Z197" s="6" t="s">
        <v>19</v>
      </c>
      <c r="AA197" s="6" t="s">
        <v>17</v>
      </c>
      <c r="AB197" s="6" t="s">
        <v>17</v>
      </c>
      <c r="AC197" s="6" t="s">
        <v>1872</v>
      </c>
      <c r="AD197" s="6" t="s">
        <v>19</v>
      </c>
      <c r="AE197" s="10" t="s">
        <v>17</v>
      </c>
      <c r="AF197" s="6" t="s">
        <v>1873</v>
      </c>
      <c r="AI197" s="5"/>
      <c r="AJ197" s="5"/>
      <c r="AK197" s="5"/>
    </row>
    <row r="198" spans="1:37" s="3" customFormat="1" ht="50.1" customHeight="1" x14ac:dyDescent="0.3">
      <c r="A198" s="6">
        <v>705100</v>
      </c>
      <c r="B198" s="6" t="s">
        <v>137</v>
      </c>
      <c r="C198" s="6" t="s">
        <v>1874</v>
      </c>
      <c r="D198" s="6" t="s">
        <v>258</v>
      </c>
      <c r="E198" s="230">
        <v>44726</v>
      </c>
      <c r="F198" s="6" t="s">
        <v>1234</v>
      </c>
      <c r="G198" s="6" t="s">
        <v>15</v>
      </c>
      <c r="H198" s="6" t="s">
        <v>1875</v>
      </c>
      <c r="I198" s="6" t="s">
        <v>1876</v>
      </c>
      <c r="J198" s="6" t="s">
        <v>16</v>
      </c>
      <c r="K198" s="6" t="s">
        <v>298</v>
      </c>
      <c r="L198" s="6" t="s">
        <v>1877</v>
      </c>
      <c r="M198" s="7" t="s">
        <v>17</v>
      </c>
      <c r="N198" s="36" t="s">
        <v>1878</v>
      </c>
      <c r="O198" s="6" t="s">
        <v>17</v>
      </c>
      <c r="P198" s="6" t="s">
        <v>1879</v>
      </c>
      <c r="Q198" s="6" t="s">
        <v>1879</v>
      </c>
      <c r="R198" s="6" t="s">
        <v>17</v>
      </c>
      <c r="S198" s="6" t="s">
        <v>1871</v>
      </c>
      <c r="T198" s="278" t="s">
        <v>17</v>
      </c>
      <c r="U198" s="6" t="s">
        <v>17</v>
      </c>
      <c r="V198" s="6" t="s">
        <v>17</v>
      </c>
      <c r="W198" s="6" t="s">
        <v>17</v>
      </c>
      <c r="X198" s="6" t="s">
        <v>17</v>
      </c>
      <c r="Y198" s="6" t="s">
        <v>17</v>
      </c>
      <c r="Z198" s="6" t="s">
        <v>1880</v>
      </c>
      <c r="AA198" s="6" t="s">
        <v>17</v>
      </c>
      <c r="AB198" s="6" t="s">
        <v>17</v>
      </c>
      <c r="AC198" s="6" t="s">
        <v>1881</v>
      </c>
      <c r="AD198" s="6" t="s">
        <v>19</v>
      </c>
      <c r="AE198" s="10" t="s">
        <v>17</v>
      </c>
      <c r="AF198" s="6" t="s">
        <v>1882</v>
      </c>
      <c r="AI198" s="5"/>
      <c r="AJ198" s="5"/>
      <c r="AK198" s="5"/>
    </row>
    <row r="199" spans="1:37" s="3" customFormat="1" ht="50.1" customHeight="1" x14ac:dyDescent="0.3">
      <c r="A199" s="6">
        <v>706375</v>
      </c>
      <c r="B199" s="6" t="s">
        <v>227</v>
      </c>
      <c r="C199" s="6" t="s">
        <v>1883</v>
      </c>
      <c r="D199" s="6" t="s">
        <v>228</v>
      </c>
      <c r="E199" s="230">
        <v>44729</v>
      </c>
      <c r="F199" s="6" t="s">
        <v>1884</v>
      </c>
      <c r="G199" s="31" t="s">
        <v>229</v>
      </c>
      <c r="H199" s="6" t="s">
        <v>296</v>
      </c>
      <c r="I199" s="6" t="s">
        <v>1885</v>
      </c>
      <c r="J199" s="6" t="s">
        <v>16</v>
      </c>
      <c r="K199" s="6" t="s">
        <v>1886</v>
      </c>
      <c r="L199" s="6" t="s">
        <v>1887</v>
      </c>
      <c r="M199" s="7" t="s">
        <v>1888</v>
      </c>
      <c r="N199" s="25" t="s">
        <v>1887</v>
      </c>
      <c r="O199" s="6" t="s">
        <v>17</v>
      </c>
      <c r="P199" s="6" t="s">
        <v>17</v>
      </c>
      <c r="Q199" s="6" t="s">
        <v>17</v>
      </c>
      <c r="R199" s="6" t="s">
        <v>17</v>
      </c>
      <c r="S199" s="6" t="s">
        <v>17</v>
      </c>
      <c r="T199" s="6"/>
      <c r="U199" s="6" t="s">
        <v>17</v>
      </c>
      <c r="V199" s="6" t="s">
        <v>17</v>
      </c>
      <c r="W199" s="6" t="s">
        <v>17</v>
      </c>
      <c r="X199" s="6" t="s">
        <v>17</v>
      </c>
      <c r="Y199" s="6" t="s">
        <v>17</v>
      </c>
      <c r="Z199" s="6" t="s">
        <v>17</v>
      </c>
      <c r="AA199" s="6" t="s">
        <v>17</v>
      </c>
      <c r="AB199" s="6" t="s">
        <v>17</v>
      </c>
      <c r="AC199" s="8" t="s">
        <v>1889</v>
      </c>
      <c r="AD199" s="6" t="s">
        <v>19</v>
      </c>
      <c r="AE199" s="10" t="s">
        <v>17</v>
      </c>
      <c r="AF199" s="6" t="s">
        <v>1890</v>
      </c>
      <c r="AG199" s="231"/>
      <c r="AH199" s="231"/>
      <c r="AI199" s="5"/>
      <c r="AJ199" s="5"/>
      <c r="AK199" s="5"/>
    </row>
    <row r="200" spans="1:37" s="3" customFormat="1" ht="50.1" customHeight="1" x14ac:dyDescent="0.3">
      <c r="A200" s="23">
        <v>730899</v>
      </c>
      <c r="B200" s="6" t="s">
        <v>137</v>
      </c>
      <c r="C200" s="285" t="s">
        <v>1891</v>
      </c>
      <c r="D200" s="6" t="s">
        <v>248</v>
      </c>
      <c r="E200" s="240">
        <v>42685</v>
      </c>
      <c r="F200" s="379" t="s">
        <v>1892</v>
      </c>
      <c r="G200" s="6" t="s">
        <v>29</v>
      </c>
      <c r="H200" s="380" t="s">
        <v>1893</v>
      </c>
      <c r="I200" s="6" t="s">
        <v>1206</v>
      </c>
      <c r="J200" s="6" t="s">
        <v>16</v>
      </c>
      <c r="K200" s="6" t="s">
        <v>298</v>
      </c>
      <c r="L200" s="238" t="s">
        <v>1894</v>
      </c>
      <c r="M200" s="7" t="s">
        <v>17</v>
      </c>
      <c r="N200" s="381" t="s">
        <v>1895</v>
      </c>
      <c r="O200" s="23" t="s">
        <v>17</v>
      </c>
      <c r="P200" s="382">
        <v>2957103439.52</v>
      </c>
      <c r="Q200" s="6" t="s">
        <v>17</v>
      </c>
      <c r="R200" s="60" t="s">
        <v>148</v>
      </c>
      <c r="S200" s="6" t="s">
        <v>17</v>
      </c>
      <c r="T200" s="23" t="s">
        <v>74</v>
      </c>
      <c r="U200" s="23" t="s">
        <v>17</v>
      </c>
      <c r="V200" s="23" t="s">
        <v>17</v>
      </c>
      <c r="W200" s="23" t="s">
        <v>17</v>
      </c>
      <c r="X200" s="23" t="s">
        <v>17</v>
      </c>
      <c r="Y200" s="23" t="s">
        <v>17</v>
      </c>
      <c r="Z200" s="23" t="s">
        <v>1896</v>
      </c>
      <c r="AA200" s="23" t="s">
        <v>17</v>
      </c>
      <c r="AB200" s="23" t="s">
        <v>17</v>
      </c>
      <c r="AC200" s="23" t="s">
        <v>877</v>
      </c>
      <c r="AD200" s="23" t="s">
        <v>19</v>
      </c>
      <c r="AE200" s="10" t="s">
        <v>17</v>
      </c>
      <c r="AF200" s="23" t="s">
        <v>1897</v>
      </c>
      <c r="AI200" s="5"/>
      <c r="AJ200" s="5"/>
      <c r="AK200" s="5"/>
    </row>
    <row r="201" spans="1:37" s="3" customFormat="1" ht="50.1" customHeight="1" x14ac:dyDescent="0.3">
      <c r="A201" s="6">
        <v>699873</v>
      </c>
      <c r="B201" s="6" t="s">
        <v>137</v>
      </c>
      <c r="C201" s="6" t="s">
        <v>1898</v>
      </c>
      <c r="D201" s="260" t="s">
        <v>242</v>
      </c>
      <c r="E201" s="230">
        <v>43818</v>
      </c>
      <c r="F201" s="354" t="s">
        <v>1899</v>
      </c>
      <c r="G201" s="6" t="s">
        <v>29</v>
      </c>
      <c r="H201" s="57" t="s">
        <v>1900</v>
      </c>
      <c r="I201" s="6" t="s">
        <v>296</v>
      </c>
      <c r="J201" s="6" t="s">
        <v>16</v>
      </c>
      <c r="K201" s="6" t="s">
        <v>298</v>
      </c>
      <c r="L201" s="6" t="s">
        <v>1901</v>
      </c>
      <c r="M201" s="7" t="s">
        <v>17</v>
      </c>
      <c r="N201" s="36" t="s">
        <v>1902</v>
      </c>
      <c r="O201" s="6" t="s">
        <v>1903</v>
      </c>
      <c r="P201" s="6" t="s">
        <v>1904</v>
      </c>
      <c r="Q201" s="6" t="s">
        <v>17</v>
      </c>
      <c r="R201" s="6" t="s">
        <v>17</v>
      </c>
      <c r="S201" s="6" t="s">
        <v>17</v>
      </c>
      <c r="T201" s="6" t="s">
        <v>55</v>
      </c>
      <c r="U201" s="6" t="s">
        <v>17</v>
      </c>
      <c r="V201" s="6" t="s">
        <v>17</v>
      </c>
      <c r="W201" s="6" t="s">
        <v>17</v>
      </c>
      <c r="X201" s="6" t="s">
        <v>17</v>
      </c>
      <c r="Y201" s="6" t="s">
        <v>17</v>
      </c>
      <c r="Z201" s="6" t="s">
        <v>17</v>
      </c>
      <c r="AA201" s="6" t="s">
        <v>17</v>
      </c>
      <c r="AB201" s="6" t="s">
        <v>17</v>
      </c>
      <c r="AC201" s="6" t="s">
        <v>1905</v>
      </c>
      <c r="AD201" s="6" t="s">
        <v>19</v>
      </c>
      <c r="AE201" s="10" t="s">
        <v>17</v>
      </c>
      <c r="AF201" s="6" t="s">
        <v>1906</v>
      </c>
      <c r="AG201" s="238"/>
      <c r="AH201" s="238"/>
      <c r="AI201" s="215"/>
      <c r="AJ201" s="215"/>
      <c r="AK201" s="215"/>
    </row>
    <row r="202" spans="1:37" ht="50.1" customHeight="1" x14ac:dyDescent="0.3">
      <c r="A202" s="23">
        <v>735826</v>
      </c>
      <c r="B202" s="6" t="s">
        <v>137</v>
      </c>
      <c r="C202" s="285" t="s">
        <v>1907</v>
      </c>
      <c r="D202" s="23" t="s">
        <v>242</v>
      </c>
      <c r="E202" s="240">
        <v>44760</v>
      </c>
      <c r="F202" s="379" t="s">
        <v>726</v>
      </c>
      <c r="G202" s="6" t="s">
        <v>29</v>
      </c>
      <c r="H202" s="380" t="s">
        <v>1908</v>
      </c>
      <c r="I202" s="6" t="s">
        <v>1206</v>
      </c>
      <c r="J202" s="6" t="s">
        <v>16</v>
      </c>
      <c r="K202" s="6" t="s">
        <v>298</v>
      </c>
      <c r="L202" s="23" t="s">
        <v>1909</v>
      </c>
      <c r="M202" s="7" t="s">
        <v>17</v>
      </c>
      <c r="N202" s="39" t="s">
        <v>1910</v>
      </c>
      <c r="O202" s="23" t="s">
        <v>17</v>
      </c>
      <c r="P202" s="382">
        <v>17427474000</v>
      </c>
      <c r="Q202" s="6" t="s">
        <v>17</v>
      </c>
      <c r="R202" s="6" t="s">
        <v>96</v>
      </c>
      <c r="S202" s="6" t="s">
        <v>17</v>
      </c>
      <c r="T202" s="32" t="s">
        <v>38</v>
      </c>
      <c r="U202" s="23" t="s">
        <v>17</v>
      </c>
      <c r="V202" s="23" t="s">
        <v>17</v>
      </c>
      <c r="W202" s="23" t="s">
        <v>17</v>
      </c>
      <c r="X202" s="23" t="s">
        <v>17</v>
      </c>
      <c r="Y202" s="23" t="s">
        <v>17</v>
      </c>
      <c r="Z202" s="23" t="s">
        <v>17</v>
      </c>
      <c r="AA202" s="23" t="s">
        <v>17</v>
      </c>
      <c r="AB202" s="23" t="s">
        <v>17</v>
      </c>
      <c r="AC202" s="23" t="s">
        <v>1911</v>
      </c>
      <c r="AD202" s="23" t="s">
        <v>19</v>
      </c>
      <c r="AE202" s="10" t="s">
        <v>17</v>
      </c>
      <c r="AF202" s="23" t="s">
        <v>787</v>
      </c>
      <c r="AG202" s="3"/>
      <c r="AH202" s="3"/>
      <c r="AI202" s="5"/>
      <c r="AJ202" s="5"/>
      <c r="AK202" s="5"/>
    </row>
    <row r="203" spans="1:37" s="3" customFormat="1" ht="50.1" customHeight="1" x14ac:dyDescent="0.3">
      <c r="A203" s="91">
        <v>774792</v>
      </c>
      <c r="B203" s="91" t="s">
        <v>143</v>
      </c>
      <c r="C203" s="6" t="s">
        <v>1912</v>
      </c>
      <c r="D203" s="6" t="s">
        <v>204</v>
      </c>
      <c r="E203" s="230">
        <v>45243</v>
      </c>
      <c r="F203" s="6" t="s">
        <v>1548</v>
      </c>
      <c r="G203" s="6" t="s">
        <v>15</v>
      </c>
      <c r="H203" s="6" t="s">
        <v>296</v>
      </c>
      <c r="I203" s="91" t="s">
        <v>1913</v>
      </c>
      <c r="J203" s="6" t="s">
        <v>16</v>
      </c>
      <c r="K203" s="6" t="s">
        <v>298</v>
      </c>
      <c r="L203" s="6" t="s">
        <v>1914</v>
      </c>
      <c r="M203" s="75" t="s">
        <v>17</v>
      </c>
      <c r="N203" s="257" t="s">
        <v>1915</v>
      </c>
      <c r="O203" s="220" t="s">
        <v>17</v>
      </c>
      <c r="P203" s="258" t="s">
        <v>1916</v>
      </c>
      <c r="Q203" s="258" t="s">
        <v>17</v>
      </c>
      <c r="R203" s="6" t="s">
        <v>17</v>
      </c>
      <c r="S203" s="258" t="s">
        <v>17</v>
      </c>
      <c r="T203" s="278" t="s">
        <v>17</v>
      </c>
      <c r="U203" s="258" t="s">
        <v>17</v>
      </c>
      <c r="V203" s="258" t="s">
        <v>17</v>
      </c>
      <c r="W203" s="258" t="s">
        <v>17</v>
      </c>
      <c r="X203" s="258" t="s">
        <v>17</v>
      </c>
      <c r="Y203" s="258" t="s">
        <v>17</v>
      </c>
      <c r="Z203" s="258" t="s">
        <v>853</v>
      </c>
      <c r="AA203" s="258" t="s">
        <v>853</v>
      </c>
      <c r="AB203" s="258" t="s">
        <v>853</v>
      </c>
      <c r="AC203" s="199" t="s">
        <v>1917</v>
      </c>
      <c r="AD203" s="258" t="s">
        <v>19</v>
      </c>
      <c r="AE203" s="10" t="s">
        <v>17</v>
      </c>
      <c r="AF203" s="6" t="s">
        <v>1918</v>
      </c>
      <c r="AG203" s="250"/>
      <c r="AH203" s="250"/>
      <c r="AI203" s="5"/>
      <c r="AJ203" s="5"/>
      <c r="AK203" s="5"/>
    </row>
    <row r="204" spans="1:37" s="3" customFormat="1" ht="50.1" customHeight="1" x14ac:dyDescent="0.3">
      <c r="A204" s="48" t="s">
        <v>17</v>
      </c>
      <c r="B204" s="7" t="s">
        <v>31</v>
      </c>
      <c r="C204" s="7" t="s">
        <v>1919</v>
      </c>
      <c r="D204" s="156" t="s">
        <v>36</v>
      </c>
      <c r="E204" s="242">
        <v>39418</v>
      </c>
      <c r="F204" s="156" t="s">
        <v>487</v>
      </c>
      <c r="G204" s="16" t="s">
        <v>39</v>
      </c>
      <c r="H204" s="7" t="s">
        <v>1920</v>
      </c>
      <c r="I204" s="6" t="s">
        <v>1921</v>
      </c>
      <c r="J204" s="6" t="s">
        <v>16</v>
      </c>
      <c r="K204" s="6" t="s">
        <v>327</v>
      </c>
      <c r="L204" s="7" t="s">
        <v>1922</v>
      </c>
      <c r="M204" s="7" t="s">
        <v>17</v>
      </c>
      <c r="N204" s="36" t="s">
        <v>1923</v>
      </c>
      <c r="O204" s="7" t="s">
        <v>17</v>
      </c>
      <c r="P204" s="32" t="s">
        <v>17</v>
      </c>
      <c r="Q204" s="32" t="s">
        <v>17</v>
      </c>
      <c r="R204" s="6" t="s">
        <v>17</v>
      </c>
      <c r="S204" s="35" t="s">
        <v>17</v>
      </c>
      <c r="T204" s="10" t="s">
        <v>75</v>
      </c>
      <c r="U204" s="33" t="s">
        <v>17</v>
      </c>
      <c r="V204" s="33" t="s">
        <v>17</v>
      </c>
      <c r="W204" s="33" t="s">
        <v>17</v>
      </c>
      <c r="X204" s="33" t="s">
        <v>17</v>
      </c>
      <c r="Y204" s="33" t="s">
        <v>17</v>
      </c>
      <c r="Z204" s="33" t="s">
        <v>17</v>
      </c>
      <c r="AA204" s="33" t="s">
        <v>17</v>
      </c>
      <c r="AB204" s="33" t="s">
        <v>17</v>
      </c>
      <c r="AC204" s="46" t="s">
        <v>1924</v>
      </c>
      <c r="AD204" s="10" t="s">
        <v>82</v>
      </c>
      <c r="AE204" s="10" t="s">
        <v>17</v>
      </c>
      <c r="AF204" s="7" t="s">
        <v>1925</v>
      </c>
      <c r="AG204" s="5"/>
      <c r="AH204" s="5"/>
      <c r="AI204" s="5"/>
      <c r="AJ204" s="5"/>
      <c r="AK204" s="5"/>
    </row>
    <row r="205" spans="1:37" s="3" customFormat="1" ht="50.1" customHeight="1" x14ac:dyDescent="0.3">
      <c r="A205" s="172">
        <v>789093</v>
      </c>
      <c r="B205" s="258" t="s">
        <v>1177</v>
      </c>
      <c r="C205" s="172" t="s">
        <v>1926</v>
      </c>
      <c r="D205" s="172" t="s">
        <v>36</v>
      </c>
      <c r="E205" s="171">
        <v>39456</v>
      </c>
      <c r="F205" s="172" t="s">
        <v>1927</v>
      </c>
      <c r="G205" s="16" t="s">
        <v>39</v>
      </c>
      <c r="H205" s="152" t="s">
        <v>1928</v>
      </c>
      <c r="I205" s="172" t="s">
        <v>1929</v>
      </c>
      <c r="J205" s="6" t="s">
        <v>16</v>
      </c>
      <c r="K205" s="6" t="s">
        <v>327</v>
      </c>
      <c r="L205" s="6" t="s">
        <v>1930</v>
      </c>
      <c r="M205" s="100" t="s">
        <v>17</v>
      </c>
      <c r="N205" s="6" t="s">
        <v>1930</v>
      </c>
      <c r="O205" s="100" t="s">
        <v>17</v>
      </c>
      <c r="P205" s="109" t="s">
        <v>17</v>
      </c>
      <c r="Q205" s="109" t="s">
        <v>17</v>
      </c>
      <c r="R205" s="6" t="s">
        <v>17</v>
      </c>
      <c r="S205" s="383" t="s">
        <v>17</v>
      </c>
      <c r="T205" s="109" t="s">
        <v>21</v>
      </c>
      <c r="U205" s="110" t="s">
        <v>17</v>
      </c>
      <c r="V205" s="109" t="s">
        <v>23</v>
      </c>
      <c r="W205" s="109" t="s">
        <v>23</v>
      </c>
      <c r="X205" s="109" t="s">
        <v>23</v>
      </c>
      <c r="Y205" s="109" t="s">
        <v>23</v>
      </c>
      <c r="Z205" s="109" t="s">
        <v>23</v>
      </c>
      <c r="AA205" s="109" t="s">
        <v>23</v>
      </c>
      <c r="AB205" s="109" t="s">
        <v>23</v>
      </c>
      <c r="AC205" s="109" t="s">
        <v>1931</v>
      </c>
      <c r="AD205" s="10" t="s">
        <v>82</v>
      </c>
      <c r="AE205" s="6" t="s">
        <v>341</v>
      </c>
      <c r="AF205" s="109" t="s">
        <v>1932</v>
      </c>
      <c r="AG205" s="5"/>
      <c r="AH205" s="5"/>
      <c r="AI205" s="5"/>
      <c r="AJ205" s="5"/>
      <c r="AK205" s="5"/>
    </row>
    <row r="206" spans="1:37" s="3" customFormat="1" ht="50.1" customHeight="1" x14ac:dyDescent="0.3">
      <c r="A206" s="331">
        <v>650108</v>
      </c>
      <c r="B206" s="329" t="s">
        <v>143</v>
      </c>
      <c r="C206" s="331" t="s">
        <v>1933</v>
      </c>
      <c r="D206" s="329" t="s">
        <v>149</v>
      </c>
      <c r="E206" s="384">
        <v>43724</v>
      </c>
      <c r="F206" s="331" t="s">
        <v>1934</v>
      </c>
      <c r="G206" s="331" t="s">
        <v>147</v>
      </c>
      <c r="H206" s="331" t="s">
        <v>1935</v>
      </c>
      <c r="I206" s="331" t="s">
        <v>1936</v>
      </c>
      <c r="J206" s="6" t="s">
        <v>16</v>
      </c>
      <c r="K206" s="668" t="s">
        <v>781</v>
      </c>
      <c r="L206" s="385" t="s">
        <v>1245</v>
      </c>
      <c r="M206" s="331" t="s">
        <v>17</v>
      </c>
      <c r="N206" s="386" t="s">
        <v>1262</v>
      </c>
      <c r="O206" s="331" t="s">
        <v>1937</v>
      </c>
      <c r="P206" s="331" t="s">
        <v>17</v>
      </c>
      <c r="Q206" s="331" t="s">
        <v>17</v>
      </c>
      <c r="R206" s="6" t="s">
        <v>96</v>
      </c>
      <c r="S206" s="331" t="s">
        <v>1938</v>
      </c>
      <c r="T206" s="10" t="s">
        <v>51</v>
      </c>
      <c r="U206" s="331">
        <v>135</v>
      </c>
      <c r="V206" s="331" t="s">
        <v>17</v>
      </c>
      <c r="W206" s="331" t="s">
        <v>17</v>
      </c>
      <c r="X206" s="331" t="s">
        <v>17</v>
      </c>
      <c r="Y206" s="331" t="s">
        <v>17</v>
      </c>
      <c r="Z206" s="331" t="s">
        <v>17</v>
      </c>
      <c r="AA206" s="331" t="s">
        <v>17</v>
      </c>
      <c r="AB206" s="331" t="s">
        <v>17</v>
      </c>
      <c r="AC206" s="331" t="s">
        <v>1939</v>
      </c>
      <c r="AD206" s="331" t="s">
        <v>19</v>
      </c>
      <c r="AE206" s="10" t="s">
        <v>17</v>
      </c>
      <c r="AF206" s="331" t="s">
        <v>1940</v>
      </c>
      <c r="AG206" s="5"/>
      <c r="AH206" s="5"/>
      <c r="AI206" s="5"/>
      <c r="AJ206" s="5"/>
      <c r="AK206" s="5"/>
    </row>
    <row r="207" spans="1:37" s="3" customFormat="1" ht="50.1" customHeight="1" x14ac:dyDescent="0.3">
      <c r="A207" s="100">
        <v>553301</v>
      </c>
      <c r="B207" s="6" t="s">
        <v>137</v>
      </c>
      <c r="C207" s="100" t="s">
        <v>1941</v>
      </c>
      <c r="D207" s="100" t="s">
        <v>243</v>
      </c>
      <c r="E207" s="324">
        <v>42720</v>
      </c>
      <c r="F207" s="100" t="s">
        <v>1942</v>
      </c>
      <c r="G207" s="6" t="s">
        <v>29</v>
      </c>
      <c r="H207" s="100" t="s">
        <v>1943</v>
      </c>
      <c r="I207" s="100" t="s">
        <v>357</v>
      </c>
      <c r="J207" s="6" t="s">
        <v>16</v>
      </c>
      <c r="K207" s="6" t="s">
        <v>298</v>
      </c>
      <c r="L207" s="6" t="s">
        <v>1944</v>
      </c>
      <c r="M207" s="100" t="s">
        <v>17</v>
      </c>
      <c r="N207" s="108" t="s">
        <v>1945</v>
      </c>
      <c r="O207" s="100" t="s">
        <v>17</v>
      </c>
      <c r="P207" s="109" t="s">
        <v>23</v>
      </c>
      <c r="Q207" s="109" t="s">
        <v>17</v>
      </c>
      <c r="R207" s="6" t="s">
        <v>17</v>
      </c>
      <c r="S207" s="387" t="s">
        <v>17</v>
      </c>
      <c r="T207" s="278" t="s">
        <v>17</v>
      </c>
      <c r="U207" s="110" t="s">
        <v>23</v>
      </c>
      <c r="V207" s="109" t="s">
        <v>17</v>
      </c>
      <c r="W207" s="109" t="s">
        <v>17</v>
      </c>
      <c r="X207" s="109" t="s">
        <v>23</v>
      </c>
      <c r="Y207" s="109" t="s">
        <v>23</v>
      </c>
      <c r="Z207" s="109" t="s">
        <v>17</v>
      </c>
      <c r="AA207" s="109" t="s">
        <v>17</v>
      </c>
      <c r="AB207" s="109" t="s">
        <v>17</v>
      </c>
      <c r="AC207" s="109" t="s">
        <v>1946</v>
      </c>
      <c r="AD207" s="109" t="s">
        <v>19</v>
      </c>
      <c r="AE207" s="10" t="s">
        <v>17</v>
      </c>
      <c r="AF207" s="100" t="s">
        <v>302</v>
      </c>
      <c r="AG207" s="5"/>
      <c r="AH207" s="5"/>
      <c r="AI207" s="140"/>
      <c r="AJ207" s="140"/>
      <c r="AK207" s="140"/>
    </row>
    <row r="208" spans="1:37" s="3" customFormat="1" ht="50.1" customHeight="1" x14ac:dyDescent="0.3">
      <c r="A208" s="104">
        <v>575478</v>
      </c>
      <c r="B208" s="6" t="s">
        <v>137</v>
      </c>
      <c r="C208" s="104" t="s">
        <v>1947</v>
      </c>
      <c r="D208" s="6" t="s">
        <v>248</v>
      </c>
      <c r="E208" s="388">
        <v>43000</v>
      </c>
      <c r="F208" s="94" t="s">
        <v>1948</v>
      </c>
      <c r="G208" s="6" t="s">
        <v>29</v>
      </c>
      <c r="H208" s="104" t="s">
        <v>1949</v>
      </c>
      <c r="I208" s="104" t="s">
        <v>296</v>
      </c>
      <c r="J208" s="6" t="s">
        <v>16</v>
      </c>
      <c r="K208" s="6" t="s">
        <v>298</v>
      </c>
      <c r="L208" s="104" t="s">
        <v>1950</v>
      </c>
      <c r="M208" s="100" t="s">
        <v>17</v>
      </c>
      <c r="N208" s="389" t="s">
        <v>1951</v>
      </c>
      <c r="O208" s="104" t="s">
        <v>17</v>
      </c>
      <c r="P208" s="370">
        <v>79478425</v>
      </c>
      <c r="Q208" s="370" t="s">
        <v>17</v>
      </c>
      <c r="R208" s="6" t="s">
        <v>17</v>
      </c>
      <c r="S208" s="390" t="s">
        <v>17</v>
      </c>
      <c r="T208" s="278" t="s">
        <v>17</v>
      </c>
      <c r="U208" s="391" t="s">
        <v>17</v>
      </c>
      <c r="V208" s="391" t="s">
        <v>17</v>
      </c>
      <c r="W208" s="391" t="s">
        <v>17</v>
      </c>
      <c r="X208" s="391" t="s">
        <v>17</v>
      </c>
      <c r="Y208" s="370">
        <v>79478425</v>
      </c>
      <c r="Z208" s="392">
        <v>44369</v>
      </c>
      <c r="AA208" s="391" t="s">
        <v>17</v>
      </c>
      <c r="AB208" s="391" t="s">
        <v>17</v>
      </c>
      <c r="AC208" s="393" t="s">
        <v>1952</v>
      </c>
      <c r="AD208" s="109" t="s">
        <v>19</v>
      </c>
      <c r="AE208" s="10" t="s">
        <v>17</v>
      </c>
      <c r="AF208" s="104" t="s">
        <v>1953</v>
      </c>
      <c r="AG208" s="5"/>
      <c r="AH208" s="5"/>
      <c r="AI208" s="5"/>
      <c r="AJ208" s="5"/>
      <c r="AK208" s="5"/>
    </row>
    <row r="209" spans="1:37" s="3" customFormat="1" ht="50.1" customHeight="1" x14ac:dyDescent="0.3">
      <c r="A209" s="104">
        <v>601304</v>
      </c>
      <c r="B209" s="6" t="s">
        <v>137</v>
      </c>
      <c r="C209" s="104" t="s">
        <v>1954</v>
      </c>
      <c r="D209" s="6" t="s">
        <v>243</v>
      </c>
      <c r="E209" s="388">
        <v>42880</v>
      </c>
      <c r="F209" s="94" t="s">
        <v>1955</v>
      </c>
      <c r="G209" s="6" t="s">
        <v>29</v>
      </c>
      <c r="H209" s="104" t="s">
        <v>1956</v>
      </c>
      <c r="I209" s="104" t="s">
        <v>296</v>
      </c>
      <c r="J209" s="6" t="s">
        <v>16</v>
      </c>
      <c r="K209" s="6" t="s">
        <v>298</v>
      </c>
      <c r="L209" s="104" t="s">
        <v>1957</v>
      </c>
      <c r="M209" s="100" t="s">
        <v>17</v>
      </c>
      <c r="N209" s="389" t="s">
        <v>1958</v>
      </c>
      <c r="O209" s="104" t="s">
        <v>1959</v>
      </c>
      <c r="P209" s="370" t="s">
        <v>17</v>
      </c>
      <c r="Q209" s="370" t="s">
        <v>17</v>
      </c>
      <c r="R209" s="6" t="s">
        <v>17</v>
      </c>
      <c r="S209" s="370" t="s">
        <v>17</v>
      </c>
      <c r="T209" s="278" t="s">
        <v>17</v>
      </c>
      <c r="U209" s="370" t="s">
        <v>17</v>
      </c>
      <c r="V209" s="370" t="s">
        <v>17</v>
      </c>
      <c r="W209" s="370" t="s">
        <v>17</v>
      </c>
      <c r="X209" s="370" t="s">
        <v>17</v>
      </c>
      <c r="Y209" s="370" t="s">
        <v>17</v>
      </c>
      <c r="Z209" s="370" t="s">
        <v>17</v>
      </c>
      <c r="AA209" s="370" t="s">
        <v>17</v>
      </c>
      <c r="AB209" s="370" t="s">
        <v>17</v>
      </c>
      <c r="AC209" s="335" t="s">
        <v>1960</v>
      </c>
      <c r="AD209" s="109" t="s">
        <v>19</v>
      </c>
      <c r="AE209" s="10" t="s">
        <v>17</v>
      </c>
      <c r="AF209" s="104" t="s">
        <v>302</v>
      </c>
      <c r="AG209" s="5"/>
      <c r="AH209" s="5"/>
      <c r="AI209" s="5"/>
      <c r="AJ209" s="5"/>
      <c r="AK209" s="5"/>
    </row>
    <row r="210" spans="1:37" s="3" customFormat="1" ht="50.1" customHeight="1" x14ac:dyDescent="0.3">
      <c r="A210" s="104">
        <v>567690</v>
      </c>
      <c r="B210" s="6" t="s">
        <v>137</v>
      </c>
      <c r="C210" s="104" t="s">
        <v>1961</v>
      </c>
      <c r="D210" s="100" t="s">
        <v>243</v>
      </c>
      <c r="E210" s="384">
        <v>43059</v>
      </c>
      <c r="F210" s="104" t="s">
        <v>1962</v>
      </c>
      <c r="G210" s="6" t="s">
        <v>29</v>
      </c>
      <c r="H210" s="104" t="s">
        <v>1963</v>
      </c>
      <c r="I210" s="100" t="s">
        <v>296</v>
      </c>
      <c r="J210" s="6" t="s">
        <v>16</v>
      </c>
      <c r="K210" s="6" t="s">
        <v>298</v>
      </c>
      <c r="L210" s="104" t="s">
        <v>1964</v>
      </c>
      <c r="M210" s="100" t="s">
        <v>23</v>
      </c>
      <c r="N210" s="389" t="s">
        <v>1965</v>
      </c>
      <c r="O210" s="100" t="s">
        <v>1966</v>
      </c>
      <c r="P210" s="109">
        <v>20637392280</v>
      </c>
      <c r="Q210" s="100" t="s">
        <v>17</v>
      </c>
      <c r="R210" s="6" t="s">
        <v>96</v>
      </c>
      <c r="S210" s="100" t="s">
        <v>17</v>
      </c>
      <c r="T210" s="278" t="s">
        <v>17</v>
      </c>
      <c r="U210" s="100">
        <v>22531.88</v>
      </c>
      <c r="V210" s="100" t="s">
        <v>17</v>
      </c>
      <c r="W210" s="100" t="s">
        <v>17</v>
      </c>
      <c r="X210" s="100">
        <v>22531.88</v>
      </c>
      <c r="Y210" s="109">
        <v>20637392280</v>
      </c>
      <c r="Z210" s="100" t="s">
        <v>1967</v>
      </c>
      <c r="AA210" s="100" t="s">
        <v>17</v>
      </c>
      <c r="AB210" s="100" t="s">
        <v>17</v>
      </c>
      <c r="AC210" s="104" t="s">
        <v>1968</v>
      </c>
      <c r="AD210" s="109" t="s">
        <v>19</v>
      </c>
      <c r="AE210" s="10" t="s">
        <v>17</v>
      </c>
      <c r="AF210" s="104" t="s">
        <v>1969</v>
      </c>
    </row>
    <row r="211" spans="1:37" s="3" customFormat="1" ht="50.1" customHeight="1" x14ac:dyDescent="0.3">
      <c r="A211" s="104">
        <v>581312</v>
      </c>
      <c r="B211" s="6" t="s">
        <v>137</v>
      </c>
      <c r="C211" s="104" t="s">
        <v>1970</v>
      </c>
      <c r="D211" s="394" t="s">
        <v>242</v>
      </c>
      <c r="E211" s="388">
        <v>43341</v>
      </c>
      <c r="F211" s="94" t="s">
        <v>1971</v>
      </c>
      <c r="G211" s="6" t="s">
        <v>29</v>
      </c>
      <c r="H211" s="104" t="s">
        <v>1972</v>
      </c>
      <c r="I211" s="100" t="s">
        <v>1973</v>
      </c>
      <c r="J211" s="6" t="s">
        <v>16</v>
      </c>
      <c r="K211" s="6" t="s">
        <v>298</v>
      </c>
      <c r="L211" s="104" t="s">
        <v>1974</v>
      </c>
      <c r="M211" s="104" t="s">
        <v>17</v>
      </c>
      <c r="N211" s="389" t="s">
        <v>1975</v>
      </c>
      <c r="O211" s="104" t="s">
        <v>898</v>
      </c>
      <c r="P211" s="370" t="s">
        <v>17</v>
      </c>
      <c r="Q211" s="370" t="s">
        <v>17</v>
      </c>
      <c r="R211" s="6" t="s">
        <v>17</v>
      </c>
      <c r="S211" s="370" t="s">
        <v>17</v>
      </c>
      <c r="T211" s="10" t="s">
        <v>68</v>
      </c>
      <c r="U211" s="391" t="s">
        <v>17</v>
      </c>
      <c r="V211" s="391" t="s">
        <v>17</v>
      </c>
      <c r="W211" s="391" t="s">
        <v>17</v>
      </c>
      <c r="X211" s="391" t="s">
        <v>17</v>
      </c>
      <c r="Y211" s="391">
        <v>13431216000</v>
      </c>
      <c r="Z211" s="392" t="s">
        <v>1976</v>
      </c>
      <c r="AA211" s="392" t="s">
        <v>17</v>
      </c>
      <c r="AB211" s="391" t="s">
        <v>17</v>
      </c>
      <c r="AC211" s="370" t="s">
        <v>1977</v>
      </c>
      <c r="AD211" s="109" t="s">
        <v>19</v>
      </c>
      <c r="AE211" s="10" t="s">
        <v>17</v>
      </c>
      <c r="AF211" s="104" t="s">
        <v>1978</v>
      </c>
      <c r="AG211" s="245"/>
      <c r="AH211" s="245"/>
      <c r="AI211" s="140"/>
      <c r="AJ211" s="140"/>
      <c r="AK211" s="140"/>
    </row>
    <row r="212" spans="1:37" s="3" customFormat="1" ht="50.1" customHeight="1" x14ac:dyDescent="0.3">
      <c r="A212" s="100">
        <v>232865</v>
      </c>
      <c r="B212" s="6" t="s">
        <v>137</v>
      </c>
      <c r="C212" s="100" t="s">
        <v>1979</v>
      </c>
      <c r="D212" s="100" t="s">
        <v>151</v>
      </c>
      <c r="E212" s="324">
        <v>38967</v>
      </c>
      <c r="F212" s="100" t="s">
        <v>616</v>
      </c>
      <c r="G212" s="100" t="s">
        <v>15</v>
      </c>
      <c r="H212" s="100" t="s">
        <v>296</v>
      </c>
      <c r="I212" s="100" t="s">
        <v>1980</v>
      </c>
      <c r="J212" s="6" t="s">
        <v>16</v>
      </c>
      <c r="K212" s="6" t="s">
        <v>298</v>
      </c>
      <c r="L212" s="100" t="s">
        <v>1981</v>
      </c>
      <c r="M212" s="100" t="s">
        <v>23</v>
      </c>
      <c r="N212" s="108" t="s">
        <v>1981</v>
      </c>
      <c r="O212" s="100" t="s">
        <v>23</v>
      </c>
      <c r="P212" s="109">
        <v>135635985</v>
      </c>
      <c r="Q212" s="109" t="s">
        <v>23</v>
      </c>
      <c r="R212" s="6" t="s">
        <v>17</v>
      </c>
      <c r="S212" s="109" t="s">
        <v>1850</v>
      </c>
      <c r="T212" s="278" t="s">
        <v>17</v>
      </c>
      <c r="U212" s="110" t="s">
        <v>23</v>
      </c>
      <c r="V212" s="109" t="s">
        <v>23</v>
      </c>
      <c r="W212" s="109" t="s">
        <v>23</v>
      </c>
      <c r="X212" s="109" t="s">
        <v>23</v>
      </c>
      <c r="Y212" s="109" t="s">
        <v>23</v>
      </c>
      <c r="Z212" s="395" t="s">
        <v>23</v>
      </c>
      <c r="AA212" s="109" t="s">
        <v>23</v>
      </c>
      <c r="AB212" s="109" t="s">
        <v>23</v>
      </c>
      <c r="AC212" s="109" t="s">
        <v>1982</v>
      </c>
      <c r="AD212" s="6" t="s">
        <v>22</v>
      </c>
      <c r="AE212" s="10" t="s">
        <v>17</v>
      </c>
      <c r="AF212" s="109" t="s">
        <v>1983</v>
      </c>
      <c r="AG212" s="14"/>
      <c r="AH212" s="14"/>
      <c r="AI212" s="5"/>
      <c r="AJ212" s="5"/>
      <c r="AK212" s="5"/>
    </row>
    <row r="213" spans="1:37" s="3" customFormat="1" ht="50.1" customHeight="1" x14ac:dyDescent="0.3">
      <c r="A213" s="100">
        <v>624731</v>
      </c>
      <c r="B213" s="100" t="s">
        <v>228</v>
      </c>
      <c r="C213" s="100" t="s">
        <v>1984</v>
      </c>
      <c r="D213" s="100" t="s">
        <v>228</v>
      </c>
      <c r="E213" s="324">
        <v>43101</v>
      </c>
      <c r="F213" s="100" t="s">
        <v>1985</v>
      </c>
      <c r="G213" s="31" t="s">
        <v>229</v>
      </c>
      <c r="H213" s="100" t="s">
        <v>296</v>
      </c>
      <c r="I213" s="100" t="s">
        <v>1986</v>
      </c>
      <c r="J213" s="6" t="s">
        <v>16</v>
      </c>
      <c r="K213" s="6" t="s">
        <v>327</v>
      </c>
      <c r="L213" s="100" t="s">
        <v>605</v>
      </c>
      <c r="M213" s="104" t="s">
        <v>1987</v>
      </c>
      <c r="N213" s="108" t="s">
        <v>1988</v>
      </c>
      <c r="O213" s="100" t="s">
        <v>605</v>
      </c>
      <c r="P213" s="100" t="s">
        <v>17</v>
      </c>
      <c r="Q213" s="100" t="s">
        <v>17</v>
      </c>
      <c r="R213" s="6" t="s">
        <v>17</v>
      </c>
      <c r="S213" s="100" t="s">
        <v>17</v>
      </c>
      <c r="T213" s="278" t="s">
        <v>17</v>
      </c>
      <c r="U213" s="100" t="s">
        <v>17</v>
      </c>
      <c r="V213" s="100" t="s">
        <v>17</v>
      </c>
      <c r="W213" s="100" t="s">
        <v>17</v>
      </c>
      <c r="X213" s="100" t="s">
        <v>17</v>
      </c>
      <c r="Y213" s="100" t="s">
        <v>17</v>
      </c>
      <c r="Z213" s="100" t="s">
        <v>17</v>
      </c>
      <c r="AA213" s="100" t="s">
        <v>17</v>
      </c>
      <c r="AB213" s="100" t="s">
        <v>17</v>
      </c>
      <c r="AC213" s="396" t="s">
        <v>1989</v>
      </c>
      <c r="AD213" s="100" t="s">
        <v>19</v>
      </c>
      <c r="AE213" s="10" t="s">
        <v>17</v>
      </c>
      <c r="AF213" s="100" t="s">
        <v>1990</v>
      </c>
      <c r="AG213" s="140"/>
      <c r="AH213" s="140"/>
      <c r="AI213" s="215"/>
      <c r="AJ213" s="215"/>
      <c r="AK213" s="215"/>
    </row>
    <row r="214" spans="1:37" s="3" customFormat="1" ht="50.1" customHeight="1" x14ac:dyDescent="0.3">
      <c r="A214" s="104">
        <v>587999</v>
      </c>
      <c r="B214" s="104" t="s">
        <v>143</v>
      </c>
      <c r="C214" s="104" t="s">
        <v>1991</v>
      </c>
      <c r="D214" s="104" t="s">
        <v>159</v>
      </c>
      <c r="E214" s="384">
        <v>43238</v>
      </c>
      <c r="F214" s="104" t="s">
        <v>1992</v>
      </c>
      <c r="G214" s="7" t="s">
        <v>147</v>
      </c>
      <c r="H214" s="104" t="s">
        <v>944</v>
      </c>
      <c r="I214" s="104" t="s">
        <v>1993</v>
      </c>
      <c r="J214" s="6" t="s">
        <v>16</v>
      </c>
      <c r="K214" s="6" t="s">
        <v>327</v>
      </c>
      <c r="L214" s="104" t="s">
        <v>1994</v>
      </c>
      <c r="M214" s="104" t="s">
        <v>17</v>
      </c>
      <c r="N214" s="389" t="s">
        <v>1995</v>
      </c>
      <c r="O214" s="104" t="s">
        <v>1996</v>
      </c>
      <c r="P214" s="370" t="s">
        <v>17</v>
      </c>
      <c r="Q214" s="370" t="s">
        <v>17</v>
      </c>
      <c r="R214" s="6" t="s">
        <v>96</v>
      </c>
      <c r="S214" s="397" t="s">
        <v>1997</v>
      </c>
      <c r="T214" s="370" t="s">
        <v>41</v>
      </c>
      <c r="U214" s="391"/>
      <c r="V214" s="370" t="s">
        <v>17</v>
      </c>
      <c r="W214" s="398" t="s">
        <v>17</v>
      </c>
      <c r="X214" s="391" t="s">
        <v>17</v>
      </c>
      <c r="Y214" s="370" t="s">
        <v>17</v>
      </c>
      <c r="Z214" s="399">
        <v>44116</v>
      </c>
      <c r="AA214" s="399" t="s">
        <v>17</v>
      </c>
      <c r="AB214" s="370" t="s">
        <v>17</v>
      </c>
      <c r="AC214" s="370" t="s">
        <v>1998</v>
      </c>
      <c r="AD214" s="6" t="s">
        <v>22</v>
      </c>
      <c r="AE214" s="10" t="s">
        <v>17</v>
      </c>
      <c r="AF214" s="104" t="s">
        <v>1999</v>
      </c>
      <c r="AG214" s="5"/>
      <c r="AH214" s="5"/>
      <c r="AI214" s="5"/>
      <c r="AJ214" s="5"/>
      <c r="AK214" s="5"/>
    </row>
    <row r="215" spans="1:37" s="3" customFormat="1" ht="50.1" customHeight="1" x14ac:dyDescent="0.3">
      <c r="A215" s="104">
        <v>582616</v>
      </c>
      <c r="B215" s="6" t="s">
        <v>137</v>
      </c>
      <c r="C215" s="104" t="s">
        <v>2000</v>
      </c>
      <c r="D215" s="394" t="s">
        <v>242</v>
      </c>
      <c r="E215" s="388">
        <v>43360</v>
      </c>
      <c r="F215" s="94" t="s">
        <v>2001</v>
      </c>
      <c r="G215" s="6" t="s">
        <v>29</v>
      </c>
      <c r="H215" s="104" t="s">
        <v>2002</v>
      </c>
      <c r="I215" s="100" t="s">
        <v>2003</v>
      </c>
      <c r="J215" s="6" t="s">
        <v>16</v>
      </c>
      <c r="K215" s="6" t="s">
        <v>298</v>
      </c>
      <c r="L215" s="104" t="s">
        <v>2004</v>
      </c>
      <c r="M215" s="104" t="s">
        <v>17</v>
      </c>
      <c r="N215" s="389" t="s">
        <v>2005</v>
      </c>
      <c r="O215" s="104" t="s">
        <v>2006</v>
      </c>
      <c r="P215" s="370">
        <v>6525000000</v>
      </c>
      <c r="Q215" s="370" t="s">
        <v>17</v>
      </c>
      <c r="R215" s="6" t="s">
        <v>17</v>
      </c>
      <c r="S215" s="370" t="s">
        <v>17</v>
      </c>
      <c r="T215" s="287" t="s">
        <v>59</v>
      </c>
      <c r="U215" s="370">
        <v>55000</v>
      </c>
      <c r="V215" s="370" t="s">
        <v>17</v>
      </c>
      <c r="W215" s="391" t="s">
        <v>17</v>
      </c>
      <c r="X215" s="391" t="s">
        <v>17</v>
      </c>
      <c r="Y215" s="370">
        <v>6525000000</v>
      </c>
      <c r="Z215" s="391" t="s">
        <v>2007</v>
      </c>
      <c r="AA215" s="391" t="s">
        <v>17</v>
      </c>
      <c r="AB215" s="391" t="s">
        <v>17</v>
      </c>
      <c r="AC215" s="400" t="s">
        <v>2008</v>
      </c>
      <c r="AD215" s="6" t="s">
        <v>22</v>
      </c>
      <c r="AE215" s="10" t="s">
        <v>17</v>
      </c>
      <c r="AF215" s="104" t="s">
        <v>2009</v>
      </c>
      <c r="AG215" s="5"/>
      <c r="AH215" s="5"/>
    </row>
    <row r="216" spans="1:37" s="3" customFormat="1" ht="50.1" customHeight="1" x14ac:dyDescent="0.3">
      <c r="A216" s="104">
        <v>58873</v>
      </c>
      <c r="B216" s="104" t="s">
        <v>228</v>
      </c>
      <c r="C216" s="104" t="s">
        <v>2010</v>
      </c>
      <c r="D216" s="94" t="s">
        <v>228</v>
      </c>
      <c r="E216" s="388">
        <v>43329</v>
      </c>
      <c r="F216" s="94" t="s">
        <v>2011</v>
      </c>
      <c r="G216" s="31" t="s">
        <v>229</v>
      </c>
      <c r="H216" s="104" t="s">
        <v>296</v>
      </c>
      <c r="I216" s="104" t="s">
        <v>2012</v>
      </c>
      <c r="J216" s="6" t="s">
        <v>16</v>
      </c>
      <c r="K216" s="104" t="s">
        <v>316</v>
      </c>
      <c r="L216" s="104" t="s">
        <v>2013</v>
      </c>
      <c r="M216" s="100" t="s">
        <v>2014</v>
      </c>
      <c r="N216" s="334" t="s">
        <v>2015</v>
      </c>
      <c r="O216" s="104" t="s">
        <v>2013</v>
      </c>
      <c r="P216" s="370" t="s">
        <v>17</v>
      </c>
      <c r="Q216" s="370" t="s">
        <v>17</v>
      </c>
      <c r="R216" s="6" t="s">
        <v>96</v>
      </c>
      <c r="S216" s="370" t="s">
        <v>17</v>
      </c>
      <c r="T216" s="32" t="s">
        <v>38</v>
      </c>
      <c r="U216" s="370" t="s">
        <v>17</v>
      </c>
      <c r="V216" s="370" t="s">
        <v>17</v>
      </c>
      <c r="W216" s="370" t="s">
        <v>17</v>
      </c>
      <c r="X216" s="370" t="s">
        <v>17</v>
      </c>
      <c r="Y216" s="370" t="s">
        <v>17</v>
      </c>
      <c r="Z216" s="370" t="s">
        <v>17</v>
      </c>
      <c r="AA216" s="370" t="s">
        <v>17</v>
      </c>
      <c r="AB216" s="370" t="s">
        <v>17</v>
      </c>
      <c r="AC216" s="391" t="s">
        <v>2016</v>
      </c>
      <c r="AD216" s="109" t="s">
        <v>19</v>
      </c>
      <c r="AE216" s="10" t="s">
        <v>17</v>
      </c>
      <c r="AF216" s="66" t="s">
        <v>423</v>
      </c>
      <c r="AG216" s="5"/>
      <c r="AH216" s="5"/>
      <c r="AI216" s="14"/>
      <c r="AJ216" s="14"/>
      <c r="AK216" s="14"/>
    </row>
    <row r="217" spans="1:37" s="3" customFormat="1" ht="50.1" customHeight="1" x14ac:dyDescent="0.3">
      <c r="A217" s="104">
        <v>644893</v>
      </c>
      <c r="B217" s="6" t="s">
        <v>137</v>
      </c>
      <c r="C217" s="104" t="s">
        <v>2017</v>
      </c>
      <c r="D217" s="100" t="s">
        <v>243</v>
      </c>
      <c r="E217" s="384">
        <v>43859</v>
      </c>
      <c r="F217" s="104" t="s">
        <v>1658</v>
      </c>
      <c r="G217" s="6" t="s">
        <v>29</v>
      </c>
      <c r="H217" s="104" t="s">
        <v>1603</v>
      </c>
      <c r="I217" s="104" t="s">
        <v>296</v>
      </c>
      <c r="J217" s="6" t="s">
        <v>16</v>
      </c>
      <c r="K217" s="6" t="s">
        <v>298</v>
      </c>
      <c r="L217" s="104" t="s">
        <v>2018</v>
      </c>
      <c r="M217" s="104" t="s">
        <v>17</v>
      </c>
      <c r="N217" s="334" t="s">
        <v>2019</v>
      </c>
      <c r="O217" s="104" t="s">
        <v>17</v>
      </c>
      <c r="P217" s="370" t="s">
        <v>2020</v>
      </c>
      <c r="Q217" s="370" t="s">
        <v>87</v>
      </c>
      <c r="R217" s="10" t="s">
        <v>163</v>
      </c>
      <c r="S217" s="397" t="s">
        <v>17</v>
      </c>
      <c r="T217" s="370" t="s">
        <v>61</v>
      </c>
      <c r="U217" s="391" t="s">
        <v>17</v>
      </c>
      <c r="V217" s="370" t="s">
        <v>17</v>
      </c>
      <c r="W217" s="398" t="s">
        <v>17</v>
      </c>
      <c r="X217" s="391" t="s">
        <v>17</v>
      </c>
      <c r="Y217" s="370" t="s">
        <v>2021</v>
      </c>
      <c r="Z217" s="399">
        <v>44751</v>
      </c>
      <c r="AA217" s="399" t="s">
        <v>17</v>
      </c>
      <c r="AB217" s="370" t="s">
        <v>87</v>
      </c>
      <c r="AC217" s="399" t="s">
        <v>1231</v>
      </c>
      <c r="AD217" s="370" t="s">
        <v>82</v>
      </c>
      <c r="AE217" s="10" t="s">
        <v>17</v>
      </c>
      <c r="AF217" s="66" t="s">
        <v>302</v>
      </c>
    </row>
    <row r="218" spans="1:37" s="3" customFormat="1" ht="50.1" customHeight="1" x14ac:dyDescent="0.3">
      <c r="A218" s="104">
        <v>614301</v>
      </c>
      <c r="B218" s="6" t="s">
        <v>137</v>
      </c>
      <c r="C218" s="104" t="s">
        <v>2022</v>
      </c>
      <c r="D218" s="6" t="s">
        <v>248</v>
      </c>
      <c r="E218" s="384">
        <v>43753</v>
      </c>
      <c r="F218" s="104" t="s">
        <v>1948</v>
      </c>
      <c r="G218" s="6" t="s">
        <v>29</v>
      </c>
      <c r="H218" s="104" t="s">
        <v>2023</v>
      </c>
      <c r="I218" s="104" t="s">
        <v>296</v>
      </c>
      <c r="J218" s="6" t="s">
        <v>16</v>
      </c>
      <c r="K218" s="6" t="s">
        <v>298</v>
      </c>
      <c r="L218" s="104" t="s">
        <v>2024</v>
      </c>
      <c r="M218" s="104" t="s">
        <v>17</v>
      </c>
      <c r="N218" s="389" t="s">
        <v>2025</v>
      </c>
      <c r="O218" s="104" t="s">
        <v>2026</v>
      </c>
      <c r="P218" s="370" t="s">
        <v>17</v>
      </c>
      <c r="Q218" s="370" t="s">
        <v>17</v>
      </c>
      <c r="R218" s="370" t="s">
        <v>238</v>
      </c>
      <c r="S218" s="397" t="s">
        <v>17</v>
      </c>
      <c r="T218" s="370" t="s">
        <v>157</v>
      </c>
      <c r="U218" s="391" t="s">
        <v>17</v>
      </c>
      <c r="V218" s="370" t="s">
        <v>17</v>
      </c>
      <c r="W218" s="398" t="s">
        <v>17</v>
      </c>
      <c r="X218" s="391" t="s">
        <v>17</v>
      </c>
      <c r="Y218" s="370">
        <v>73602451</v>
      </c>
      <c r="Z218" s="399" t="s">
        <v>2027</v>
      </c>
      <c r="AA218" s="399" t="s">
        <v>2028</v>
      </c>
      <c r="AB218" s="370" t="s">
        <v>17</v>
      </c>
      <c r="AC218" s="397" t="s">
        <v>2029</v>
      </c>
      <c r="AD218" s="6" t="s">
        <v>22</v>
      </c>
      <c r="AE218" s="10" t="s">
        <v>17</v>
      </c>
      <c r="AF218" s="104" t="s">
        <v>2030</v>
      </c>
      <c r="AG218" s="5"/>
      <c r="AH218" s="5"/>
      <c r="AI218" s="5"/>
      <c r="AJ218" s="5"/>
      <c r="AK218" s="5"/>
    </row>
    <row r="219" spans="1:37" s="3" customFormat="1" ht="50.1" customHeight="1" x14ac:dyDescent="0.3">
      <c r="A219" s="104">
        <v>629833</v>
      </c>
      <c r="B219" s="6" t="s">
        <v>137</v>
      </c>
      <c r="C219" s="104" t="s">
        <v>2031</v>
      </c>
      <c r="D219" s="6" t="s">
        <v>248</v>
      </c>
      <c r="E219" s="384">
        <v>43843</v>
      </c>
      <c r="F219" s="104" t="s">
        <v>1948</v>
      </c>
      <c r="G219" s="6" t="s">
        <v>29</v>
      </c>
      <c r="H219" s="104" t="s">
        <v>1603</v>
      </c>
      <c r="I219" s="104" t="s">
        <v>296</v>
      </c>
      <c r="J219" s="6" t="s">
        <v>16</v>
      </c>
      <c r="K219" s="6" t="s">
        <v>298</v>
      </c>
      <c r="L219" s="104" t="s">
        <v>2032</v>
      </c>
      <c r="M219" s="104" t="s">
        <v>17</v>
      </c>
      <c r="N219" s="36" t="s">
        <v>2033</v>
      </c>
      <c r="O219" s="104" t="s">
        <v>17</v>
      </c>
      <c r="P219" s="370" t="s">
        <v>17</v>
      </c>
      <c r="Q219" s="370" t="s">
        <v>17</v>
      </c>
      <c r="R219" s="370" t="s">
        <v>238</v>
      </c>
      <c r="S219" s="397" t="s">
        <v>17</v>
      </c>
      <c r="T219" s="278" t="s">
        <v>17</v>
      </c>
      <c r="U219" s="391" t="s">
        <v>17</v>
      </c>
      <c r="V219" s="370" t="s">
        <v>17</v>
      </c>
      <c r="W219" s="398" t="s">
        <v>17</v>
      </c>
      <c r="X219" s="391" t="s">
        <v>17</v>
      </c>
      <c r="Y219" s="370" t="s">
        <v>17</v>
      </c>
      <c r="Z219" s="399">
        <v>44929</v>
      </c>
      <c r="AA219" s="399" t="s">
        <v>17</v>
      </c>
      <c r="AB219" s="370" t="s">
        <v>17</v>
      </c>
      <c r="AC219" s="370" t="s">
        <v>2034</v>
      </c>
      <c r="AD219" s="370" t="s">
        <v>19</v>
      </c>
      <c r="AE219" s="10" t="s">
        <v>17</v>
      </c>
      <c r="AF219" s="104" t="s">
        <v>302</v>
      </c>
      <c r="AG219" s="5"/>
      <c r="AH219" s="5"/>
    </row>
    <row r="220" spans="1:37" s="3" customFormat="1" ht="50.1" customHeight="1" x14ac:dyDescent="0.3">
      <c r="A220" s="104">
        <v>630271</v>
      </c>
      <c r="B220" s="6" t="s">
        <v>137</v>
      </c>
      <c r="C220" s="104" t="s">
        <v>2035</v>
      </c>
      <c r="D220" s="6" t="s">
        <v>248</v>
      </c>
      <c r="E220" s="384">
        <v>43889</v>
      </c>
      <c r="F220" s="104" t="s">
        <v>2036</v>
      </c>
      <c r="G220" s="6" t="s">
        <v>29</v>
      </c>
      <c r="H220" s="104" t="s">
        <v>2037</v>
      </c>
      <c r="I220" s="104" t="s">
        <v>2038</v>
      </c>
      <c r="J220" s="6" t="s">
        <v>16</v>
      </c>
      <c r="K220" s="6" t="s">
        <v>298</v>
      </c>
      <c r="L220" s="104" t="s">
        <v>2039</v>
      </c>
      <c r="M220" s="104" t="s">
        <v>17</v>
      </c>
      <c r="N220" s="389" t="s">
        <v>2040</v>
      </c>
      <c r="O220" s="104" t="s">
        <v>17</v>
      </c>
      <c r="P220" s="370" t="s">
        <v>17</v>
      </c>
      <c r="Q220" s="370" t="s">
        <v>17</v>
      </c>
      <c r="R220" s="6" t="s">
        <v>17</v>
      </c>
      <c r="S220" s="397" t="s">
        <v>17</v>
      </c>
      <c r="T220" s="278" t="s">
        <v>17</v>
      </c>
      <c r="U220" s="391" t="s">
        <v>17</v>
      </c>
      <c r="V220" s="370" t="s">
        <v>17</v>
      </c>
      <c r="W220" s="398" t="s">
        <v>17</v>
      </c>
      <c r="X220" s="391" t="s">
        <v>17</v>
      </c>
      <c r="Y220" s="370">
        <v>396900000</v>
      </c>
      <c r="Z220" s="399" t="s">
        <v>17</v>
      </c>
      <c r="AA220" s="399" t="s">
        <v>17</v>
      </c>
      <c r="AB220" s="370" t="s">
        <v>17</v>
      </c>
      <c r="AC220" s="370" t="s">
        <v>2041</v>
      </c>
      <c r="AD220" s="370" t="s">
        <v>19</v>
      </c>
      <c r="AE220" s="10" t="s">
        <v>17</v>
      </c>
      <c r="AF220" s="104" t="s">
        <v>2042</v>
      </c>
      <c r="AG220" s="5"/>
      <c r="AH220" s="5"/>
      <c r="AI220" s="140"/>
      <c r="AJ220" s="140"/>
      <c r="AK220" s="140"/>
    </row>
    <row r="221" spans="1:37" ht="50.1" customHeight="1" x14ac:dyDescent="0.3">
      <c r="A221" s="106">
        <v>617292</v>
      </c>
      <c r="B221" s="6" t="s">
        <v>137</v>
      </c>
      <c r="C221" s="106" t="s">
        <v>2043</v>
      </c>
      <c r="D221" s="185" t="s">
        <v>248</v>
      </c>
      <c r="E221" s="401">
        <v>43760</v>
      </c>
      <c r="F221" s="104" t="s">
        <v>847</v>
      </c>
      <c r="G221" s="6" t="s">
        <v>29</v>
      </c>
      <c r="H221" s="104" t="s">
        <v>2044</v>
      </c>
      <c r="I221" s="104" t="s">
        <v>2045</v>
      </c>
      <c r="J221" s="6" t="s">
        <v>16</v>
      </c>
      <c r="K221" s="6" t="s">
        <v>298</v>
      </c>
      <c r="L221" s="104" t="s">
        <v>2046</v>
      </c>
      <c r="M221" s="104" t="s">
        <v>17</v>
      </c>
      <c r="N221" s="389" t="s">
        <v>2047</v>
      </c>
      <c r="O221" s="104" t="s">
        <v>17</v>
      </c>
      <c r="P221" s="370">
        <v>875000000</v>
      </c>
      <c r="Q221" s="370" t="s">
        <v>17</v>
      </c>
      <c r="R221" s="6" t="s">
        <v>17</v>
      </c>
      <c r="S221" s="35" t="s">
        <v>17</v>
      </c>
      <c r="T221" s="278" t="s">
        <v>17</v>
      </c>
      <c r="U221" s="391" t="s">
        <v>17</v>
      </c>
      <c r="V221" s="370" t="s">
        <v>17</v>
      </c>
      <c r="W221" s="398" t="s">
        <v>17</v>
      </c>
      <c r="X221" s="391" t="s">
        <v>17</v>
      </c>
      <c r="Y221" s="370" t="s">
        <v>17</v>
      </c>
      <c r="Z221" s="399" t="s">
        <v>17</v>
      </c>
      <c r="AA221" s="399" t="s">
        <v>17</v>
      </c>
      <c r="AB221" s="370" t="s">
        <v>17</v>
      </c>
      <c r="AC221" s="370" t="s">
        <v>2048</v>
      </c>
      <c r="AD221" s="370" t="s">
        <v>19</v>
      </c>
      <c r="AE221" s="10" t="s">
        <v>17</v>
      </c>
      <c r="AF221" s="104" t="s">
        <v>2049</v>
      </c>
      <c r="AG221" s="5"/>
      <c r="AH221" s="5"/>
      <c r="AI221" s="3"/>
      <c r="AJ221" s="3"/>
      <c r="AK221" s="3"/>
    </row>
    <row r="222" spans="1:37" s="3" customFormat="1" ht="50.1" customHeight="1" x14ac:dyDescent="0.3">
      <c r="A222" s="100">
        <v>248858</v>
      </c>
      <c r="B222" s="6" t="s">
        <v>137</v>
      </c>
      <c r="C222" s="100" t="s">
        <v>2050</v>
      </c>
      <c r="D222" s="100" t="s">
        <v>151</v>
      </c>
      <c r="E222" s="324">
        <v>39038</v>
      </c>
      <c r="F222" s="402" t="s">
        <v>410</v>
      </c>
      <c r="G222" s="6" t="s">
        <v>15</v>
      </c>
      <c r="H222" s="16" t="s">
        <v>296</v>
      </c>
      <c r="I222" s="16" t="s">
        <v>2051</v>
      </c>
      <c r="J222" s="6" t="s">
        <v>16</v>
      </c>
      <c r="K222" s="6" t="s">
        <v>298</v>
      </c>
      <c r="L222" s="16" t="s">
        <v>1981</v>
      </c>
      <c r="M222" s="16" t="s">
        <v>23</v>
      </c>
      <c r="N222" s="118" t="s">
        <v>1981</v>
      </c>
      <c r="O222" s="16" t="s">
        <v>23</v>
      </c>
      <c r="P222" s="403">
        <v>9953856</v>
      </c>
      <c r="Q222" s="403" t="s">
        <v>23</v>
      </c>
      <c r="R222" s="6" t="s">
        <v>17</v>
      </c>
      <c r="S222" s="403" t="s">
        <v>1850</v>
      </c>
      <c r="T222" s="278" t="s">
        <v>17</v>
      </c>
      <c r="U222" s="404" t="s">
        <v>23</v>
      </c>
      <c r="V222" s="403" t="s">
        <v>23</v>
      </c>
      <c r="W222" s="403" t="s">
        <v>23</v>
      </c>
      <c r="X222" s="403" t="s">
        <v>23</v>
      </c>
      <c r="Y222" s="403" t="s">
        <v>23</v>
      </c>
      <c r="Z222" s="405">
        <v>41408</v>
      </c>
      <c r="AA222" s="403" t="s">
        <v>23</v>
      </c>
      <c r="AB222" s="403" t="s">
        <v>23</v>
      </c>
      <c r="AC222" s="403" t="s">
        <v>2052</v>
      </c>
      <c r="AD222" s="6" t="s">
        <v>22</v>
      </c>
      <c r="AE222" s="10" t="s">
        <v>17</v>
      </c>
      <c r="AF222" s="403" t="s">
        <v>2053</v>
      </c>
      <c r="AG222" s="5"/>
      <c r="AH222" s="5"/>
      <c r="AI222" s="140"/>
      <c r="AJ222" s="140"/>
      <c r="AK222" s="140"/>
    </row>
    <row r="223" spans="1:37" s="3" customFormat="1" ht="50.1" customHeight="1" x14ac:dyDescent="0.3">
      <c r="A223" s="152">
        <v>675674</v>
      </c>
      <c r="B223" s="152" t="s">
        <v>143</v>
      </c>
      <c r="C223" s="406" t="s">
        <v>2054</v>
      </c>
      <c r="D223" s="152" t="s">
        <v>156</v>
      </c>
      <c r="E223" s="171">
        <v>44306</v>
      </c>
      <c r="F223" s="407" t="s">
        <v>1143</v>
      </c>
      <c r="G223" s="7" t="s">
        <v>145</v>
      </c>
      <c r="H223" s="408" t="s">
        <v>2055</v>
      </c>
      <c r="I223" s="408" t="s">
        <v>2056</v>
      </c>
      <c r="J223" s="6" t="s">
        <v>16</v>
      </c>
      <c r="K223" s="6" t="s">
        <v>298</v>
      </c>
      <c r="L223" s="114" t="s">
        <v>2057</v>
      </c>
      <c r="M223" s="114" t="s">
        <v>23</v>
      </c>
      <c r="N223" s="409" t="s">
        <v>2058</v>
      </c>
      <c r="O223" s="114" t="s">
        <v>23</v>
      </c>
      <c r="P223" s="410" t="s">
        <v>23</v>
      </c>
      <c r="Q223" s="410" t="s">
        <v>23</v>
      </c>
      <c r="R223" s="6" t="s">
        <v>17</v>
      </c>
      <c r="S223" s="411" t="s">
        <v>17</v>
      </c>
      <c r="T223" s="278" t="s">
        <v>17</v>
      </c>
      <c r="U223" s="413" t="s">
        <v>23</v>
      </c>
      <c r="V223" s="412" t="s">
        <v>23</v>
      </c>
      <c r="W223" s="414" t="s">
        <v>23</v>
      </c>
      <c r="X223" s="413" t="s">
        <v>23</v>
      </c>
      <c r="Y223" s="412" t="s">
        <v>23</v>
      </c>
      <c r="Z223" s="415" t="s">
        <v>17</v>
      </c>
      <c r="AA223" s="415" t="s">
        <v>23</v>
      </c>
      <c r="AB223" s="412" t="s">
        <v>23</v>
      </c>
      <c r="AC223" s="412" t="s">
        <v>2059</v>
      </c>
      <c r="AD223" s="412" t="s">
        <v>19</v>
      </c>
      <c r="AE223" s="10" t="s">
        <v>17</v>
      </c>
      <c r="AF223" s="412" t="s">
        <v>768</v>
      </c>
    </row>
    <row r="224" spans="1:37" s="3" customFormat="1" ht="50.1" customHeight="1" x14ac:dyDescent="0.3">
      <c r="A224" s="114">
        <v>629935</v>
      </c>
      <c r="B224" s="67" t="s">
        <v>228</v>
      </c>
      <c r="C224" s="114" t="s">
        <v>2060</v>
      </c>
      <c r="D224" s="67" t="s">
        <v>228</v>
      </c>
      <c r="E224" s="416">
        <v>44138</v>
      </c>
      <c r="F224" s="100" t="s">
        <v>2061</v>
      </c>
      <c r="G224" s="31" t="s">
        <v>229</v>
      </c>
      <c r="H224" s="100" t="s">
        <v>296</v>
      </c>
      <c r="I224" s="100" t="s">
        <v>2062</v>
      </c>
      <c r="J224" s="6" t="s">
        <v>16</v>
      </c>
      <c r="K224" s="100" t="s">
        <v>316</v>
      </c>
      <c r="L224" s="100" t="s">
        <v>605</v>
      </c>
      <c r="M224" s="104" t="s">
        <v>2063</v>
      </c>
      <c r="N224" s="108" t="s">
        <v>2064</v>
      </c>
      <c r="O224" s="100" t="s">
        <v>605</v>
      </c>
      <c r="P224" s="100" t="s">
        <v>17</v>
      </c>
      <c r="Q224" s="100" t="s">
        <v>17</v>
      </c>
      <c r="R224" s="6" t="s">
        <v>17</v>
      </c>
      <c r="S224" s="100" t="s">
        <v>17</v>
      </c>
      <c r="T224" s="278" t="s">
        <v>17</v>
      </c>
      <c r="U224" s="100" t="s">
        <v>17</v>
      </c>
      <c r="V224" s="100" t="s">
        <v>17</v>
      </c>
      <c r="W224" s="100" t="s">
        <v>17</v>
      </c>
      <c r="X224" s="100" t="s">
        <v>17</v>
      </c>
      <c r="Y224" s="100" t="s">
        <v>17</v>
      </c>
      <c r="Z224" s="100" t="s">
        <v>17</v>
      </c>
      <c r="AA224" s="100" t="s">
        <v>17</v>
      </c>
      <c r="AB224" s="100" t="s">
        <v>17</v>
      </c>
      <c r="AC224" s="417" t="s">
        <v>2065</v>
      </c>
      <c r="AD224" s="100" t="s">
        <v>19</v>
      </c>
      <c r="AE224" s="10" t="s">
        <v>17</v>
      </c>
      <c r="AF224" s="100" t="s">
        <v>2066</v>
      </c>
    </row>
    <row r="225" spans="1:37" s="3" customFormat="1" ht="50.1" customHeight="1" x14ac:dyDescent="0.3">
      <c r="A225" s="100">
        <v>644600</v>
      </c>
      <c r="B225" s="100" t="s">
        <v>228</v>
      </c>
      <c r="C225" s="100" t="s">
        <v>2067</v>
      </c>
      <c r="D225" s="100" t="s">
        <v>228</v>
      </c>
      <c r="E225" s="324">
        <v>43942</v>
      </c>
      <c r="F225" s="100" t="s">
        <v>2068</v>
      </c>
      <c r="G225" s="31" t="s">
        <v>229</v>
      </c>
      <c r="H225" s="100" t="s">
        <v>296</v>
      </c>
      <c r="I225" s="100" t="s">
        <v>2069</v>
      </c>
      <c r="J225" s="6" t="s">
        <v>16</v>
      </c>
      <c r="K225" s="100" t="s">
        <v>316</v>
      </c>
      <c r="L225" s="100" t="s">
        <v>605</v>
      </c>
      <c r="M225" s="104" t="s">
        <v>2070</v>
      </c>
      <c r="N225" s="108" t="s">
        <v>2071</v>
      </c>
      <c r="O225" s="100" t="s">
        <v>605</v>
      </c>
      <c r="P225" s="100" t="s">
        <v>17</v>
      </c>
      <c r="Q225" s="100" t="s">
        <v>17</v>
      </c>
      <c r="R225" s="6" t="s">
        <v>17</v>
      </c>
      <c r="S225" s="100" t="s">
        <v>17</v>
      </c>
      <c r="T225" s="278" t="s">
        <v>17</v>
      </c>
      <c r="U225" s="100" t="s">
        <v>17</v>
      </c>
      <c r="V225" s="100" t="s">
        <v>17</v>
      </c>
      <c r="W225" s="100" t="s">
        <v>17</v>
      </c>
      <c r="X225" s="100" t="s">
        <v>17</v>
      </c>
      <c r="Y225" s="100" t="s">
        <v>17</v>
      </c>
      <c r="Z225" s="100" t="s">
        <v>17</v>
      </c>
      <c r="AA225" s="100" t="s">
        <v>17</v>
      </c>
      <c r="AB225" s="100" t="s">
        <v>17</v>
      </c>
      <c r="AC225" s="100" t="s">
        <v>2072</v>
      </c>
      <c r="AD225" s="100" t="s">
        <v>19</v>
      </c>
      <c r="AE225" s="10" t="s">
        <v>17</v>
      </c>
      <c r="AF225" s="100" t="s">
        <v>2073</v>
      </c>
      <c r="AI225" s="5"/>
      <c r="AJ225" s="5"/>
      <c r="AK225" s="5"/>
    </row>
    <row r="226" spans="1:37" s="3" customFormat="1" ht="50.1" customHeight="1" x14ac:dyDescent="0.3">
      <c r="A226" s="100">
        <v>680196</v>
      </c>
      <c r="B226" s="6" t="s">
        <v>137</v>
      </c>
      <c r="C226" s="100" t="s">
        <v>2074</v>
      </c>
      <c r="D226" s="100" t="s">
        <v>243</v>
      </c>
      <c r="E226" s="324">
        <v>44223</v>
      </c>
      <c r="F226" s="100" t="s">
        <v>450</v>
      </c>
      <c r="G226" s="6" t="s">
        <v>29</v>
      </c>
      <c r="H226" s="100" t="s">
        <v>1352</v>
      </c>
      <c r="I226" s="100" t="s">
        <v>357</v>
      </c>
      <c r="J226" s="6" t="s">
        <v>16</v>
      </c>
      <c r="K226" s="6" t="s">
        <v>298</v>
      </c>
      <c r="L226" s="418" t="s">
        <v>2075</v>
      </c>
      <c r="M226" s="104" t="s">
        <v>17</v>
      </c>
      <c r="N226" s="419" t="s">
        <v>2075</v>
      </c>
      <c r="O226" s="100" t="s">
        <v>17</v>
      </c>
      <c r="P226" s="100" t="s">
        <v>17</v>
      </c>
      <c r="Q226" s="100" t="s">
        <v>17</v>
      </c>
      <c r="R226" s="100" t="s">
        <v>238</v>
      </c>
      <c r="S226" s="100" t="s">
        <v>17</v>
      </c>
      <c r="T226" s="100" t="s">
        <v>21</v>
      </c>
      <c r="U226" s="100" t="s">
        <v>17</v>
      </c>
      <c r="V226" s="100" t="s">
        <v>17</v>
      </c>
      <c r="W226" s="100" t="s">
        <v>17</v>
      </c>
      <c r="X226" s="100" t="s">
        <v>17</v>
      </c>
      <c r="Y226" s="100" t="s">
        <v>17</v>
      </c>
      <c r="Z226" s="100" t="s">
        <v>17</v>
      </c>
      <c r="AA226" s="100" t="s">
        <v>17</v>
      </c>
      <c r="AB226" s="100" t="s">
        <v>17</v>
      </c>
      <c r="AC226" s="100" t="s">
        <v>2076</v>
      </c>
      <c r="AD226" s="6" t="s">
        <v>22</v>
      </c>
      <c r="AE226" s="10" t="s">
        <v>17</v>
      </c>
      <c r="AF226" s="100" t="s">
        <v>2077</v>
      </c>
      <c r="AI226" s="263"/>
      <c r="AJ226" s="263"/>
      <c r="AK226" s="263"/>
    </row>
    <row r="227" spans="1:37" s="100" customFormat="1" ht="50.1" customHeight="1" x14ac:dyDescent="0.3">
      <c r="A227" s="100">
        <v>696183</v>
      </c>
      <c r="B227" s="6" t="s">
        <v>137</v>
      </c>
      <c r="C227" s="100" t="s">
        <v>2078</v>
      </c>
      <c r="D227" s="6" t="s">
        <v>248</v>
      </c>
      <c r="E227" s="324">
        <v>44532</v>
      </c>
      <c r="F227" s="100" t="s">
        <v>2079</v>
      </c>
      <c r="G227" s="6" t="s">
        <v>29</v>
      </c>
      <c r="H227" s="100" t="s">
        <v>2080</v>
      </c>
      <c r="I227" s="100" t="s">
        <v>2038</v>
      </c>
      <c r="J227" s="6" t="s">
        <v>16</v>
      </c>
      <c r="K227" s="6" t="s">
        <v>298</v>
      </c>
      <c r="L227" s="104" t="s">
        <v>2039</v>
      </c>
      <c r="M227" s="104" t="s">
        <v>17</v>
      </c>
      <c r="N227" s="389" t="s">
        <v>2040</v>
      </c>
      <c r="O227" s="100" t="s">
        <v>17</v>
      </c>
      <c r="P227" s="100" t="s">
        <v>17</v>
      </c>
      <c r="Q227" s="100" t="s">
        <v>17</v>
      </c>
      <c r="R227" s="100" t="s">
        <v>259</v>
      </c>
      <c r="S227" s="100" t="s">
        <v>17</v>
      </c>
      <c r="T227" s="278" t="s">
        <v>17</v>
      </c>
      <c r="U227" s="100" t="s">
        <v>17</v>
      </c>
      <c r="V227" s="100" t="s">
        <v>17</v>
      </c>
      <c r="W227" s="100" t="s">
        <v>17</v>
      </c>
      <c r="X227" s="100" t="s">
        <v>17</v>
      </c>
      <c r="Y227" s="100" t="s">
        <v>17</v>
      </c>
      <c r="Z227" s="100" t="s">
        <v>17</v>
      </c>
      <c r="AA227" s="100" t="s">
        <v>17</v>
      </c>
      <c r="AB227" s="100" t="s">
        <v>17</v>
      </c>
      <c r="AC227" s="100" t="s">
        <v>2081</v>
      </c>
      <c r="AD227" s="100" t="s">
        <v>19</v>
      </c>
      <c r="AE227" s="10" t="s">
        <v>17</v>
      </c>
      <c r="AF227" s="100" t="s">
        <v>302</v>
      </c>
      <c r="AG227" s="107"/>
      <c r="AH227" s="107"/>
      <c r="AI227" s="107"/>
      <c r="AJ227" s="107"/>
      <c r="AK227" s="107"/>
    </row>
    <row r="228" spans="1:37" s="100" customFormat="1" ht="50.1" customHeight="1" x14ac:dyDescent="0.3">
      <c r="A228" s="100">
        <v>678531</v>
      </c>
      <c r="B228" s="6" t="s">
        <v>137</v>
      </c>
      <c r="C228" s="100" t="s">
        <v>2082</v>
      </c>
      <c r="D228" s="394" t="s">
        <v>242</v>
      </c>
      <c r="E228" s="324">
        <v>44250</v>
      </c>
      <c r="F228" s="100" t="s">
        <v>2083</v>
      </c>
      <c r="G228" s="6" t="s">
        <v>29</v>
      </c>
      <c r="H228" s="100" t="s">
        <v>1603</v>
      </c>
      <c r="I228" s="100" t="s">
        <v>296</v>
      </c>
      <c r="J228" s="6" t="s">
        <v>16</v>
      </c>
      <c r="K228" s="6" t="s">
        <v>298</v>
      </c>
      <c r="L228" s="418" t="s">
        <v>2075</v>
      </c>
      <c r="M228" s="104" t="s">
        <v>17</v>
      </c>
      <c r="N228" s="419" t="s">
        <v>2075</v>
      </c>
      <c r="O228" s="100" t="s">
        <v>17</v>
      </c>
      <c r="P228" s="100" t="s">
        <v>17</v>
      </c>
      <c r="Q228" s="100" t="s">
        <v>17</v>
      </c>
      <c r="R228" s="100" t="s">
        <v>238</v>
      </c>
      <c r="S228" s="100" t="s">
        <v>17</v>
      </c>
      <c r="T228" s="278" t="s">
        <v>17</v>
      </c>
      <c r="U228" s="100" t="s">
        <v>17</v>
      </c>
      <c r="V228" s="100" t="s">
        <v>17</v>
      </c>
      <c r="W228" s="100" t="s">
        <v>17</v>
      </c>
      <c r="X228" s="100" t="s">
        <v>17</v>
      </c>
      <c r="Y228" s="100" t="s">
        <v>17</v>
      </c>
      <c r="Z228" s="100" t="s">
        <v>17</v>
      </c>
      <c r="AA228" s="100" t="s">
        <v>17</v>
      </c>
      <c r="AB228" s="100" t="s">
        <v>17</v>
      </c>
      <c r="AC228" s="100" t="s">
        <v>2084</v>
      </c>
      <c r="AD228" s="100" t="s">
        <v>19</v>
      </c>
      <c r="AE228" s="10" t="s">
        <v>17</v>
      </c>
      <c r="AF228" s="100" t="s">
        <v>302</v>
      </c>
      <c r="AG228" s="104"/>
      <c r="AH228" s="104"/>
      <c r="AI228" s="107"/>
      <c r="AJ228" s="107"/>
      <c r="AK228" s="107"/>
    </row>
    <row r="229" spans="1:37" s="100" customFormat="1" ht="50.1" customHeight="1" x14ac:dyDescent="0.3">
      <c r="A229" s="100">
        <v>675097</v>
      </c>
      <c r="B229" s="6" t="s">
        <v>137</v>
      </c>
      <c r="C229" s="100" t="s">
        <v>2085</v>
      </c>
      <c r="D229" s="6" t="s">
        <v>248</v>
      </c>
      <c r="E229" s="324">
        <v>44447</v>
      </c>
      <c r="F229" s="100" t="s">
        <v>1892</v>
      </c>
      <c r="G229" s="6" t="s">
        <v>29</v>
      </c>
      <c r="H229" s="100" t="s">
        <v>2086</v>
      </c>
      <c r="I229" s="100" t="s">
        <v>296</v>
      </c>
      <c r="J229" s="6" t="s">
        <v>16</v>
      </c>
      <c r="K229" s="6" t="s">
        <v>298</v>
      </c>
      <c r="L229" s="104" t="s">
        <v>1354</v>
      </c>
      <c r="M229" s="104" t="s">
        <v>17</v>
      </c>
      <c r="N229" s="223" t="s">
        <v>2087</v>
      </c>
      <c r="O229" s="100" t="s">
        <v>17</v>
      </c>
      <c r="P229" s="100" t="s">
        <v>17</v>
      </c>
      <c r="Q229" s="100" t="s">
        <v>17</v>
      </c>
      <c r="R229" s="100" t="s">
        <v>238</v>
      </c>
      <c r="S229" s="100" t="s">
        <v>17</v>
      </c>
      <c r="T229" s="278" t="s">
        <v>17</v>
      </c>
      <c r="U229" s="100" t="s">
        <v>17</v>
      </c>
      <c r="V229" s="100" t="s">
        <v>17</v>
      </c>
      <c r="W229" s="100" t="s">
        <v>17</v>
      </c>
      <c r="X229" s="100" t="s">
        <v>17</v>
      </c>
      <c r="Y229" s="100" t="s">
        <v>17</v>
      </c>
      <c r="Z229" s="97">
        <v>45506</v>
      </c>
      <c r="AA229" s="100" t="s">
        <v>17</v>
      </c>
      <c r="AB229" s="100" t="s">
        <v>17</v>
      </c>
      <c r="AC229" s="100" t="s">
        <v>2088</v>
      </c>
      <c r="AD229" s="100" t="s">
        <v>19</v>
      </c>
      <c r="AE229" s="10" t="s">
        <v>17</v>
      </c>
      <c r="AF229" s="100" t="s">
        <v>302</v>
      </c>
      <c r="AG229" s="104"/>
      <c r="AH229" s="104"/>
      <c r="AI229" s="107"/>
      <c r="AJ229" s="107"/>
      <c r="AK229" s="107"/>
    </row>
    <row r="230" spans="1:37" s="100" customFormat="1" ht="50.1" customHeight="1" x14ac:dyDescent="0.3">
      <c r="A230" s="16">
        <v>680209</v>
      </c>
      <c r="B230" s="6" t="s">
        <v>137</v>
      </c>
      <c r="C230" s="16" t="s">
        <v>2089</v>
      </c>
      <c r="D230" s="6" t="s">
        <v>248</v>
      </c>
      <c r="E230" s="420">
        <v>44302</v>
      </c>
      <c r="F230" s="16" t="s">
        <v>1892</v>
      </c>
      <c r="G230" s="6" t="s">
        <v>29</v>
      </c>
      <c r="H230" s="16" t="s">
        <v>1603</v>
      </c>
      <c r="I230" s="100" t="s">
        <v>296</v>
      </c>
      <c r="J230" s="6" t="s">
        <v>16</v>
      </c>
      <c r="K230" s="6" t="s">
        <v>298</v>
      </c>
      <c r="L230" s="106" t="s">
        <v>2032</v>
      </c>
      <c r="M230" s="106" t="s">
        <v>17</v>
      </c>
      <c r="N230" s="118" t="s">
        <v>2087</v>
      </c>
      <c r="O230" s="16" t="s">
        <v>17</v>
      </c>
      <c r="P230" s="16" t="s">
        <v>17</v>
      </c>
      <c r="Q230" s="16" t="s">
        <v>17</v>
      </c>
      <c r="R230" s="6" t="s">
        <v>17</v>
      </c>
      <c r="S230" s="16" t="s">
        <v>17</v>
      </c>
      <c r="T230" s="278" t="s">
        <v>17</v>
      </c>
      <c r="U230" s="16" t="s">
        <v>17</v>
      </c>
      <c r="V230" s="16" t="s">
        <v>17</v>
      </c>
      <c r="W230" s="16" t="s">
        <v>17</v>
      </c>
      <c r="X230" s="16" t="s">
        <v>17</v>
      </c>
      <c r="Y230" s="16" t="s">
        <v>17</v>
      </c>
      <c r="Z230" s="16" t="s">
        <v>2090</v>
      </c>
      <c r="AA230" s="16" t="s">
        <v>17</v>
      </c>
      <c r="AB230" s="16" t="s">
        <v>17</v>
      </c>
      <c r="AC230" s="16" t="s">
        <v>2091</v>
      </c>
      <c r="AD230" s="100" t="s">
        <v>19</v>
      </c>
      <c r="AE230" s="10" t="s">
        <v>17</v>
      </c>
      <c r="AF230" s="16" t="s">
        <v>302</v>
      </c>
      <c r="AI230" s="107"/>
      <c r="AJ230" s="107"/>
      <c r="AK230" s="107"/>
    </row>
    <row r="231" spans="1:37" s="3" customFormat="1" ht="50.1" customHeight="1" x14ac:dyDescent="0.3">
      <c r="A231" s="16">
        <v>608205</v>
      </c>
      <c r="B231" s="6" t="s">
        <v>137</v>
      </c>
      <c r="C231" s="16" t="s">
        <v>2092</v>
      </c>
      <c r="D231" s="6" t="s">
        <v>248</v>
      </c>
      <c r="E231" s="421">
        <v>44421</v>
      </c>
      <c r="F231" s="16" t="s">
        <v>2093</v>
      </c>
      <c r="G231" s="6" t="s">
        <v>29</v>
      </c>
      <c r="H231" s="16" t="s">
        <v>268</v>
      </c>
      <c r="I231" s="16" t="s">
        <v>2094</v>
      </c>
      <c r="J231" s="6" t="s">
        <v>16</v>
      </c>
      <c r="K231" s="6" t="s">
        <v>298</v>
      </c>
      <c r="L231" s="16" t="s">
        <v>2095</v>
      </c>
      <c r="M231" s="106" t="s">
        <v>17</v>
      </c>
      <c r="N231" s="118" t="s">
        <v>2096</v>
      </c>
      <c r="O231" s="16" t="s">
        <v>17</v>
      </c>
      <c r="P231" s="16" t="s">
        <v>17</v>
      </c>
      <c r="Q231" s="16" t="s">
        <v>17</v>
      </c>
      <c r="R231" s="6" t="s">
        <v>17</v>
      </c>
      <c r="S231" s="16" t="s">
        <v>17</v>
      </c>
      <c r="T231" s="278" t="s">
        <v>17</v>
      </c>
      <c r="U231" s="16" t="s">
        <v>17</v>
      </c>
      <c r="V231" s="16" t="s">
        <v>17</v>
      </c>
      <c r="W231" s="16" t="s">
        <v>17</v>
      </c>
      <c r="X231" s="16" t="s">
        <v>17</v>
      </c>
      <c r="Y231" s="16" t="s">
        <v>17</v>
      </c>
      <c r="Z231" s="16" t="s">
        <v>17</v>
      </c>
      <c r="AA231" s="16" t="s">
        <v>17</v>
      </c>
      <c r="AB231" s="16" t="s">
        <v>17</v>
      </c>
      <c r="AC231" s="16" t="s">
        <v>2084</v>
      </c>
      <c r="AD231" s="16" t="s">
        <v>19</v>
      </c>
      <c r="AE231" s="10" t="s">
        <v>17</v>
      </c>
      <c r="AF231" s="16" t="s">
        <v>2097</v>
      </c>
    </row>
    <row r="232" spans="1:37" s="3" customFormat="1" ht="50.1" customHeight="1" x14ac:dyDescent="0.3">
      <c r="A232" s="16">
        <v>695252</v>
      </c>
      <c r="B232" s="6" t="s">
        <v>137</v>
      </c>
      <c r="C232" s="16" t="s">
        <v>2098</v>
      </c>
      <c r="D232" s="422" t="s">
        <v>242</v>
      </c>
      <c r="E232" s="420">
        <v>44267</v>
      </c>
      <c r="F232" s="16" t="s">
        <v>1948</v>
      </c>
      <c r="G232" s="6" t="s">
        <v>29</v>
      </c>
      <c r="H232" s="16" t="s">
        <v>2099</v>
      </c>
      <c r="I232" s="16" t="s">
        <v>296</v>
      </c>
      <c r="J232" s="6" t="s">
        <v>16</v>
      </c>
      <c r="K232" s="6" t="s">
        <v>298</v>
      </c>
      <c r="L232" s="16" t="s">
        <v>2100</v>
      </c>
      <c r="M232" s="106" t="s">
        <v>17</v>
      </c>
      <c r="N232" s="224" t="s">
        <v>2101</v>
      </c>
      <c r="O232" s="16" t="s">
        <v>17</v>
      </c>
      <c r="P232" s="16" t="s">
        <v>17</v>
      </c>
      <c r="Q232" s="16" t="s">
        <v>17</v>
      </c>
      <c r="R232" s="6" t="s">
        <v>17</v>
      </c>
      <c r="S232" s="16" t="s">
        <v>17</v>
      </c>
      <c r="T232" s="278" t="s">
        <v>17</v>
      </c>
      <c r="U232" s="16" t="s">
        <v>17</v>
      </c>
      <c r="V232" s="16" t="s">
        <v>17</v>
      </c>
      <c r="W232" s="16" t="s">
        <v>17</v>
      </c>
      <c r="X232" s="16" t="s">
        <v>17</v>
      </c>
      <c r="Y232" s="16" t="s">
        <v>17</v>
      </c>
      <c r="Z232" s="16" t="s">
        <v>2102</v>
      </c>
      <c r="AA232" s="16" t="s">
        <v>17</v>
      </c>
      <c r="AB232" s="16" t="s">
        <v>17</v>
      </c>
      <c r="AC232" s="16" t="s">
        <v>1231</v>
      </c>
      <c r="AD232" s="16" t="s">
        <v>19</v>
      </c>
      <c r="AE232" s="10" t="s">
        <v>17</v>
      </c>
      <c r="AF232" s="16" t="s">
        <v>2103</v>
      </c>
      <c r="AI232" s="5"/>
      <c r="AJ232" s="5"/>
      <c r="AK232" s="5"/>
    </row>
    <row r="233" spans="1:37" s="3" customFormat="1" ht="50.1" customHeight="1" x14ac:dyDescent="0.3">
      <c r="A233" s="423">
        <v>708923</v>
      </c>
      <c r="B233" s="6" t="s">
        <v>137</v>
      </c>
      <c r="C233" s="100" t="s">
        <v>2104</v>
      </c>
      <c r="D233" s="424" t="s">
        <v>242</v>
      </c>
      <c r="E233" s="420">
        <v>44481</v>
      </c>
      <c r="F233" s="16" t="s">
        <v>450</v>
      </c>
      <c r="G233" s="6" t="s">
        <v>29</v>
      </c>
      <c r="H233" s="16" t="s">
        <v>2105</v>
      </c>
      <c r="I233" s="16" t="s">
        <v>296</v>
      </c>
      <c r="J233" s="6" t="s">
        <v>16</v>
      </c>
      <c r="K233" s="6" t="s">
        <v>298</v>
      </c>
      <c r="L233" s="16" t="s">
        <v>2106</v>
      </c>
      <c r="M233" s="106" t="s">
        <v>17</v>
      </c>
      <c r="N233" s="118" t="s">
        <v>2107</v>
      </c>
      <c r="O233" s="16" t="s">
        <v>17</v>
      </c>
      <c r="P233" s="16" t="s">
        <v>17</v>
      </c>
      <c r="Q233" s="16" t="s">
        <v>17</v>
      </c>
      <c r="R233" s="6" t="s">
        <v>17</v>
      </c>
      <c r="S233" s="16" t="s">
        <v>17</v>
      </c>
      <c r="T233" s="278" t="s">
        <v>17</v>
      </c>
      <c r="U233" s="16" t="s">
        <v>17</v>
      </c>
      <c r="V233" s="16" t="s">
        <v>17</v>
      </c>
      <c r="W233" s="16" t="s">
        <v>17</v>
      </c>
      <c r="X233" s="16" t="s">
        <v>17</v>
      </c>
      <c r="Y233" s="16" t="s">
        <v>17</v>
      </c>
      <c r="Z233" s="16" t="s">
        <v>17</v>
      </c>
      <c r="AA233" s="16" t="s">
        <v>17</v>
      </c>
      <c r="AB233" s="16" t="s">
        <v>17</v>
      </c>
      <c r="AC233" s="16" t="s">
        <v>2084</v>
      </c>
      <c r="AD233" s="16" t="s">
        <v>19</v>
      </c>
      <c r="AE233" s="10" t="s">
        <v>17</v>
      </c>
      <c r="AF233" s="16" t="s">
        <v>2108</v>
      </c>
      <c r="AI233" s="5"/>
      <c r="AJ233" s="5"/>
      <c r="AK233" s="5"/>
    </row>
    <row r="234" spans="1:37" s="3" customFormat="1" ht="50.1" customHeight="1" x14ac:dyDescent="0.3">
      <c r="A234" s="16">
        <v>684782</v>
      </c>
      <c r="B234" s="115" t="s">
        <v>143</v>
      </c>
      <c r="C234" s="115" t="s">
        <v>2109</v>
      </c>
      <c r="D234" s="16" t="s">
        <v>156</v>
      </c>
      <c r="E234" s="420">
        <v>44489</v>
      </c>
      <c r="F234" s="16" t="s">
        <v>704</v>
      </c>
      <c r="G234" s="7" t="s">
        <v>145</v>
      </c>
      <c r="H234" s="16" t="s">
        <v>2110</v>
      </c>
      <c r="I234" s="16" t="s">
        <v>2111</v>
      </c>
      <c r="J234" s="6" t="s">
        <v>16</v>
      </c>
      <c r="K234" s="668" t="s">
        <v>781</v>
      </c>
      <c r="L234" s="16" t="s">
        <v>2112</v>
      </c>
      <c r="M234" s="106" t="s">
        <v>23</v>
      </c>
      <c r="N234" s="118" t="s">
        <v>2113</v>
      </c>
      <c r="O234" s="16" t="s">
        <v>17</v>
      </c>
      <c r="P234" s="403" t="s">
        <v>17</v>
      </c>
      <c r="Q234" s="403" t="s">
        <v>17</v>
      </c>
      <c r="R234" s="6" t="s">
        <v>96</v>
      </c>
      <c r="S234" s="425" t="s">
        <v>17</v>
      </c>
      <c r="T234" s="278" t="s">
        <v>17</v>
      </c>
      <c r="U234" s="404" t="s">
        <v>17</v>
      </c>
      <c r="V234" s="16" t="s">
        <v>17</v>
      </c>
      <c r="W234" s="16" t="s">
        <v>17</v>
      </c>
      <c r="X234" s="16" t="s">
        <v>17</v>
      </c>
      <c r="Y234" s="16" t="s">
        <v>17</v>
      </c>
      <c r="Z234" s="16" t="s">
        <v>17</v>
      </c>
      <c r="AA234" s="16" t="s">
        <v>17</v>
      </c>
      <c r="AB234" s="16" t="s">
        <v>17</v>
      </c>
      <c r="AC234" s="403" t="s">
        <v>2114</v>
      </c>
      <c r="AD234" s="403" t="s">
        <v>19</v>
      </c>
      <c r="AE234" s="10" t="s">
        <v>17</v>
      </c>
      <c r="AF234" s="16" t="s">
        <v>768</v>
      </c>
      <c r="AG234" s="103"/>
      <c r="AH234" s="103"/>
      <c r="AI234" s="231"/>
      <c r="AJ234" s="231"/>
      <c r="AK234" s="231"/>
    </row>
    <row r="235" spans="1:37" s="3" customFormat="1" ht="50.1" customHeight="1" x14ac:dyDescent="0.3">
      <c r="A235" s="16">
        <v>708778</v>
      </c>
      <c r="B235" s="6" t="s">
        <v>228</v>
      </c>
      <c r="C235" s="16" t="s">
        <v>2115</v>
      </c>
      <c r="D235" s="16" t="s">
        <v>228</v>
      </c>
      <c r="E235" s="420">
        <v>44542</v>
      </c>
      <c r="F235" s="16" t="s">
        <v>2116</v>
      </c>
      <c r="G235" s="31" t="s">
        <v>229</v>
      </c>
      <c r="H235" s="16" t="s">
        <v>296</v>
      </c>
      <c r="I235" s="16" t="s">
        <v>382</v>
      </c>
      <c r="J235" s="6" t="s">
        <v>16</v>
      </c>
      <c r="K235" s="16" t="s">
        <v>316</v>
      </c>
      <c r="L235" s="16" t="s">
        <v>1887</v>
      </c>
      <c r="M235" s="106" t="s">
        <v>1888</v>
      </c>
      <c r="N235" s="118" t="s">
        <v>2117</v>
      </c>
      <c r="O235" s="16" t="s">
        <v>17</v>
      </c>
      <c r="P235" s="16" t="s">
        <v>17</v>
      </c>
      <c r="Q235" s="16" t="s">
        <v>17</v>
      </c>
      <c r="R235" s="6" t="s">
        <v>17</v>
      </c>
      <c r="S235" s="16" t="s">
        <v>17</v>
      </c>
      <c r="T235" s="16" t="s">
        <v>85</v>
      </c>
      <c r="U235" s="16" t="s">
        <v>17</v>
      </c>
      <c r="V235" s="16" t="s">
        <v>17</v>
      </c>
      <c r="W235" s="16" t="s">
        <v>17</v>
      </c>
      <c r="X235" s="16" t="s">
        <v>17</v>
      </c>
      <c r="Y235" s="16" t="s">
        <v>17</v>
      </c>
      <c r="Z235" s="16" t="s">
        <v>17</v>
      </c>
      <c r="AA235" s="16" t="s">
        <v>17</v>
      </c>
      <c r="AB235" s="16" t="s">
        <v>17</v>
      </c>
      <c r="AC235" s="426" t="s">
        <v>2118</v>
      </c>
      <c r="AD235" s="16" t="s">
        <v>19</v>
      </c>
      <c r="AE235" s="10" t="s">
        <v>17</v>
      </c>
      <c r="AF235" s="16" t="s">
        <v>2119</v>
      </c>
      <c r="AG235" s="238"/>
      <c r="AH235" s="238"/>
    </row>
    <row r="236" spans="1:37" s="3" customFormat="1" ht="50.1" customHeight="1" x14ac:dyDescent="0.3">
      <c r="A236" s="16">
        <v>687911</v>
      </c>
      <c r="B236" s="16" t="s">
        <v>228</v>
      </c>
      <c r="C236" s="16" t="s">
        <v>2120</v>
      </c>
      <c r="D236" s="16" t="s">
        <v>228</v>
      </c>
      <c r="E236" s="420">
        <v>44467</v>
      </c>
      <c r="F236" s="16" t="s">
        <v>2121</v>
      </c>
      <c r="G236" s="31" t="s">
        <v>229</v>
      </c>
      <c r="H236" s="16" t="s">
        <v>296</v>
      </c>
      <c r="I236" s="16" t="s">
        <v>382</v>
      </c>
      <c r="J236" s="6" t="s">
        <v>16</v>
      </c>
      <c r="K236" s="16" t="s">
        <v>316</v>
      </c>
      <c r="L236" s="16" t="s">
        <v>1887</v>
      </c>
      <c r="M236" s="106" t="s">
        <v>2122</v>
      </c>
      <c r="N236" s="118" t="s">
        <v>2123</v>
      </c>
      <c r="O236" s="16" t="s">
        <v>17</v>
      </c>
      <c r="P236" s="16" t="s">
        <v>17</v>
      </c>
      <c r="Q236" s="16" t="s">
        <v>17</v>
      </c>
      <c r="R236" s="6" t="s">
        <v>17</v>
      </c>
      <c r="S236" s="16" t="s">
        <v>17</v>
      </c>
      <c r="T236" s="278" t="s">
        <v>17</v>
      </c>
      <c r="U236" s="16" t="s">
        <v>17</v>
      </c>
      <c r="V236" s="16" t="s">
        <v>17</v>
      </c>
      <c r="W236" s="16" t="s">
        <v>17</v>
      </c>
      <c r="X236" s="16" t="s">
        <v>17</v>
      </c>
      <c r="Y236" s="16" t="s">
        <v>17</v>
      </c>
      <c r="Z236" s="16" t="s">
        <v>17</v>
      </c>
      <c r="AA236" s="16" t="s">
        <v>17</v>
      </c>
      <c r="AB236" s="16" t="s">
        <v>17</v>
      </c>
      <c r="AC236" s="16" t="s">
        <v>2124</v>
      </c>
      <c r="AD236" s="402" t="s">
        <v>19</v>
      </c>
      <c r="AE236" s="10" t="s">
        <v>17</v>
      </c>
      <c r="AF236" s="16" t="s">
        <v>322</v>
      </c>
      <c r="AG236" s="427"/>
      <c r="AH236" s="142"/>
      <c r="AI236" s="428"/>
      <c r="AJ236" s="428"/>
      <c r="AK236" s="428"/>
    </row>
    <row r="237" spans="1:37" s="103" customFormat="1" ht="50.1" customHeight="1" x14ac:dyDescent="0.3">
      <c r="A237" s="106">
        <v>698633</v>
      </c>
      <c r="B237" s="106" t="s">
        <v>228</v>
      </c>
      <c r="C237" s="106" t="s">
        <v>2125</v>
      </c>
      <c r="D237" s="106" t="s">
        <v>228</v>
      </c>
      <c r="E237" s="401">
        <v>44297</v>
      </c>
      <c r="F237" s="106" t="s">
        <v>2126</v>
      </c>
      <c r="G237" s="31" t="s">
        <v>229</v>
      </c>
      <c r="H237" s="429" t="s">
        <v>296</v>
      </c>
      <c r="I237" s="106" t="s">
        <v>2127</v>
      </c>
      <c r="J237" s="6" t="s">
        <v>16</v>
      </c>
      <c r="K237" s="106" t="s">
        <v>316</v>
      </c>
      <c r="L237" s="429" t="s">
        <v>2128</v>
      </c>
      <c r="M237" s="106" t="s">
        <v>2129</v>
      </c>
      <c r="N237" s="431" t="s">
        <v>2130</v>
      </c>
      <c r="O237" s="106" t="s">
        <v>2131</v>
      </c>
      <c r="P237" s="432" t="s">
        <v>460</v>
      </c>
      <c r="Q237" s="432" t="s">
        <v>460</v>
      </c>
      <c r="R237" s="6" t="s">
        <v>96</v>
      </c>
      <c r="S237" s="433" t="s">
        <v>17</v>
      </c>
      <c r="T237" s="10" t="s">
        <v>68</v>
      </c>
      <c r="U237" s="434"/>
      <c r="V237" s="432"/>
      <c r="W237" s="434" t="s">
        <v>460</v>
      </c>
      <c r="X237" s="434" t="s">
        <v>460</v>
      </c>
      <c r="Y237" s="434" t="s">
        <v>460</v>
      </c>
      <c r="Z237" s="435" t="s">
        <v>19</v>
      </c>
      <c r="AA237" s="435" t="s">
        <v>460</v>
      </c>
      <c r="AB237" s="432" t="s">
        <v>460</v>
      </c>
      <c r="AC237" s="142" t="s">
        <v>2132</v>
      </c>
      <c r="AD237" s="432" t="s">
        <v>19</v>
      </c>
      <c r="AE237" s="10" t="s">
        <v>17</v>
      </c>
      <c r="AF237" s="106" t="s">
        <v>423</v>
      </c>
      <c r="AG237" s="215"/>
      <c r="AH237" s="215"/>
      <c r="AI237" s="3"/>
      <c r="AJ237" s="3"/>
      <c r="AK237" s="3"/>
    </row>
    <row r="238" spans="1:37" s="238" customFormat="1" ht="50.1" customHeight="1" x14ac:dyDescent="0.3">
      <c r="A238" s="423">
        <v>707933</v>
      </c>
      <c r="B238" s="6" t="s">
        <v>137</v>
      </c>
      <c r="C238" s="100" t="s">
        <v>2133</v>
      </c>
      <c r="D238" s="436" t="s">
        <v>242</v>
      </c>
      <c r="E238" s="324">
        <v>44678</v>
      </c>
      <c r="F238" s="100" t="s">
        <v>1948</v>
      </c>
      <c r="G238" s="6" t="s">
        <v>29</v>
      </c>
      <c r="H238" s="100" t="s">
        <v>2134</v>
      </c>
      <c r="I238" s="100" t="s">
        <v>296</v>
      </c>
      <c r="J238" s="6" t="s">
        <v>16</v>
      </c>
      <c r="K238" s="6" t="s">
        <v>298</v>
      </c>
      <c r="L238" s="100" t="s">
        <v>2135</v>
      </c>
      <c r="M238" s="104" t="s">
        <v>17</v>
      </c>
      <c r="N238" s="108" t="s">
        <v>2136</v>
      </c>
      <c r="O238" s="100" t="s">
        <v>17</v>
      </c>
      <c r="P238" s="437">
        <v>510852000</v>
      </c>
      <c r="Q238" s="100" t="s">
        <v>17</v>
      </c>
      <c r="R238" s="6" t="s">
        <v>17</v>
      </c>
      <c r="S238" s="100" t="s">
        <v>17</v>
      </c>
      <c r="T238" s="100" t="s">
        <v>55</v>
      </c>
      <c r="U238" s="100" t="s">
        <v>17</v>
      </c>
      <c r="V238" s="437">
        <v>420000000</v>
      </c>
      <c r="W238" s="100" t="s">
        <v>17</v>
      </c>
      <c r="X238" s="100" t="s">
        <v>17</v>
      </c>
      <c r="Y238" s="100" t="s">
        <v>17</v>
      </c>
      <c r="Z238" s="100" t="s">
        <v>2137</v>
      </c>
      <c r="AA238" s="9" t="s">
        <v>17</v>
      </c>
      <c r="AB238" s="100" t="s">
        <v>17</v>
      </c>
      <c r="AC238" s="438" t="s">
        <v>2138</v>
      </c>
      <c r="AD238" s="6" t="s">
        <v>22</v>
      </c>
      <c r="AE238" s="10" t="s">
        <v>17</v>
      </c>
      <c r="AF238" s="100" t="s">
        <v>2139</v>
      </c>
      <c r="AG238" s="3"/>
      <c r="AH238" s="3"/>
      <c r="AI238" s="3"/>
      <c r="AJ238" s="3"/>
      <c r="AK238" s="3"/>
    </row>
    <row r="239" spans="1:37" s="238" customFormat="1" ht="50.1" customHeight="1" x14ac:dyDescent="0.3">
      <c r="A239" s="100">
        <v>706373</v>
      </c>
      <c r="B239" s="114" t="s">
        <v>228</v>
      </c>
      <c r="C239" s="114" t="s">
        <v>2140</v>
      </c>
      <c r="D239" s="100" t="s">
        <v>228</v>
      </c>
      <c r="E239" s="416">
        <v>44617</v>
      </c>
      <c r="F239" s="114" t="s">
        <v>2141</v>
      </c>
      <c r="G239" s="31" t="s">
        <v>229</v>
      </c>
      <c r="H239" s="114" t="s">
        <v>296</v>
      </c>
      <c r="I239" s="114" t="s">
        <v>2142</v>
      </c>
      <c r="J239" s="6" t="s">
        <v>16</v>
      </c>
      <c r="K239" s="231" t="s">
        <v>316</v>
      </c>
      <c r="L239" s="225" t="s">
        <v>1887</v>
      </c>
      <c r="M239" s="439" t="s">
        <v>2122</v>
      </c>
      <c r="N239" s="226" t="s">
        <v>2117</v>
      </c>
      <c r="O239" s="225" t="s">
        <v>17</v>
      </c>
      <c r="P239" s="115" t="s">
        <v>17</v>
      </c>
      <c r="Q239" s="115" t="s">
        <v>17</v>
      </c>
      <c r="R239" s="6" t="s">
        <v>17</v>
      </c>
      <c r="S239" s="115" t="s">
        <v>17</v>
      </c>
      <c r="T239" s="278" t="s">
        <v>17</v>
      </c>
      <c r="U239" s="225" t="s">
        <v>17</v>
      </c>
      <c r="V239" s="115" t="s">
        <v>17</v>
      </c>
      <c r="W239" s="115" t="s">
        <v>17</v>
      </c>
      <c r="X239" s="115" t="s">
        <v>17</v>
      </c>
      <c r="Y239" s="115" t="s">
        <v>17</v>
      </c>
      <c r="Z239" s="225" t="s">
        <v>17</v>
      </c>
      <c r="AA239" s="115" t="s">
        <v>17</v>
      </c>
      <c r="AB239" s="115" t="s">
        <v>17</v>
      </c>
      <c r="AC239" s="440" t="s">
        <v>2143</v>
      </c>
      <c r="AD239" s="114" t="s">
        <v>19</v>
      </c>
      <c r="AE239" s="10" t="s">
        <v>17</v>
      </c>
      <c r="AF239" s="114" t="s">
        <v>2144</v>
      </c>
      <c r="AI239" s="3"/>
      <c r="AJ239" s="3"/>
      <c r="AK239" s="3"/>
    </row>
    <row r="240" spans="1:37" s="238" customFormat="1" ht="50.1" customHeight="1" x14ac:dyDescent="0.3">
      <c r="A240" s="441">
        <v>762205</v>
      </c>
      <c r="B240" s="441" t="s">
        <v>228</v>
      </c>
      <c r="C240" s="441" t="s">
        <v>2145</v>
      </c>
      <c r="D240" s="442" t="s">
        <v>228</v>
      </c>
      <c r="E240" s="443">
        <v>44803</v>
      </c>
      <c r="F240" s="441" t="s">
        <v>2146</v>
      </c>
      <c r="G240" s="31" t="s">
        <v>229</v>
      </c>
      <c r="H240" s="441" t="s">
        <v>296</v>
      </c>
      <c r="I240" s="444" t="s">
        <v>2147</v>
      </c>
      <c r="J240" s="6" t="s">
        <v>16</v>
      </c>
      <c r="K240" s="105" t="s">
        <v>1024</v>
      </c>
      <c r="L240" s="445" t="s">
        <v>2148</v>
      </c>
      <c r="M240" s="155" t="s">
        <v>2149</v>
      </c>
      <c r="N240" s="105" t="s">
        <v>2150</v>
      </c>
      <c r="O240" s="446" t="s">
        <v>17</v>
      </c>
      <c r="P240" s="155" t="s">
        <v>17</v>
      </c>
      <c r="Q240" s="105" t="s">
        <v>17</v>
      </c>
      <c r="R240" s="6" t="s">
        <v>17</v>
      </c>
      <c r="S240" s="105" t="s">
        <v>17</v>
      </c>
      <c r="T240" s="105" t="s">
        <v>41</v>
      </c>
      <c r="U240" s="446" t="s">
        <v>17</v>
      </c>
      <c r="V240" s="105" t="s">
        <v>17</v>
      </c>
      <c r="W240" s="105" t="s">
        <v>17</v>
      </c>
      <c r="X240" s="105" t="s">
        <v>17</v>
      </c>
      <c r="Y240" s="105" t="s">
        <v>17</v>
      </c>
      <c r="Z240" s="447" t="s">
        <v>17</v>
      </c>
      <c r="AA240" s="155" t="s">
        <v>17</v>
      </c>
      <c r="AB240" s="155" t="s">
        <v>17</v>
      </c>
      <c r="AC240" s="448" t="s">
        <v>2151</v>
      </c>
      <c r="AD240" s="105" t="s">
        <v>24</v>
      </c>
      <c r="AE240" s="10" t="s">
        <v>17</v>
      </c>
      <c r="AF240" s="105" t="s">
        <v>960</v>
      </c>
      <c r="AG240" s="282"/>
      <c r="AH240" s="282"/>
      <c r="AI240" s="3"/>
      <c r="AJ240" s="3"/>
      <c r="AK240" s="3"/>
    </row>
    <row r="241" spans="1:37" s="238" customFormat="1" ht="50.1" customHeight="1" x14ac:dyDescent="0.3">
      <c r="A241" s="105">
        <v>765056</v>
      </c>
      <c r="B241" s="155" t="s">
        <v>228</v>
      </c>
      <c r="C241" s="155" t="s">
        <v>2152</v>
      </c>
      <c r="D241" s="155" t="s">
        <v>228</v>
      </c>
      <c r="E241" s="449">
        <v>44858</v>
      </c>
      <c r="F241" s="155" t="s">
        <v>2153</v>
      </c>
      <c r="G241" s="31" t="s">
        <v>229</v>
      </c>
      <c r="H241" s="155" t="s">
        <v>296</v>
      </c>
      <c r="I241" s="447" t="s">
        <v>2154</v>
      </c>
      <c r="J241" s="6" t="s">
        <v>16</v>
      </c>
      <c r="K241" s="447" t="s">
        <v>1024</v>
      </c>
      <c r="L241" s="155" t="s">
        <v>2148</v>
      </c>
      <c r="M241" s="447" t="s">
        <v>2149</v>
      </c>
      <c r="N241" s="447" t="s">
        <v>2155</v>
      </c>
      <c r="O241" s="155" t="s">
        <v>17</v>
      </c>
      <c r="P241" s="447" t="s">
        <v>17</v>
      </c>
      <c r="Q241" s="155" t="s">
        <v>17</v>
      </c>
      <c r="R241" s="6" t="s">
        <v>17</v>
      </c>
      <c r="S241" s="155" t="s">
        <v>17</v>
      </c>
      <c r="T241" s="10" t="s">
        <v>75</v>
      </c>
      <c r="U241" s="155" t="s">
        <v>17</v>
      </c>
      <c r="V241" s="155" t="s">
        <v>17</v>
      </c>
      <c r="W241" s="155" t="s">
        <v>17</v>
      </c>
      <c r="X241" s="155" t="s">
        <v>17</v>
      </c>
      <c r="Y241" s="155" t="s">
        <v>17</v>
      </c>
      <c r="Z241" s="450" t="s">
        <v>17</v>
      </c>
      <c r="AA241" s="450" t="s">
        <v>17</v>
      </c>
      <c r="AB241" s="450" t="s">
        <v>17</v>
      </c>
      <c r="AC241" s="451" t="s">
        <v>2156</v>
      </c>
      <c r="AD241" s="109" t="s">
        <v>19</v>
      </c>
      <c r="AE241" s="10" t="s">
        <v>17</v>
      </c>
      <c r="AF241" s="155" t="s">
        <v>1990</v>
      </c>
      <c r="AG241" s="140"/>
      <c r="AH241" s="140"/>
      <c r="AI241" s="103"/>
      <c r="AJ241" s="103"/>
      <c r="AK241" s="103"/>
    </row>
    <row r="242" spans="1:37" s="238" customFormat="1" ht="50.1" customHeight="1" x14ac:dyDescent="0.3">
      <c r="A242" s="105">
        <v>703995</v>
      </c>
      <c r="B242" s="430" t="s">
        <v>228</v>
      </c>
      <c r="C242" s="105" t="s">
        <v>2157</v>
      </c>
      <c r="D242" s="452" t="s">
        <v>228</v>
      </c>
      <c r="E242" s="420">
        <v>44672</v>
      </c>
      <c r="F242" s="142" t="s">
        <v>2158</v>
      </c>
      <c r="G242" s="31" t="s">
        <v>229</v>
      </c>
      <c r="H242" s="16" t="s">
        <v>296</v>
      </c>
      <c r="I242" s="423" t="s">
        <v>1023</v>
      </c>
      <c r="J242" s="6" t="s">
        <v>16</v>
      </c>
      <c r="K242" s="423" t="s">
        <v>1024</v>
      </c>
      <c r="L242" s="16" t="s">
        <v>2159</v>
      </c>
      <c r="M242" s="423" t="s">
        <v>2160</v>
      </c>
      <c r="N242" s="16" t="s">
        <v>2161</v>
      </c>
      <c r="O242" s="16" t="s">
        <v>17</v>
      </c>
      <c r="P242" s="423" t="s">
        <v>17</v>
      </c>
      <c r="Q242" s="16" t="s">
        <v>17</v>
      </c>
      <c r="R242" s="6" t="s">
        <v>17</v>
      </c>
      <c r="S242" s="16" t="s">
        <v>17</v>
      </c>
      <c r="T242" s="278" t="s">
        <v>17</v>
      </c>
      <c r="U242" s="16" t="s">
        <v>17</v>
      </c>
      <c r="V242" s="16" t="s">
        <v>17</v>
      </c>
      <c r="W242" s="16" t="s">
        <v>17</v>
      </c>
      <c r="X242" s="16" t="s">
        <v>17</v>
      </c>
      <c r="Y242" s="423" t="s">
        <v>17</v>
      </c>
      <c r="Z242" s="100" t="s">
        <v>17</v>
      </c>
      <c r="AA242" s="100" t="s">
        <v>17</v>
      </c>
      <c r="AB242" s="9" t="s">
        <v>17</v>
      </c>
      <c r="AC242" s="100" t="s">
        <v>2016</v>
      </c>
      <c r="AD242" s="402" t="s">
        <v>19</v>
      </c>
      <c r="AE242" s="10" t="s">
        <v>17</v>
      </c>
      <c r="AF242" s="16" t="s">
        <v>1113</v>
      </c>
      <c r="AG242" s="140"/>
      <c r="AH242" s="140"/>
      <c r="AI242" s="14"/>
      <c r="AJ242" s="14"/>
      <c r="AK242" s="14"/>
    </row>
    <row r="243" spans="1:37" s="238" customFormat="1" ht="50.1" customHeight="1" x14ac:dyDescent="0.3">
      <c r="A243" s="147">
        <v>744430</v>
      </c>
      <c r="B243" s="147" t="s">
        <v>31</v>
      </c>
      <c r="C243" s="147" t="s">
        <v>2162</v>
      </c>
      <c r="D243" s="147" t="s">
        <v>36</v>
      </c>
      <c r="E243" s="453">
        <v>45062</v>
      </c>
      <c r="F243" s="147" t="s">
        <v>2163</v>
      </c>
      <c r="G243" s="9" t="s">
        <v>33</v>
      </c>
      <c r="H243" s="423" t="s">
        <v>904</v>
      </c>
      <c r="I243" s="147" t="s">
        <v>1839</v>
      </c>
      <c r="J243" s="6" t="s">
        <v>16</v>
      </c>
      <c r="K243" s="6" t="s">
        <v>298</v>
      </c>
      <c r="L243" s="429" t="s">
        <v>2164</v>
      </c>
      <c r="M243" s="106" t="s">
        <v>17</v>
      </c>
      <c r="N243" s="448" t="s">
        <v>2165</v>
      </c>
      <c r="O243" s="454" t="s">
        <v>2166</v>
      </c>
      <c r="P243" s="16" t="s">
        <v>17</v>
      </c>
      <c r="Q243" s="16" t="s">
        <v>17</v>
      </c>
      <c r="R243" s="6" t="s">
        <v>96</v>
      </c>
      <c r="S243" s="147" t="s">
        <v>17</v>
      </c>
      <c r="T243" s="454" t="s">
        <v>41</v>
      </c>
      <c r="U243" s="147" t="s">
        <v>131</v>
      </c>
      <c r="V243" s="147" t="s">
        <v>17</v>
      </c>
      <c r="W243" s="147" t="s">
        <v>17</v>
      </c>
      <c r="X243" s="147" t="s">
        <v>17</v>
      </c>
      <c r="Y243" s="147" t="s">
        <v>17</v>
      </c>
      <c r="Z243" s="225" t="s">
        <v>23</v>
      </c>
      <c r="AA243" s="115" t="s">
        <v>23</v>
      </c>
      <c r="AB243" s="115" t="s">
        <v>23</v>
      </c>
      <c r="AC243" s="455" t="s">
        <v>2167</v>
      </c>
      <c r="AD243" s="10" t="s">
        <v>82</v>
      </c>
      <c r="AE243" s="147" t="s">
        <v>439</v>
      </c>
      <c r="AF243" s="147" t="s">
        <v>1625</v>
      </c>
      <c r="AG243" s="140"/>
      <c r="AH243" s="140"/>
      <c r="AI243" s="140"/>
      <c r="AJ243" s="140"/>
      <c r="AK243" s="140"/>
    </row>
    <row r="244" spans="1:37" s="215" customFormat="1" ht="50.1" customHeight="1" x14ac:dyDescent="0.2">
      <c r="A244" s="104">
        <v>563290</v>
      </c>
      <c r="B244" s="6" t="s">
        <v>137</v>
      </c>
      <c r="C244" s="104" t="s">
        <v>2168</v>
      </c>
      <c r="D244" s="104" t="s">
        <v>162</v>
      </c>
      <c r="E244" s="384">
        <v>43028</v>
      </c>
      <c r="F244" s="104" t="s">
        <v>2169</v>
      </c>
      <c r="G244" s="314" t="s">
        <v>147</v>
      </c>
      <c r="H244" s="104" t="s">
        <v>296</v>
      </c>
      <c r="I244" s="100" t="s">
        <v>2170</v>
      </c>
      <c r="J244" s="6" t="s">
        <v>16</v>
      </c>
      <c r="K244" s="100" t="s">
        <v>316</v>
      </c>
      <c r="L244" s="104" t="s">
        <v>2171</v>
      </c>
      <c r="M244" s="100" t="s">
        <v>23</v>
      </c>
      <c r="N244" s="389" t="s">
        <v>2171</v>
      </c>
      <c r="O244" s="100" t="s">
        <v>23</v>
      </c>
      <c r="P244" s="100" t="s">
        <v>23</v>
      </c>
      <c r="Q244" s="100" t="s">
        <v>23</v>
      </c>
      <c r="R244" s="60" t="s">
        <v>148</v>
      </c>
      <c r="S244" s="100" t="s">
        <v>2172</v>
      </c>
      <c r="T244" s="10" t="s">
        <v>75</v>
      </c>
      <c r="U244" s="100" t="s">
        <v>80</v>
      </c>
      <c r="V244" s="100" t="s">
        <v>23</v>
      </c>
      <c r="W244" s="100" t="s">
        <v>23</v>
      </c>
      <c r="X244" s="100" t="s">
        <v>23</v>
      </c>
      <c r="Y244" s="100" t="s">
        <v>23</v>
      </c>
      <c r="Z244" s="97">
        <v>43895</v>
      </c>
      <c r="AA244" s="97">
        <v>44806</v>
      </c>
      <c r="AB244" s="100" t="s">
        <v>23</v>
      </c>
      <c r="AC244" s="104" t="s">
        <v>2173</v>
      </c>
      <c r="AD244" s="6" t="s">
        <v>22</v>
      </c>
      <c r="AE244" s="10" t="s">
        <v>17</v>
      </c>
      <c r="AF244" s="104" t="s">
        <v>2174</v>
      </c>
      <c r="AG244" s="5"/>
      <c r="AH244" s="5"/>
    </row>
    <row r="245" spans="1:37" s="215" customFormat="1" ht="50.1" customHeight="1" x14ac:dyDescent="0.2">
      <c r="A245" s="456">
        <v>15834</v>
      </c>
      <c r="B245" s="456" t="s">
        <v>143</v>
      </c>
      <c r="C245" s="456" t="s">
        <v>2175</v>
      </c>
      <c r="D245" s="456" t="s">
        <v>166</v>
      </c>
      <c r="E245" s="457">
        <v>33940</v>
      </c>
      <c r="F245" s="456" t="s">
        <v>403</v>
      </c>
      <c r="G245" s="7" t="s">
        <v>145</v>
      </c>
      <c r="H245" s="456" t="s">
        <v>2176</v>
      </c>
      <c r="I245" s="456" t="s">
        <v>2177</v>
      </c>
      <c r="J245" s="6" t="s">
        <v>16</v>
      </c>
      <c r="K245" s="6" t="s">
        <v>327</v>
      </c>
      <c r="L245" s="456" t="s">
        <v>983</v>
      </c>
      <c r="M245" s="456" t="s">
        <v>17</v>
      </c>
      <c r="N245" s="458" t="s">
        <v>2178</v>
      </c>
      <c r="O245" s="456" t="s">
        <v>23</v>
      </c>
      <c r="P245" s="459" t="s">
        <v>23</v>
      </c>
      <c r="Q245" s="459" t="s">
        <v>23</v>
      </c>
      <c r="R245" s="158" t="s">
        <v>180</v>
      </c>
      <c r="S245" s="459" t="s">
        <v>23</v>
      </c>
      <c r="T245" s="459" t="s">
        <v>187</v>
      </c>
      <c r="U245" s="460" t="s">
        <v>23</v>
      </c>
      <c r="V245" s="459" t="s">
        <v>23</v>
      </c>
      <c r="W245" s="461" t="s">
        <v>23</v>
      </c>
      <c r="X245" s="459" t="s">
        <v>23</v>
      </c>
      <c r="Y245" s="459" t="s">
        <v>23</v>
      </c>
      <c r="Z245" s="462" t="s">
        <v>23</v>
      </c>
      <c r="AA245" s="462" t="s">
        <v>23</v>
      </c>
      <c r="AB245" s="459" t="s">
        <v>23</v>
      </c>
      <c r="AC245" s="459" t="s">
        <v>2179</v>
      </c>
      <c r="AD245" s="459" t="s">
        <v>188</v>
      </c>
      <c r="AE245" s="10" t="s">
        <v>17</v>
      </c>
      <c r="AF245" s="456" t="s">
        <v>1925</v>
      </c>
      <c r="AG245" s="14"/>
      <c r="AH245" s="14"/>
    </row>
    <row r="246" spans="1:37" s="215" customFormat="1" ht="50.1" customHeight="1" x14ac:dyDescent="0.2">
      <c r="A246" s="106">
        <v>617495</v>
      </c>
      <c r="B246" s="106" t="s">
        <v>143</v>
      </c>
      <c r="C246" s="106" t="s">
        <v>2180</v>
      </c>
      <c r="D246" s="106" t="s">
        <v>189</v>
      </c>
      <c r="E246" s="401">
        <v>43322</v>
      </c>
      <c r="F246" s="106" t="s">
        <v>2181</v>
      </c>
      <c r="G246" s="106" t="s">
        <v>147</v>
      </c>
      <c r="H246" s="106" t="s">
        <v>2182</v>
      </c>
      <c r="I246" s="106" t="s">
        <v>2183</v>
      </c>
      <c r="J246" s="6" t="s">
        <v>16</v>
      </c>
      <c r="K246" s="6" t="s">
        <v>327</v>
      </c>
      <c r="L246" s="106" t="s">
        <v>2184</v>
      </c>
      <c r="M246" s="106" t="s">
        <v>17</v>
      </c>
      <c r="N246" s="463" t="s">
        <v>2185</v>
      </c>
      <c r="O246" s="106" t="s">
        <v>2186</v>
      </c>
      <c r="P246" s="432" t="s">
        <v>2187</v>
      </c>
      <c r="Q246" s="432" t="s">
        <v>17</v>
      </c>
      <c r="R246" s="6" t="s">
        <v>96</v>
      </c>
      <c r="S246" s="433" t="s">
        <v>2188</v>
      </c>
      <c r="T246" s="287" t="s">
        <v>59</v>
      </c>
      <c r="U246" s="432" t="s">
        <v>205</v>
      </c>
      <c r="V246" s="432" t="s">
        <v>17</v>
      </c>
      <c r="W246" s="464" t="s">
        <v>17</v>
      </c>
      <c r="X246" s="434" t="s">
        <v>17</v>
      </c>
      <c r="Y246" s="432" t="s">
        <v>17</v>
      </c>
      <c r="Z246" s="435" t="s">
        <v>17</v>
      </c>
      <c r="AA246" s="435" t="s">
        <v>17</v>
      </c>
      <c r="AB246" s="432" t="s">
        <v>17</v>
      </c>
      <c r="AC246" s="335" t="s">
        <v>2189</v>
      </c>
      <c r="AD246" s="432" t="s">
        <v>19</v>
      </c>
      <c r="AE246" s="10" t="s">
        <v>17</v>
      </c>
      <c r="AF246" s="104" t="s">
        <v>2190</v>
      </c>
      <c r="AG246" s="5"/>
      <c r="AH246" s="5"/>
    </row>
    <row r="247" spans="1:37" s="215" customFormat="1" ht="50.1" customHeight="1" x14ac:dyDescent="0.2">
      <c r="A247" s="16">
        <v>255041</v>
      </c>
      <c r="B247" s="6" t="s">
        <v>137</v>
      </c>
      <c r="C247" s="16" t="s">
        <v>2191</v>
      </c>
      <c r="D247" s="16" t="s">
        <v>151</v>
      </c>
      <c r="E247" s="420">
        <v>39210</v>
      </c>
      <c r="F247" s="16" t="s">
        <v>616</v>
      </c>
      <c r="G247" s="7" t="s">
        <v>145</v>
      </c>
      <c r="H247" s="100" t="s">
        <v>296</v>
      </c>
      <c r="I247" s="16" t="s">
        <v>2192</v>
      </c>
      <c r="J247" s="6" t="s">
        <v>16</v>
      </c>
      <c r="K247" s="6" t="s">
        <v>298</v>
      </c>
      <c r="L247" s="16" t="s">
        <v>2193</v>
      </c>
      <c r="M247" s="16" t="s">
        <v>23</v>
      </c>
      <c r="N247" s="118" t="s">
        <v>2193</v>
      </c>
      <c r="O247" s="16" t="s">
        <v>23</v>
      </c>
      <c r="P247" s="403">
        <v>6845442</v>
      </c>
      <c r="Q247" s="403" t="s">
        <v>23</v>
      </c>
      <c r="R247" s="6" t="s">
        <v>96</v>
      </c>
      <c r="S247" s="465" t="s">
        <v>23</v>
      </c>
      <c r="T247" s="403" t="s">
        <v>57</v>
      </c>
      <c r="U247" s="404" t="s">
        <v>23</v>
      </c>
      <c r="V247" s="403" t="s">
        <v>23</v>
      </c>
      <c r="W247" s="403" t="s">
        <v>23</v>
      </c>
      <c r="X247" s="403" t="s">
        <v>23</v>
      </c>
      <c r="Y247" s="403" t="s">
        <v>23</v>
      </c>
      <c r="Z247" s="405">
        <v>40820</v>
      </c>
      <c r="AA247" s="403" t="s">
        <v>23</v>
      </c>
      <c r="AB247" s="403" t="s">
        <v>23</v>
      </c>
      <c r="AC247" s="100" t="s">
        <v>2194</v>
      </c>
      <c r="AD247" s="403" t="s">
        <v>19</v>
      </c>
      <c r="AE247" s="10" t="s">
        <v>17</v>
      </c>
      <c r="AF247" s="100" t="s">
        <v>2195</v>
      </c>
      <c r="AG247" s="14"/>
      <c r="AH247" s="14"/>
    </row>
    <row r="248" spans="1:37" s="468" customFormat="1" ht="50.1" customHeight="1" x14ac:dyDescent="0.3">
      <c r="A248" s="100">
        <v>325214</v>
      </c>
      <c r="B248" s="16" t="s">
        <v>31</v>
      </c>
      <c r="C248" s="16" t="s">
        <v>2196</v>
      </c>
      <c r="D248" s="104" t="s">
        <v>36</v>
      </c>
      <c r="E248" s="420">
        <v>40112</v>
      </c>
      <c r="F248" s="16" t="s">
        <v>1242</v>
      </c>
      <c r="G248" s="9" t="s">
        <v>33</v>
      </c>
      <c r="H248" s="16" t="s">
        <v>296</v>
      </c>
      <c r="I248" s="16" t="s">
        <v>2197</v>
      </c>
      <c r="J248" s="6" t="s">
        <v>16</v>
      </c>
      <c r="K248" s="6" t="s">
        <v>298</v>
      </c>
      <c r="L248" s="16" t="s">
        <v>444</v>
      </c>
      <c r="M248" s="16" t="s">
        <v>862</v>
      </c>
      <c r="N248" s="118" t="s">
        <v>2198</v>
      </c>
      <c r="O248" s="16" t="s">
        <v>1424</v>
      </c>
      <c r="P248" s="403" t="s">
        <v>862</v>
      </c>
      <c r="Q248" s="403" t="s">
        <v>862</v>
      </c>
      <c r="R248" s="6" t="s">
        <v>96</v>
      </c>
      <c r="S248" s="100">
        <v>1306</v>
      </c>
      <c r="T248" s="10" t="s">
        <v>59</v>
      </c>
      <c r="U248" s="404">
        <f>3583+4947+601+2084+2645+3774+4740+5709+4093+1641+1449+858+973+1945+1607+1483+2969+2854+1207+2859+1425+739+1871+361+380+1861+411+2138+1275+1242+378+355+3465+2200+2200+285+1124+494+1109+2600+782+3344+524+969+3286+3925+196+616+100</f>
        <v>91676</v>
      </c>
      <c r="V248" s="403" t="s">
        <v>23</v>
      </c>
      <c r="W248" s="403" t="s">
        <v>23</v>
      </c>
      <c r="X248" s="403" t="s">
        <v>23</v>
      </c>
      <c r="Y248" s="403" t="s">
        <v>23</v>
      </c>
      <c r="Z248" s="405">
        <v>41451</v>
      </c>
      <c r="AA248" s="405">
        <v>41675</v>
      </c>
      <c r="AB248" s="403" t="s">
        <v>1755</v>
      </c>
      <c r="AC248" s="425" t="s">
        <v>2199</v>
      </c>
      <c r="AD248" s="6" t="s">
        <v>22</v>
      </c>
      <c r="AE248" s="403" t="s">
        <v>439</v>
      </c>
      <c r="AF248" s="16" t="s">
        <v>546</v>
      </c>
      <c r="AG248" s="466"/>
      <c r="AH248" s="466"/>
      <c r="AI248" s="467"/>
      <c r="AJ248" s="467"/>
      <c r="AK248" s="467"/>
    </row>
    <row r="249" spans="1:37" s="215" customFormat="1" ht="50.1" customHeight="1" x14ac:dyDescent="0.3">
      <c r="A249" s="469">
        <v>418635</v>
      </c>
      <c r="B249" s="6" t="s">
        <v>137</v>
      </c>
      <c r="C249" s="100" t="s">
        <v>2200</v>
      </c>
      <c r="D249" s="470" t="s">
        <v>248</v>
      </c>
      <c r="E249" s="324">
        <v>41478</v>
      </c>
      <c r="F249" s="100" t="s">
        <v>1658</v>
      </c>
      <c r="G249" s="6" t="s">
        <v>29</v>
      </c>
      <c r="H249" s="100" t="s">
        <v>2201</v>
      </c>
      <c r="I249" s="100" t="s">
        <v>296</v>
      </c>
      <c r="J249" s="6" t="s">
        <v>16</v>
      </c>
      <c r="K249" s="6" t="s">
        <v>298</v>
      </c>
      <c r="L249" s="100" t="s">
        <v>2202</v>
      </c>
      <c r="M249" s="100" t="s">
        <v>17</v>
      </c>
      <c r="N249" s="108" t="s">
        <v>2202</v>
      </c>
      <c r="O249" s="100" t="s">
        <v>23</v>
      </c>
      <c r="P249" s="109" t="s">
        <v>23</v>
      </c>
      <c r="Q249" s="109" t="s">
        <v>23</v>
      </c>
      <c r="R249" s="6" t="s">
        <v>17</v>
      </c>
      <c r="S249" s="109" t="s">
        <v>23</v>
      </c>
      <c r="T249" s="278" t="s">
        <v>17</v>
      </c>
      <c r="U249" s="110" t="s">
        <v>23</v>
      </c>
      <c r="V249" s="109" t="s">
        <v>23</v>
      </c>
      <c r="W249" s="109" t="s">
        <v>23</v>
      </c>
      <c r="X249" s="110" t="s">
        <v>23</v>
      </c>
      <c r="Y249" s="109" t="s">
        <v>23</v>
      </c>
      <c r="Z249" s="395">
        <v>41739</v>
      </c>
      <c r="AA249" s="471" t="s">
        <v>23</v>
      </c>
      <c r="AB249" s="109" t="s">
        <v>23</v>
      </c>
      <c r="AC249" s="109" t="s">
        <v>2203</v>
      </c>
      <c r="AD249" s="109" t="s">
        <v>19</v>
      </c>
      <c r="AE249" s="10" t="s">
        <v>17</v>
      </c>
      <c r="AF249" s="109" t="s">
        <v>302</v>
      </c>
      <c r="AG249" s="5"/>
      <c r="AH249" s="5"/>
      <c r="AI249" s="3"/>
      <c r="AJ249" s="3"/>
      <c r="AK249" s="3"/>
    </row>
    <row r="250" spans="1:37" ht="50.1" customHeight="1" x14ac:dyDescent="0.3">
      <c r="A250" s="100">
        <v>479970</v>
      </c>
      <c r="B250" s="6" t="s">
        <v>137</v>
      </c>
      <c r="C250" s="100" t="s">
        <v>2204</v>
      </c>
      <c r="D250" s="100" t="s">
        <v>243</v>
      </c>
      <c r="E250" s="416">
        <v>41974</v>
      </c>
      <c r="F250" s="114" t="s">
        <v>847</v>
      </c>
      <c r="G250" s="6" t="s">
        <v>29</v>
      </c>
      <c r="H250" s="114" t="s">
        <v>2205</v>
      </c>
      <c r="I250" s="114" t="s">
        <v>296</v>
      </c>
      <c r="J250" s="6" t="s">
        <v>16</v>
      </c>
      <c r="K250" s="6" t="s">
        <v>298</v>
      </c>
      <c r="L250" s="114" t="s">
        <v>2206</v>
      </c>
      <c r="M250" s="114" t="s">
        <v>17</v>
      </c>
      <c r="N250" s="409" t="s">
        <v>2206</v>
      </c>
      <c r="O250" s="114" t="s">
        <v>23</v>
      </c>
      <c r="P250" s="410" t="s">
        <v>23</v>
      </c>
      <c r="Q250" s="410" t="s">
        <v>23</v>
      </c>
      <c r="R250" s="6" t="s">
        <v>17</v>
      </c>
      <c r="S250" s="410" t="s">
        <v>23</v>
      </c>
      <c r="T250" s="278" t="s">
        <v>17</v>
      </c>
      <c r="U250" s="472" t="s">
        <v>23</v>
      </c>
      <c r="V250" s="410" t="s">
        <v>23</v>
      </c>
      <c r="W250" s="410" t="s">
        <v>23</v>
      </c>
      <c r="X250" s="472" t="s">
        <v>23</v>
      </c>
      <c r="Y250" s="410">
        <v>23000593</v>
      </c>
      <c r="Z250" s="473">
        <v>42222</v>
      </c>
      <c r="AA250" s="410" t="s">
        <v>23</v>
      </c>
      <c r="AB250" s="410" t="s">
        <v>23</v>
      </c>
      <c r="AC250" s="410" t="s">
        <v>2207</v>
      </c>
      <c r="AD250" s="410" t="s">
        <v>19</v>
      </c>
      <c r="AE250" s="10" t="s">
        <v>17</v>
      </c>
      <c r="AF250" s="410" t="s">
        <v>302</v>
      </c>
      <c r="AG250" s="5"/>
      <c r="AH250" s="5"/>
      <c r="AI250" s="3"/>
      <c r="AJ250" s="3"/>
      <c r="AK250" s="3"/>
    </row>
    <row r="251" spans="1:37" ht="50.1" customHeight="1" x14ac:dyDescent="0.3">
      <c r="A251" s="106">
        <v>564777</v>
      </c>
      <c r="B251" s="106" t="s">
        <v>228</v>
      </c>
      <c r="C251" s="104" t="s">
        <v>2208</v>
      </c>
      <c r="D251" s="94" t="s">
        <v>228</v>
      </c>
      <c r="E251" s="474">
        <v>43080</v>
      </c>
      <c r="F251" s="94" t="s">
        <v>2209</v>
      </c>
      <c r="G251" s="31" t="s">
        <v>229</v>
      </c>
      <c r="H251" s="106" t="s">
        <v>638</v>
      </c>
      <c r="I251" s="100" t="s">
        <v>639</v>
      </c>
      <c r="J251" s="6" t="s">
        <v>16</v>
      </c>
      <c r="K251" s="6" t="s">
        <v>327</v>
      </c>
      <c r="L251" s="106" t="s">
        <v>2210</v>
      </c>
      <c r="M251" s="106" t="s">
        <v>2211</v>
      </c>
      <c r="N251" s="389" t="s">
        <v>2212</v>
      </c>
      <c r="O251" s="106" t="s">
        <v>2213</v>
      </c>
      <c r="P251" s="432" t="s">
        <v>23</v>
      </c>
      <c r="Q251" s="432" t="s">
        <v>23</v>
      </c>
      <c r="R251" s="10" t="s">
        <v>163</v>
      </c>
      <c r="S251" s="433" t="s">
        <v>23</v>
      </c>
      <c r="T251" s="432" t="s">
        <v>18</v>
      </c>
      <c r="U251" s="434" t="s">
        <v>23</v>
      </c>
      <c r="V251" s="434" t="s">
        <v>23</v>
      </c>
      <c r="W251" s="434" t="s">
        <v>23</v>
      </c>
      <c r="X251" s="434" t="s">
        <v>23</v>
      </c>
      <c r="Y251" s="434" t="s">
        <v>23</v>
      </c>
      <c r="Z251" s="434" t="s">
        <v>23</v>
      </c>
      <c r="AA251" s="434" t="s">
        <v>23</v>
      </c>
      <c r="AB251" s="434" t="s">
        <v>23</v>
      </c>
      <c r="AC251" s="142" t="s">
        <v>1192</v>
      </c>
      <c r="AD251" s="10" t="s">
        <v>19</v>
      </c>
      <c r="AE251" s="10" t="s">
        <v>17</v>
      </c>
      <c r="AF251" s="7" t="s">
        <v>1113</v>
      </c>
      <c r="AG251" s="5"/>
      <c r="AH251" s="5"/>
      <c r="AI251" s="238"/>
      <c r="AJ251" s="238"/>
      <c r="AK251" s="238"/>
    </row>
    <row r="252" spans="1:37" ht="50.1" customHeight="1" x14ac:dyDescent="0.3">
      <c r="A252" s="16">
        <v>495681</v>
      </c>
      <c r="B252" s="6" t="s">
        <v>137</v>
      </c>
      <c r="C252" s="100" t="s">
        <v>2214</v>
      </c>
      <c r="D252" s="100" t="s">
        <v>243</v>
      </c>
      <c r="E252" s="421">
        <v>42054</v>
      </c>
      <c r="F252" s="100" t="s">
        <v>2215</v>
      </c>
      <c r="G252" s="6" t="s">
        <v>29</v>
      </c>
      <c r="H252" s="16" t="s">
        <v>2216</v>
      </c>
      <c r="I252" s="100" t="s">
        <v>296</v>
      </c>
      <c r="J252" s="6" t="s">
        <v>16</v>
      </c>
      <c r="K252" s="6" t="s">
        <v>298</v>
      </c>
      <c r="L252" s="16" t="s">
        <v>2206</v>
      </c>
      <c r="M252" s="16" t="s">
        <v>23</v>
      </c>
      <c r="N252" s="118" t="s">
        <v>2206</v>
      </c>
      <c r="O252" s="16" t="s">
        <v>23</v>
      </c>
      <c r="P252" s="403" t="s">
        <v>23</v>
      </c>
      <c r="Q252" s="403" t="s">
        <v>23</v>
      </c>
      <c r="R252" s="6" t="s">
        <v>17</v>
      </c>
      <c r="S252" s="403" t="s">
        <v>23</v>
      </c>
      <c r="T252" s="278" t="s">
        <v>17</v>
      </c>
      <c r="U252" s="404" t="s">
        <v>23</v>
      </c>
      <c r="V252" s="403" t="s">
        <v>23</v>
      </c>
      <c r="W252" s="403" t="s">
        <v>23</v>
      </c>
      <c r="X252" s="404" t="s">
        <v>23</v>
      </c>
      <c r="Y252" s="403">
        <v>50449991</v>
      </c>
      <c r="Z252" s="405">
        <v>42541</v>
      </c>
      <c r="AA252" s="405">
        <v>43062</v>
      </c>
      <c r="AB252" s="403" t="s">
        <v>23</v>
      </c>
      <c r="AC252" s="403" t="s">
        <v>2217</v>
      </c>
      <c r="AD252" s="6" t="s">
        <v>22</v>
      </c>
      <c r="AE252" s="10" t="s">
        <v>17</v>
      </c>
      <c r="AF252" s="403" t="s">
        <v>2218</v>
      </c>
      <c r="AG252" s="14"/>
      <c r="AH252" s="14"/>
      <c r="AI252" s="215"/>
      <c r="AJ252" s="215"/>
      <c r="AK252" s="215"/>
    </row>
    <row r="253" spans="1:37" ht="50.1" customHeight="1" x14ac:dyDescent="0.3">
      <c r="A253" s="100">
        <v>531612</v>
      </c>
      <c r="B253" s="100" t="s">
        <v>31</v>
      </c>
      <c r="C253" s="100" t="s">
        <v>2219</v>
      </c>
      <c r="D253" s="104" t="s">
        <v>36</v>
      </c>
      <c r="E253" s="324">
        <v>42435</v>
      </c>
      <c r="F253" s="100" t="s">
        <v>2220</v>
      </c>
      <c r="G253" s="16" t="s">
        <v>39</v>
      </c>
      <c r="H253" s="100" t="s">
        <v>296</v>
      </c>
      <c r="I253" s="100" t="s">
        <v>2221</v>
      </c>
      <c r="J253" s="6" t="s">
        <v>16</v>
      </c>
      <c r="K253" s="6" t="s">
        <v>298</v>
      </c>
      <c r="L253" s="6" t="s">
        <v>2222</v>
      </c>
      <c r="M253" s="100" t="s">
        <v>23</v>
      </c>
      <c r="N253" s="108" t="s">
        <v>2223</v>
      </c>
      <c r="O253" s="100" t="s">
        <v>2222</v>
      </c>
      <c r="P253" s="109" t="s">
        <v>65</v>
      </c>
      <c r="Q253" s="109" t="s">
        <v>65</v>
      </c>
      <c r="R253" s="6" t="s">
        <v>96</v>
      </c>
      <c r="S253" s="387" t="s">
        <v>23</v>
      </c>
      <c r="T253" s="10" t="s">
        <v>43</v>
      </c>
      <c r="U253" s="110" t="s">
        <v>132</v>
      </c>
      <c r="V253" s="109" t="s">
        <v>65</v>
      </c>
      <c r="W253" s="109" t="s">
        <v>65</v>
      </c>
      <c r="X253" s="109" t="s">
        <v>65</v>
      </c>
      <c r="Y253" s="109" t="s">
        <v>65</v>
      </c>
      <c r="Z253" s="405" t="s">
        <v>2224</v>
      </c>
      <c r="AA253" s="403" t="s">
        <v>65</v>
      </c>
      <c r="AB253" s="403" t="s">
        <v>65</v>
      </c>
      <c r="AC253" s="109" t="s">
        <v>2225</v>
      </c>
      <c r="AD253" s="10" t="s">
        <v>82</v>
      </c>
      <c r="AE253" s="109" t="s">
        <v>439</v>
      </c>
      <c r="AF253" s="109" t="s">
        <v>2226</v>
      </c>
      <c r="AG253" s="3"/>
      <c r="AH253" s="3"/>
      <c r="AI253" s="238"/>
      <c r="AJ253" s="238"/>
      <c r="AK253" s="238"/>
    </row>
    <row r="254" spans="1:37" ht="50.1" customHeight="1" x14ac:dyDescent="0.3">
      <c r="A254" s="104" t="s">
        <v>260</v>
      </c>
      <c r="B254" s="6" t="s">
        <v>137</v>
      </c>
      <c r="C254" s="104" t="s">
        <v>2227</v>
      </c>
      <c r="D254" s="104" t="s">
        <v>139</v>
      </c>
      <c r="E254" s="384">
        <v>42857</v>
      </c>
      <c r="F254" s="104" t="s">
        <v>2228</v>
      </c>
      <c r="G254" s="6" t="s">
        <v>29</v>
      </c>
      <c r="H254" s="104" t="s">
        <v>2229</v>
      </c>
      <c r="I254" s="104" t="s">
        <v>2230</v>
      </c>
      <c r="J254" s="6" t="s">
        <v>16</v>
      </c>
      <c r="K254" s="6" t="s">
        <v>298</v>
      </c>
      <c r="L254" s="104" t="s">
        <v>2231</v>
      </c>
      <c r="M254" s="104" t="s">
        <v>23</v>
      </c>
      <c r="N254" s="389" t="s">
        <v>2231</v>
      </c>
      <c r="O254" s="104" t="s">
        <v>23</v>
      </c>
      <c r="P254" s="100" t="s">
        <v>23</v>
      </c>
      <c r="Q254" s="100" t="s">
        <v>23</v>
      </c>
      <c r="R254" s="6" t="s">
        <v>17</v>
      </c>
      <c r="S254" s="6" t="s">
        <v>23</v>
      </c>
      <c r="T254" s="278" t="s">
        <v>17</v>
      </c>
      <c r="U254" s="391" t="s">
        <v>23</v>
      </c>
      <c r="V254" s="370" t="s">
        <v>23</v>
      </c>
      <c r="W254" s="398" t="s">
        <v>23</v>
      </c>
      <c r="X254" s="100" t="s">
        <v>23</v>
      </c>
      <c r="Y254" s="100" t="s">
        <v>23</v>
      </c>
      <c r="Z254" s="6" t="s">
        <v>23</v>
      </c>
      <c r="AA254" s="6" t="s">
        <v>23</v>
      </c>
      <c r="AB254" s="6" t="s">
        <v>23</v>
      </c>
      <c r="AC254" s="370" t="s">
        <v>2232</v>
      </c>
      <c r="AD254" s="109" t="s">
        <v>19</v>
      </c>
      <c r="AE254" s="10" t="s">
        <v>17</v>
      </c>
      <c r="AF254" s="370" t="s">
        <v>787</v>
      </c>
      <c r="AG254" s="292"/>
      <c r="AH254" s="292"/>
      <c r="AI254" s="215"/>
      <c r="AJ254" s="215"/>
      <c r="AK254" s="215"/>
    </row>
    <row r="255" spans="1:37" ht="50.1" customHeight="1" x14ac:dyDescent="0.3">
      <c r="A255" s="104">
        <v>595501</v>
      </c>
      <c r="B255" s="6" t="s">
        <v>137</v>
      </c>
      <c r="C255" s="104" t="s">
        <v>2233</v>
      </c>
      <c r="D255" s="104" t="s">
        <v>139</v>
      </c>
      <c r="E255" s="384">
        <v>43439</v>
      </c>
      <c r="F255" s="104" t="s">
        <v>2228</v>
      </c>
      <c r="G255" s="6" t="s">
        <v>29</v>
      </c>
      <c r="H255" s="104" t="s">
        <v>2234</v>
      </c>
      <c r="I255" s="104" t="s">
        <v>2230</v>
      </c>
      <c r="J255" s="6" t="s">
        <v>16</v>
      </c>
      <c r="K255" s="6" t="s">
        <v>298</v>
      </c>
      <c r="L255" s="104" t="s">
        <v>2231</v>
      </c>
      <c r="M255" s="104" t="s">
        <v>23</v>
      </c>
      <c r="N255" s="463" t="s">
        <v>2235</v>
      </c>
      <c r="O255" s="104" t="s">
        <v>17</v>
      </c>
      <c r="P255" s="100" t="s">
        <v>17</v>
      </c>
      <c r="Q255" s="100" t="s">
        <v>17</v>
      </c>
      <c r="R255" s="6" t="s">
        <v>17</v>
      </c>
      <c r="S255" s="100" t="s">
        <v>23</v>
      </c>
      <c r="T255" s="278" t="s">
        <v>17</v>
      </c>
      <c r="U255" s="391" t="s">
        <v>17</v>
      </c>
      <c r="V255" s="370" t="s">
        <v>17</v>
      </c>
      <c r="W255" s="398" t="s">
        <v>17</v>
      </c>
      <c r="X255" s="100" t="s">
        <v>17</v>
      </c>
      <c r="Y255" s="100" t="s">
        <v>17</v>
      </c>
      <c r="Z255" s="100" t="s">
        <v>17</v>
      </c>
      <c r="AA255" s="100" t="s">
        <v>17</v>
      </c>
      <c r="AB255" s="100" t="s">
        <v>17</v>
      </c>
      <c r="AC255" s="370" t="s">
        <v>2236</v>
      </c>
      <c r="AD255" s="109" t="s">
        <v>19</v>
      </c>
      <c r="AE255" s="10" t="s">
        <v>17</v>
      </c>
      <c r="AF255" s="370" t="s">
        <v>2237</v>
      </c>
      <c r="AG255" s="5"/>
      <c r="AH255" s="5"/>
      <c r="AI255" s="375"/>
      <c r="AJ255" s="375"/>
      <c r="AK255" s="375"/>
    </row>
    <row r="256" spans="1:37" ht="50.1" customHeight="1" x14ac:dyDescent="0.3">
      <c r="A256" s="138">
        <v>750851</v>
      </c>
      <c r="B256" s="138" t="s">
        <v>31</v>
      </c>
      <c r="C256" s="138" t="s">
        <v>2238</v>
      </c>
      <c r="D256" s="138" t="s">
        <v>36</v>
      </c>
      <c r="E256" s="449">
        <v>45128</v>
      </c>
      <c r="F256" s="138" t="s">
        <v>2239</v>
      </c>
      <c r="G256" s="9" t="s">
        <v>33</v>
      </c>
      <c r="H256" s="231" t="s">
        <v>296</v>
      </c>
      <c r="I256" s="238" t="s">
        <v>2240</v>
      </c>
      <c r="J256" s="6" t="s">
        <v>16</v>
      </c>
      <c r="K256" s="6" t="s">
        <v>298</v>
      </c>
      <c r="L256" s="152" t="s">
        <v>2164</v>
      </c>
      <c r="M256" s="475" t="s">
        <v>17</v>
      </c>
      <c r="N256" s="448" t="s">
        <v>2241</v>
      </c>
      <c r="O256" s="476" t="s">
        <v>2242</v>
      </c>
      <c r="P256" s="100" t="s">
        <v>17</v>
      </c>
      <c r="Q256" s="100" t="s">
        <v>17</v>
      </c>
      <c r="R256" s="6" t="s">
        <v>96</v>
      </c>
      <c r="S256" s="100" t="s">
        <v>2243</v>
      </c>
      <c r="T256" s="10" t="s">
        <v>68</v>
      </c>
      <c r="U256" s="138" t="s">
        <v>133</v>
      </c>
      <c r="V256" s="138" t="s">
        <v>17</v>
      </c>
      <c r="W256" s="138" t="s">
        <v>17</v>
      </c>
      <c r="X256" s="138" t="s">
        <v>17</v>
      </c>
      <c r="Y256" s="138" t="s">
        <v>17</v>
      </c>
      <c r="Z256" s="100" t="s">
        <v>23</v>
      </c>
      <c r="AA256" s="100" t="s">
        <v>23</v>
      </c>
      <c r="AB256" s="100" t="s">
        <v>23</v>
      </c>
      <c r="AC256" s="138" t="s">
        <v>2244</v>
      </c>
      <c r="AD256" s="10" t="s">
        <v>82</v>
      </c>
      <c r="AE256" s="138" t="s">
        <v>439</v>
      </c>
      <c r="AF256" s="138" t="s">
        <v>660</v>
      </c>
      <c r="AI256" s="215"/>
      <c r="AJ256" s="215"/>
      <c r="AK256" s="215"/>
    </row>
    <row r="257" spans="1:39" ht="50.1" customHeight="1" x14ac:dyDescent="0.3">
      <c r="A257" s="477">
        <v>723131</v>
      </c>
      <c r="B257" s="477" t="s">
        <v>143</v>
      </c>
      <c r="C257" s="478" t="s">
        <v>2245</v>
      </c>
      <c r="D257" s="477" t="s">
        <v>151</v>
      </c>
      <c r="E257" s="453">
        <v>44600</v>
      </c>
      <c r="F257" s="477" t="s">
        <v>2246</v>
      </c>
      <c r="G257" s="100" t="s">
        <v>15</v>
      </c>
      <c r="H257" s="150" t="s">
        <v>2247</v>
      </c>
      <c r="I257" s="16" t="s">
        <v>1206</v>
      </c>
      <c r="J257" s="6" t="s">
        <v>16</v>
      </c>
      <c r="K257" s="6" t="s">
        <v>298</v>
      </c>
      <c r="L257" s="147" t="s">
        <v>2248</v>
      </c>
      <c r="M257" s="429" t="s">
        <v>17</v>
      </c>
      <c r="N257" s="448" t="s">
        <v>2249</v>
      </c>
      <c r="O257" s="479" t="s">
        <v>516</v>
      </c>
      <c r="P257" s="16" t="s">
        <v>17</v>
      </c>
      <c r="Q257" s="16" t="s">
        <v>17</v>
      </c>
      <c r="R257" s="10" t="s">
        <v>163</v>
      </c>
      <c r="S257" s="16" t="s">
        <v>460</v>
      </c>
      <c r="T257" s="32" t="s">
        <v>38</v>
      </c>
      <c r="U257" s="477" t="s">
        <v>206</v>
      </c>
      <c r="V257" s="477" t="s">
        <v>17</v>
      </c>
      <c r="W257" s="477" t="s">
        <v>17</v>
      </c>
      <c r="X257" s="477" t="s">
        <v>17</v>
      </c>
      <c r="Y257" s="477" t="s">
        <v>17</v>
      </c>
      <c r="Z257" s="477" t="s">
        <v>17</v>
      </c>
      <c r="AA257" s="477" t="s">
        <v>17</v>
      </c>
      <c r="AB257" s="477" t="s">
        <v>17</v>
      </c>
      <c r="AC257" s="147" t="s">
        <v>2250</v>
      </c>
      <c r="AD257" s="477" t="s">
        <v>19</v>
      </c>
      <c r="AE257" s="10" t="s">
        <v>17</v>
      </c>
      <c r="AF257" s="477" t="s">
        <v>2251</v>
      </c>
      <c r="AG257" s="3"/>
      <c r="AH257" s="3"/>
    </row>
    <row r="258" spans="1:39" ht="50.1" customHeight="1" x14ac:dyDescent="0.3">
      <c r="A258" s="100">
        <v>722198</v>
      </c>
      <c r="B258" s="100" t="s">
        <v>13</v>
      </c>
      <c r="C258" s="9" t="s">
        <v>2252</v>
      </c>
      <c r="D258" s="100" t="s">
        <v>20</v>
      </c>
      <c r="E258" s="324">
        <v>44813</v>
      </c>
      <c r="F258" s="100" t="s">
        <v>2253</v>
      </c>
      <c r="G258" s="100" t="s">
        <v>15</v>
      </c>
      <c r="H258" s="9" t="s">
        <v>2254</v>
      </c>
      <c r="I258" s="9" t="s">
        <v>2255</v>
      </c>
      <c r="J258" s="6" t="s">
        <v>16</v>
      </c>
      <c r="K258" s="6" t="s">
        <v>298</v>
      </c>
      <c r="L258" s="481" t="s">
        <v>2256</v>
      </c>
      <c r="M258" s="475" t="s">
        <v>17</v>
      </c>
      <c r="N258" s="482" t="s">
        <v>2257</v>
      </c>
      <c r="O258" s="423" t="s">
        <v>2258</v>
      </c>
      <c r="P258" s="100" t="s">
        <v>17</v>
      </c>
      <c r="Q258" s="100" t="s">
        <v>17</v>
      </c>
      <c r="R258" s="100" t="s">
        <v>13</v>
      </c>
      <c r="S258" s="100" t="s">
        <v>460</v>
      </c>
      <c r="T258" s="100" t="s">
        <v>21</v>
      </c>
      <c r="U258" s="100" t="s">
        <v>17</v>
      </c>
      <c r="V258" s="100" t="s">
        <v>17</v>
      </c>
      <c r="W258" s="100" t="s">
        <v>17</v>
      </c>
      <c r="X258" s="100" t="s">
        <v>17</v>
      </c>
      <c r="Y258" s="100" t="s">
        <v>17</v>
      </c>
      <c r="Z258" s="100" t="s">
        <v>2259</v>
      </c>
      <c r="AA258" s="100" t="s">
        <v>17</v>
      </c>
      <c r="AB258" s="100" t="s">
        <v>17</v>
      </c>
      <c r="AC258" s="328" t="s">
        <v>2260</v>
      </c>
      <c r="AD258" s="6" t="s">
        <v>22</v>
      </c>
      <c r="AE258" s="10" t="s">
        <v>17</v>
      </c>
      <c r="AF258" s="100" t="s">
        <v>2261</v>
      </c>
      <c r="AG258" s="5"/>
      <c r="AH258" s="5"/>
    </row>
    <row r="259" spans="1:39" ht="50.1" customHeight="1" x14ac:dyDescent="0.3">
      <c r="A259" s="483">
        <v>765396</v>
      </c>
      <c r="B259" s="100" t="s">
        <v>31</v>
      </c>
      <c r="C259" s="9" t="s">
        <v>2262</v>
      </c>
      <c r="D259" s="100" t="s">
        <v>36</v>
      </c>
      <c r="E259" s="324">
        <v>45168</v>
      </c>
      <c r="F259" s="100" t="s">
        <v>2263</v>
      </c>
      <c r="G259" s="16" t="s">
        <v>52</v>
      </c>
      <c r="H259" s="9" t="s">
        <v>2264</v>
      </c>
      <c r="I259" s="9" t="s">
        <v>2265</v>
      </c>
      <c r="J259" s="6" t="s">
        <v>16</v>
      </c>
      <c r="K259" s="668" t="s">
        <v>781</v>
      </c>
      <c r="L259" s="86" t="s">
        <v>1727</v>
      </c>
      <c r="M259" s="475" t="s">
        <v>17</v>
      </c>
      <c r="N259" s="484" t="s">
        <v>2266</v>
      </c>
      <c r="O259" s="100" t="s">
        <v>2267</v>
      </c>
      <c r="P259" s="485" t="s">
        <v>17</v>
      </c>
      <c r="Q259" s="133" t="s">
        <v>17</v>
      </c>
      <c r="R259" s="10" t="s">
        <v>163</v>
      </c>
      <c r="S259" s="133" t="s">
        <v>2268</v>
      </c>
      <c r="T259" s="100" t="s">
        <v>41</v>
      </c>
      <c r="U259" s="133" t="s">
        <v>17</v>
      </c>
      <c r="V259" s="133" t="s">
        <v>17</v>
      </c>
      <c r="W259" s="133" t="s">
        <v>17</v>
      </c>
      <c r="X259" s="133" t="s">
        <v>17</v>
      </c>
      <c r="Y259" s="133" t="s">
        <v>17</v>
      </c>
      <c r="Z259" s="133" t="s">
        <v>17</v>
      </c>
      <c r="AA259" s="133" t="s">
        <v>17</v>
      </c>
      <c r="AB259" s="127" t="s">
        <v>17</v>
      </c>
      <c r="AC259" s="326" t="s">
        <v>2269</v>
      </c>
      <c r="AD259" s="10" t="s">
        <v>82</v>
      </c>
      <c r="AE259" s="100" t="s">
        <v>439</v>
      </c>
      <c r="AF259" s="100" t="s">
        <v>2270</v>
      </c>
    </row>
    <row r="260" spans="1:39" ht="50.1" customHeight="1" x14ac:dyDescent="0.3">
      <c r="A260" s="486">
        <v>750157</v>
      </c>
      <c r="B260" s="486" t="s">
        <v>143</v>
      </c>
      <c r="C260" s="486" t="s">
        <v>2271</v>
      </c>
      <c r="D260" s="486" t="s">
        <v>159</v>
      </c>
      <c r="E260" s="171">
        <v>43383</v>
      </c>
      <c r="F260" s="152" t="s">
        <v>2272</v>
      </c>
      <c r="G260" s="152" t="s">
        <v>147</v>
      </c>
      <c r="H260" s="152" t="s">
        <v>2273</v>
      </c>
      <c r="I260" s="152" t="s">
        <v>2274</v>
      </c>
      <c r="J260" s="6" t="s">
        <v>16</v>
      </c>
      <c r="K260" s="6" t="s">
        <v>327</v>
      </c>
      <c r="L260" s="152" t="s">
        <v>2275</v>
      </c>
      <c r="M260" s="152" t="s">
        <v>23</v>
      </c>
      <c r="N260" s="152" t="s">
        <v>2276</v>
      </c>
      <c r="O260" s="152" t="s">
        <v>43</v>
      </c>
      <c r="P260" s="152" t="s">
        <v>23</v>
      </c>
      <c r="Q260" s="152" t="s">
        <v>23</v>
      </c>
      <c r="R260" s="10" t="s">
        <v>163</v>
      </c>
      <c r="S260" s="142" t="s">
        <v>2277</v>
      </c>
      <c r="T260" s="10" t="s">
        <v>43</v>
      </c>
      <c r="U260" s="152" t="s">
        <v>23</v>
      </c>
      <c r="V260" s="152" t="s">
        <v>23</v>
      </c>
      <c r="W260" s="152" t="s">
        <v>23</v>
      </c>
      <c r="X260" s="152" t="s">
        <v>23</v>
      </c>
      <c r="Y260" s="152" t="s">
        <v>17</v>
      </c>
      <c r="Z260" s="152" t="s">
        <v>23</v>
      </c>
      <c r="AA260" s="152" t="s">
        <v>17</v>
      </c>
      <c r="AB260" s="152" t="s">
        <v>23</v>
      </c>
      <c r="AC260" s="486" t="s">
        <v>2278</v>
      </c>
      <c r="AD260" s="486" t="s">
        <v>19</v>
      </c>
      <c r="AE260" s="10" t="s">
        <v>17</v>
      </c>
      <c r="AF260" s="486" t="s">
        <v>2279</v>
      </c>
      <c r="AG260" s="292"/>
      <c r="AH260" s="292"/>
      <c r="AI260" s="238"/>
      <c r="AJ260" s="238"/>
      <c r="AK260" s="238"/>
    </row>
    <row r="261" spans="1:39" ht="50.1" customHeight="1" x14ac:dyDescent="0.3">
      <c r="A261" s="331">
        <v>622600</v>
      </c>
      <c r="B261" s="331" t="s">
        <v>143</v>
      </c>
      <c r="C261" s="331" t="s">
        <v>2280</v>
      </c>
      <c r="D261" s="6" t="s">
        <v>144</v>
      </c>
      <c r="E261" s="384">
        <v>43783</v>
      </c>
      <c r="F261" s="331" t="s">
        <v>2281</v>
      </c>
      <c r="G261" s="7" t="s">
        <v>145</v>
      </c>
      <c r="H261" s="331" t="s">
        <v>296</v>
      </c>
      <c r="I261" s="331" t="s">
        <v>2282</v>
      </c>
      <c r="J261" s="6" t="s">
        <v>16</v>
      </c>
      <c r="K261" s="6" t="s">
        <v>298</v>
      </c>
      <c r="L261" s="331" t="s">
        <v>307</v>
      </c>
      <c r="M261" s="331" t="s">
        <v>17</v>
      </c>
      <c r="N261" s="389" t="s">
        <v>17</v>
      </c>
      <c r="O261" s="331" t="s">
        <v>2283</v>
      </c>
      <c r="P261" s="331" t="s">
        <v>17</v>
      </c>
      <c r="Q261" s="331" t="s">
        <v>17</v>
      </c>
      <c r="R261" s="6" t="s">
        <v>96</v>
      </c>
      <c r="S261" s="331" t="s">
        <v>2284</v>
      </c>
      <c r="T261" s="330" t="s">
        <v>157</v>
      </c>
      <c r="U261" s="331" t="s">
        <v>17</v>
      </c>
      <c r="V261" s="331" t="s">
        <v>17</v>
      </c>
      <c r="W261" s="331" t="s">
        <v>17</v>
      </c>
      <c r="X261" s="331" t="s">
        <v>17</v>
      </c>
      <c r="Y261" s="331" t="s">
        <v>17</v>
      </c>
      <c r="Z261" s="331" t="s">
        <v>17</v>
      </c>
      <c r="AA261" s="331" t="s">
        <v>17</v>
      </c>
      <c r="AB261" s="331" t="s">
        <v>17</v>
      </c>
      <c r="AC261" s="331" t="s">
        <v>2285</v>
      </c>
      <c r="AD261" s="331" t="s">
        <v>19</v>
      </c>
      <c r="AE261" s="10" t="s">
        <v>17</v>
      </c>
      <c r="AF261" s="331" t="s">
        <v>2286</v>
      </c>
      <c r="AG261" s="5"/>
      <c r="AH261" s="5"/>
      <c r="AI261" s="238"/>
      <c r="AJ261" s="238"/>
      <c r="AK261" s="238"/>
    </row>
    <row r="262" spans="1:39" s="282" customFormat="1" ht="50.1" customHeight="1" x14ac:dyDescent="0.3">
      <c r="A262" s="487" t="s">
        <v>207</v>
      </c>
      <c r="B262" s="488" t="s">
        <v>143</v>
      </c>
      <c r="C262" s="488" t="s">
        <v>2287</v>
      </c>
      <c r="D262" s="6" t="s">
        <v>204</v>
      </c>
      <c r="E262" s="489">
        <v>43783</v>
      </c>
      <c r="F262" s="488" t="s">
        <v>2288</v>
      </c>
      <c r="G262" s="7" t="s">
        <v>145</v>
      </c>
      <c r="H262" s="488" t="s">
        <v>296</v>
      </c>
      <c r="I262" s="488" t="s">
        <v>2289</v>
      </c>
      <c r="J262" s="6" t="s">
        <v>16</v>
      </c>
      <c r="K262" s="6" t="s">
        <v>298</v>
      </c>
      <c r="L262" s="488" t="s">
        <v>2290</v>
      </c>
      <c r="M262" s="488" t="s">
        <v>17</v>
      </c>
      <c r="N262" s="490" t="s">
        <v>17</v>
      </c>
      <c r="O262" s="488" t="s">
        <v>17</v>
      </c>
      <c r="P262" s="488" t="s">
        <v>17</v>
      </c>
      <c r="Q262" s="488" t="s">
        <v>17</v>
      </c>
      <c r="R262" s="6" t="s">
        <v>96</v>
      </c>
      <c r="S262" s="488" t="s">
        <v>2291</v>
      </c>
      <c r="T262" s="488" t="s">
        <v>21</v>
      </c>
      <c r="U262" s="488" t="s">
        <v>17</v>
      </c>
      <c r="V262" s="488" t="s">
        <v>17</v>
      </c>
      <c r="W262" s="488" t="s">
        <v>17</v>
      </c>
      <c r="X262" s="488" t="s">
        <v>17</v>
      </c>
      <c r="Y262" s="488" t="s">
        <v>17</v>
      </c>
      <c r="Z262" s="488" t="s">
        <v>17</v>
      </c>
      <c r="AA262" s="488" t="s">
        <v>17</v>
      </c>
      <c r="AB262" s="488" t="s">
        <v>17</v>
      </c>
      <c r="AC262" s="488" t="s">
        <v>2292</v>
      </c>
      <c r="AD262" s="488" t="s">
        <v>19</v>
      </c>
      <c r="AE262" s="10" t="s">
        <v>17</v>
      </c>
      <c r="AF262" s="488" t="s">
        <v>2286</v>
      </c>
      <c r="AG262" s="3"/>
      <c r="AH262" s="3"/>
    </row>
    <row r="263" spans="1:39" s="183" customFormat="1" ht="50.1" customHeight="1" x14ac:dyDescent="0.3">
      <c r="A263" s="104">
        <v>653345</v>
      </c>
      <c r="B263" s="104" t="s">
        <v>143</v>
      </c>
      <c r="C263" s="104" t="s">
        <v>2293</v>
      </c>
      <c r="D263" s="104" t="s">
        <v>149</v>
      </c>
      <c r="E263" s="384">
        <v>43524</v>
      </c>
      <c r="F263" s="108" t="s">
        <v>2294</v>
      </c>
      <c r="G263" s="314" t="s">
        <v>147</v>
      </c>
      <c r="H263" s="389" t="s">
        <v>2295</v>
      </c>
      <c r="I263" s="104" t="s">
        <v>2296</v>
      </c>
      <c r="J263" s="6" t="s">
        <v>16</v>
      </c>
      <c r="K263" s="668" t="s">
        <v>781</v>
      </c>
      <c r="L263" s="104" t="s">
        <v>1245</v>
      </c>
      <c r="M263" s="104" t="s">
        <v>17</v>
      </c>
      <c r="N263" s="389" t="s">
        <v>2297</v>
      </c>
      <c r="O263" s="104" t="s">
        <v>2298</v>
      </c>
      <c r="P263" s="370" t="s">
        <v>17</v>
      </c>
      <c r="Q263" s="370" t="s">
        <v>17</v>
      </c>
      <c r="R263" s="6" t="s">
        <v>96</v>
      </c>
      <c r="S263" s="108" t="s">
        <v>2299</v>
      </c>
      <c r="T263" s="370" t="s">
        <v>157</v>
      </c>
      <c r="U263" s="391" t="s">
        <v>208</v>
      </c>
      <c r="V263" s="370" t="s">
        <v>17</v>
      </c>
      <c r="W263" s="398" t="s">
        <v>17</v>
      </c>
      <c r="X263" s="391" t="s">
        <v>17</v>
      </c>
      <c r="Y263" s="370" t="s">
        <v>17</v>
      </c>
      <c r="Z263" s="399" t="s">
        <v>17</v>
      </c>
      <c r="AA263" s="399" t="s">
        <v>17</v>
      </c>
      <c r="AB263" s="370" t="s">
        <v>17</v>
      </c>
      <c r="AC263" s="370" t="s">
        <v>2300</v>
      </c>
      <c r="AD263" s="370" t="s">
        <v>19</v>
      </c>
      <c r="AE263" s="10" t="s">
        <v>17</v>
      </c>
      <c r="AF263" s="104" t="s">
        <v>2301</v>
      </c>
      <c r="AG263" s="5"/>
      <c r="AH263" s="5"/>
      <c r="AI263" s="140"/>
      <c r="AJ263" s="140"/>
      <c r="AK263" s="140"/>
      <c r="AL263" s="140"/>
      <c r="AM263" s="491"/>
    </row>
    <row r="264" spans="1:39" ht="50.1" customHeight="1" x14ac:dyDescent="0.3">
      <c r="A264" s="74">
        <v>653348</v>
      </c>
      <c r="B264" s="371" t="s">
        <v>143</v>
      </c>
      <c r="C264" s="371" t="s">
        <v>2302</v>
      </c>
      <c r="D264" s="371" t="s">
        <v>149</v>
      </c>
      <c r="E264" s="489">
        <v>43538</v>
      </c>
      <c r="F264" s="492" t="s">
        <v>2303</v>
      </c>
      <c r="G264" s="493" t="s">
        <v>147</v>
      </c>
      <c r="H264" s="490" t="s">
        <v>2304</v>
      </c>
      <c r="I264" s="490" t="s">
        <v>2305</v>
      </c>
      <c r="J264" s="6" t="s">
        <v>16</v>
      </c>
      <c r="K264" s="668" t="s">
        <v>781</v>
      </c>
      <c r="L264" s="371" t="s">
        <v>1245</v>
      </c>
      <c r="M264" s="371" t="s">
        <v>17</v>
      </c>
      <c r="N264" s="490" t="s">
        <v>2306</v>
      </c>
      <c r="O264" s="371" t="s">
        <v>2307</v>
      </c>
      <c r="P264" s="494" t="s">
        <v>17</v>
      </c>
      <c r="Q264" s="494" t="s">
        <v>17</v>
      </c>
      <c r="R264" s="6" t="s">
        <v>96</v>
      </c>
      <c r="S264" s="492" t="s">
        <v>2308</v>
      </c>
      <c r="T264" s="494" t="s">
        <v>157</v>
      </c>
      <c r="U264" s="495" t="s">
        <v>209</v>
      </c>
      <c r="V264" s="494" t="s">
        <v>17</v>
      </c>
      <c r="W264" s="494" t="s">
        <v>17</v>
      </c>
      <c r="X264" s="494" t="s">
        <v>17</v>
      </c>
      <c r="Y264" s="494" t="s">
        <v>17</v>
      </c>
      <c r="Z264" s="494" t="s">
        <v>17</v>
      </c>
      <c r="AA264" s="494" t="s">
        <v>17</v>
      </c>
      <c r="AB264" s="494" t="s">
        <v>17</v>
      </c>
      <c r="AC264" s="494" t="s">
        <v>2309</v>
      </c>
      <c r="AD264" s="494" t="s">
        <v>19</v>
      </c>
      <c r="AE264" s="10" t="s">
        <v>17</v>
      </c>
      <c r="AF264" s="371" t="s">
        <v>2310</v>
      </c>
      <c r="AG264" s="5"/>
      <c r="AH264" s="5"/>
    </row>
    <row r="265" spans="1:39" ht="50.1" customHeight="1" x14ac:dyDescent="0.3">
      <c r="A265" s="7">
        <v>610364</v>
      </c>
      <c r="B265" s="227" t="s">
        <v>143</v>
      </c>
      <c r="C265" s="227" t="s">
        <v>2311</v>
      </c>
      <c r="D265" s="227" t="s">
        <v>189</v>
      </c>
      <c r="E265" s="496">
        <v>43698</v>
      </c>
      <c r="F265" s="227" t="s">
        <v>2312</v>
      </c>
      <c r="G265" s="227" t="s">
        <v>147</v>
      </c>
      <c r="H265" s="227" t="s">
        <v>296</v>
      </c>
      <c r="I265" s="227" t="s">
        <v>2313</v>
      </c>
      <c r="J265" s="6" t="s">
        <v>16</v>
      </c>
      <c r="K265" s="6" t="s">
        <v>298</v>
      </c>
      <c r="L265" s="227" t="s">
        <v>2314</v>
      </c>
      <c r="M265" s="227" t="s">
        <v>17</v>
      </c>
      <c r="N265" s="497" t="s">
        <v>2315</v>
      </c>
      <c r="O265" s="227" t="s">
        <v>2316</v>
      </c>
      <c r="P265" s="498" t="s">
        <v>17</v>
      </c>
      <c r="Q265" s="498" t="s">
        <v>17</v>
      </c>
      <c r="R265" s="60" t="s">
        <v>148</v>
      </c>
      <c r="S265" s="499" t="s">
        <v>1807</v>
      </c>
      <c r="T265" s="10" t="s">
        <v>43</v>
      </c>
      <c r="U265" s="500" t="s">
        <v>17</v>
      </c>
      <c r="V265" s="498" t="s">
        <v>17</v>
      </c>
      <c r="W265" s="501" t="s">
        <v>17</v>
      </c>
      <c r="X265" s="500" t="s">
        <v>17</v>
      </c>
      <c r="Y265" s="498" t="s">
        <v>17</v>
      </c>
      <c r="Z265" s="502" t="s">
        <v>17</v>
      </c>
      <c r="AA265" s="502" t="s">
        <v>17</v>
      </c>
      <c r="AB265" s="498" t="s">
        <v>17</v>
      </c>
      <c r="AC265" s="498" t="s">
        <v>2317</v>
      </c>
      <c r="AD265" s="498" t="s">
        <v>24</v>
      </c>
      <c r="AE265" s="10" t="s">
        <v>17</v>
      </c>
      <c r="AF265" s="227" t="s">
        <v>448</v>
      </c>
      <c r="AG265" s="5"/>
      <c r="AH265" s="5"/>
    </row>
    <row r="266" spans="1:39" ht="50.1" customHeight="1" x14ac:dyDescent="0.3">
      <c r="A266" s="7">
        <v>622464</v>
      </c>
      <c r="B266" s="227" t="s">
        <v>143</v>
      </c>
      <c r="C266" s="227" t="s">
        <v>2318</v>
      </c>
      <c r="D266" s="227" t="s">
        <v>149</v>
      </c>
      <c r="E266" s="496">
        <v>43776</v>
      </c>
      <c r="F266" s="503" t="s">
        <v>2319</v>
      </c>
      <c r="G266" s="57" t="s">
        <v>15</v>
      </c>
      <c r="H266" s="227" t="s">
        <v>296</v>
      </c>
      <c r="I266" s="503" t="s">
        <v>2320</v>
      </c>
      <c r="J266" s="6" t="s">
        <v>16</v>
      </c>
      <c r="K266" s="6" t="s">
        <v>298</v>
      </c>
      <c r="L266" s="504" t="s">
        <v>2321</v>
      </c>
      <c r="M266" s="227" t="s">
        <v>17</v>
      </c>
      <c r="N266" s="505" t="s">
        <v>2322</v>
      </c>
      <c r="O266" s="504" t="s">
        <v>2323</v>
      </c>
      <c r="P266" s="498" t="s">
        <v>17</v>
      </c>
      <c r="Q266" s="498" t="s">
        <v>17</v>
      </c>
      <c r="R266" s="6" t="s">
        <v>17</v>
      </c>
      <c r="S266" s="499" t="s">
        <v>2324</v>
      </c>
      <c r="T266" s="504" t="s">
        <v>18</v>
      </c>
      <c r="U266" s="506">
        <v>17387</v>
      </c>
      <c r="V266" s="507">
        <v>6000000000</v>
      </c>
      <c r="W266" s="501" t="s">
        <v>17</v>
      </c>
      <c r="X266" s="501" t="s">
        <v>17</v>
      </c>
      <c r="Y266" s="501" t="s">
        <v>17</v>
      </c>
      <c r="Z266" s="501" t="s">
        <v>17</v>
      </c>
      <c r="AA266" s="501" t="s">
        <v>17</v>
      </c>
      <c r="AB266" s="501" t="s">
        <v>17</v>
      </c>
      <c r="AC266" s="503" t="s">
        <v>2325</v>
      </c>
      <c r="AD266" s="498" t="s">
        <v>19</v>
      </c>
      <c r="AE266" s="10" t="s">
        <v>17</v>
      </c>
      <c r="AF266" s="227" t="s">
        <v>2326</v>
      </c>
      <c r="AG266" s="508" t="s">
        <v>260</v>
      </c>
      <c r="AH266" s="508"/>
    </row>
    <row r="267" spans="1:39" ht="50.1" customHeight="1" x14ac:dyDescent="0.3">
      <c r="A267" s="92">
        <v>716943</v>
      </c>
      <c r="B267" s="228" t="s">
        <v>31</v>
      </c>
      <c r="C267" s="228" t="s">
        <v>2327</v>
      </c>
      <c r="D267" s="228" t="s">
        <v>36</v>
      </c>
      <c r="E267" s="509">
        <v>44818</v>
      </c>
      <c r="F267" s="228" t="s">
        <v>2328</v>
      </c>
      <c r="G267" s="9" t="s">
        <v>33</v>
      </c>
      <c r="H267" s="228" t="s">
        <v>296</v>
      </c>
      <c r="I267" s="228" t="s">
        <v>2329</v>
      </c>
      <c r="J267" s="6" t="s">
        <v>16</v>
      </c>
      <c r="K267" s="6" t="s">
        <v>298</v>
      </c>
      <c r="L267" s="228" t="s">
        <v>444</v>
      </c>
      <c r="M267" s="80" t="s">
        <v>17</v>
      </c>
      <c r="N267" s="229" t="s">
        <v>2330</v>
      </c>
      <c r="O267" s="228" t="s">
        <v>2331</v>
      </c>
      <c r="P267" s="228" t="s">
        <v>17</v>
      </c>
      <c r="Q267" s="228" t="s">
        <v>17</v>
      </c>
      <c r="R267" s="6" t="s">
        <v>96</v>
      </c>
      <c r="S267" s="228">
        <v>1293</v>
      </c>
      <c r="T267" s="32" t="s">
        <v>38</v>
      </c>
      <c r="U267" s="228" t="s">
        <v>17</v>
      </c>
      <c r="V267" s="228" t="s">
        <v>17</v>
      </c>
      <c r="W267" s="228" t="s">
        <v>17</v>
      </c>
      <c r="X267" s="228" t="s">
        <v>17</v>
      </c>
      <c r="Y267" s="228" t="s">
        <v>17</v>
      </c>
      <c r="Z267" s="228" t="s">
        <v>17</v>
      </c>
      <c r="AA267" s="228" t="s">
        <v>17</v>
      </c>
      <c r="AB267" s="228" t="s">
        <v>17</v>
      </c>
      <c r="AC267" s="510" t="s">
        <v>2332</v>
      </c>
      <c r="AD267" s="10" t="s">
        <v>82</v>
      </c>
      <c r="AE267" s="228" t="s">
        <v>439</v>
      </c>
      <c r="AF267" s="228" t="s">
        <v>2333</v>
      </c>
      <c r="AG267" s="3"/>
      <c r="AH267" s="3"/>
    </row>
    <row r="268" spans="1:39" s="282" customFormat="1" ht="50.1" customHeight="1" x14ac:dyDescent="0.2">
      <c r="A268" s="185">
        <v>336186</v>
      </c>
      <c r="B268" s="511" t="s">
        <v>13</v>
      </c>
      <c r="C268" s="511" t="s">
        <v>2334</v>
      </c>
      <c r="D268" s="511" t="s">
        <v>14</v>
      </c>
      <c r="E268" s="512">
        <v>40408</v>
      </c>
      <c r="F268" s="511" t="s">
        <v>2335</v>
      </c>
      <c r="G268" s="6" t="s">
        <v>15</v>
      </c>
      <c r="H268" s="511" t="s">
        <v>2336</v>
      </c>
      <c r="I268" s="511" t="s">
        <v>2337</v>
      </c>
      <c r="J268" s="6" t="s">
        <v>16</v>
      </c>
      <c r="K268" s="6" t="s">
        <v>298</v>
      </c>
      <c r="L268" s="511" t="s">
        <v>2338</v>
      </c>
      <c r="M268" s="511" t="s">
        <v>23</v>
      </c>
      <c r="N268" s="492" t="s">
        <v>2338</v>
      </c>
      <c r="O268" s="511" t="s">
        <v>23</v>
      </c>
      <c r="P268" s="513" t="s">
        <v>23</v>
      </c>
      <c r="Q268" s="513" t="s">
        <v>23</v>
      </c>
      <c r="R268" s="6" t="s">
        <v>17</v>
      </c>
      <c r="S268" s="513" t="s">
        <v>2339</v>
      </c>
      <c r="T268" s="278" t="s">
        <v>17</v>
      </c>
      <c r="U268" s="514" t="s">
        <v>23</v>
      </c>
      <c r="V268" s="513" t="s">
        <v>23</v>
      </c>
      <c r="W268" s="513" t="s">
        <v>23</v>
      </c>
      <c r="X268" s="513" t="s">
        <v>23</v>
      </c>
      <c r="Y268" s="513" t="s">
        <v>23</v>
      </c>
      <c r="Z268" s="515">
        <v>40800</v>
      </c>
      <c r="AA268" s="515">
        <v>41388</v>
      </c>
      <c r="AB268" s="513" t="s">
        <v>2340</v>
      </c>
      <c r="AC268" s="516" t="s">
        <v>2341</v>
      </c>
      <c r="AD268" s="513" t="s">
        <v>24</v>
      </c>
      <c r="AE268" s="10" t="s">
        <v>17</v>
      </c>
      <c r="AF268" s="517" t="s">
        <v>2342</v>
      </c>
      <c r="AG268" s="5"/>
      <c r="AH268" s="5"/>
    </row>
    <row r="269" spans="1:39" ht="50.1" customHeight="1" x14ac:dyDescent="0.3">
      <c r="A269" s="16">
        <v>540276</v>
      </c>
      <c r="B269" s="16" t="s">
        <v>13</v>
      </c>
      <c r="C269" s="16" t="s">
        <v>2343</v>
      </c>
      <c r="D269" s="16" t="s">
        <v>14</v>
      </c>
      <c r="E269" s="420">
        <v>42587</v>
      </c>
      <c r="F269" s="16" t="s">
        <v>2344</v>
      </c>
      <c r="G269" s="16" t="s">
        <v>15</v>
      </c>
      <c r="H269" s="16" t="s">
        <v>2345</v>
      </c>
      <c r="I269" s="16" t="s">
        <v>2346</v>
      </c>
      <c r="J269" s="6" t="s">
        <v>16</v>
      </c>
      <c r="K269" s="6" t="s">
        <v>298</v>
      </c>
      <c r="L269" s="16" t="s">
        <v>2347</v>
      </c>
      <c r="M269" s="16" t="s">
        <v>23</v>
      </c>
      <c r="N269" s="118" t="s">
        <v>2347</v>
      </c>
      <c r="O269" s="16" t="s">
        <v>23</v>
      </c>
      <c r="P269" s="403" t="s">
        <v>23</v>
      </c>
      <c r="Q269" s="403" t="s">
        <v>23</v>
      </c>
      <c r="R269" s="6" t="s">
        <v>17</v>
      </c>
      <c r="S269" s="403" t="s">
        <v>2339</v>
      </c>
      <c r="T269" s="278" t="s">
        <v>17</v>
      </c>
      <c r="U269" s="403" t="s">
        <v>23</v>
      </c>
      <c r="V269" s="403" t="s">
        <v>23</v>
      </c>
      <c r="W269" s="403" t="s">
        <v>23</v>
      </c>
      <c r="X269" s="403" t="s">
        <v>23</v>
      </c>
      <c r="Y269" s="403">
        <f>365000+8861+5400000+182500+730000+1800000+10800000+369428</f>
        <v>19655789</v>
      </c>
      <c r="Z269" s="518" t="s">
        <v>23</v>
      </c>
      <c r="AA269" s="518" t="s">
        <v>23</v>
      </c>
      <c r="AB269" s="518" t="s">
        <v>23</v>
      </c>
      <c r="AC269" s="403" t="s">
        <v>2348</v>
      </c>
      <c r="AD269" s="6" t="s">
        <v>22</v>
      </c>
      <c r="AE269" s="10" t="s">
        <v>17</v>
      </c>
      <c r="AF269" s="403" t="s">
        <v>2349</v>
      </c>
      <c r="AG269" s="5"/>
      <c r="AH269" s="5"/>
    </row>
    <row r="270" spans="1:39" ht="50.1" customHeight="1" x14ac:dyDescent="0.3">
      <c r="A270" s="108" t="s">
        <v>25</v>
      </c>
      <c r="B270" s="519" t="s">
        <v>13</v>
      </c>
      <c r="C270" s="100" t="s">
        <v>2350</v>
      </c>
      <c r="D270" s="100" t="s">
        <v>14</v>
      </c>
      <c r="E270" s="324">
        <v>43893</v>
      </c>
      <c r="F270" s="108" t="s">
        <v>2351</v>
      </c>
      <c r="G270" s="9" t="s">
        <v>15</v>
      </c>
      <c r="H270" s="389" t="s">
        <v>2352</v>
      </c>
      <c r="I270" s="482" t="s">
        <v>772</v>
      </c>
      <c r="J270" s="6" t="s">
        <v>16</v>
      </c>
      <c r="K270" s="6" t="s">
        <v>298</v>
      </c>
      <c r="L270" s="520" t="s">
        <v>2353</v>
      </c>
      <c r="M270" s="521" t="s">
        <v>460</v>
      </c>
      <c r="N270" s="522" t="s">
        <v>2354</v>
      </c>
      <c r="O270" s="523" t="s">
        <v>21</v>
      </c>
      <c r="P270" s="109" t="s">
        <v>17</v>
      </c>
      <c r="Q270" s="109" t="s">
        <v>17</v>
      </c>
      <c r="R270" s="6" t="s">
        <v>17</v>
      </c>
      <c r="S270" s="109" t="s">
        <v>2339</v>
      </c>
      <c r="T270" s="278" t="s">
        <v>17</v>
      </c>
      <c r="U270" s="109" t="s">
        <v>17</v>
      </c>
      <c r="V270" s="109" t="s">
        <v>17</v>
      </c>
      <c r="W270" s="109" t="s">
        <v>17</v>
      </c>
      <c r="X270" s="109" t="s">
        <v>17</v>
      </c>
      <c r="Y270" s="524">
        <v>1000000000</v>
      </c>
      <c r="Z270" s="150" t="s">
        <v>17</v>
      </c>
      <c r="AA270" s="480" t="s">
        <v>17</v>
      </c>
      <c r="AB270" s="150" t="s">
        <v>17</v>
      </c>
      <c r="AC270" s="525" t="s">
        <v>2355</v>
      </c>
      <c r="AD270" s="6" t="s">
        <v>22</v>
      </c>
      <c r="AE270" s="10" t="s">
        <v>17</v>
      </c>
      <c r="AF270" s="320" t="s">
        <v>2356</v>
      </c>
      <c r="AG270" s="5"/>
      <c r="AH270" s="5"/>
    </row>
    <row r="271" spans="1:39" ht="50.1" customHeight="1" x14ac:dyDescent="0.3">
      <c r="A271" s="526">
        <v>681919</v>
      </c>
      <c r="B271" s="106" t="s">
        <v>143</v>
      </c>
      <c r="C271" s="106" t="s">
        <v>2357</v>
      </c>
      <c r="D271" s="527" t="s">
        <v>159</v>
      </c>
      <c r="E271" s="420">
        <v>44439</v>
      </c>
      <c r="F271" s="528" t="s">
        <v>2358</v>
      </c>
      <c r="G271" s="100" t="s">
        <v>15</v>
      </c>
      <c r="H271" s="463" t="s">
        <v>296</v>
      </c>
      <c r="I271" s="463" t="s">
        <v>2359</v>
      </c>
      <c r="J271" s="6" t="s">
        <v>16</v>
      </c>
      <c r="K271" s="6" t="s">
        <v>298</v>
      </c>
      <c r="L271" s="16" t="s">
        <v>159</v>
      </c>
      <c r="M271" s="527" t="s">
        <v>460</v>
      </c>
      <c r="N271" s="529" t="s">
        <v>2360</v>
      </c>
      <c r="O271" s="527" t="s">
        <v>2361</v>
      </c>
      <c r="P271" s="403" t="s">
        <v>17</v>
      </c>
      <c r="Q271" s="530" t="s">
        <v>17</v>
      </c>
      <c r="R271" s="60" t="s">
        <v>148</v>
      </c>
      <c r="S271" s="118" t="s">
        <v>2362</v>
      </c>
      <c r="T271" s="10" t="s">
        <v>46</v>
      </c>
      <c r="U271" s="530" t="s">
        <v>210</v>
      </c>
      <c r="V271" s="531" t="s">
        <v>17</v>
      </c>
      <c r="W271" s="531" t="s">
        <v>17</v>
      </c>
      <c r="X271" s="531" t="s">
        <v>17</v>
      </c>
      <c r="Y271" s="531" t="s">
        <v>17</v>
      </c>
      <c r="Z271" s="531" t="s">
        <v>17</v>
      </c>
      <c r="AA271" s="531" t="s">
        <v>17</v>
      </c>
      <c r="AB271" s="531" t="s">
        <v>17</v>
      </c>
      <c r="AC271" s="432" t="s">
        <v>2363</v>
      </c>
      <c r="AD271" s="432" t="s">
        <v>19</v>
      </c>
      <c r="AE271" s="10" t="s">
        <v>17</v>
      </c>
      <c r="AF271" s="106" t="s">
        <v>2364</v>
      </c>
      <c r="AG271" s="14"/>
      <c r="AH271" s="14"/>
    </row>
    <row r="272" spans="1:39" ht="50.1" customHeight="1" x14ac:dyDescent="0.3">
      <c r="A272" s="100">
        <v>651225</v>
      </c>
      <c r="B272" s="100" t="s">
        <v>143</v>
      </c>
      <c r="C272" s="108" t="s">
        <v>2365</v>
      </c>
      <c r="D272" s="100" t="s">
        <v>149</v>
      </c>
      <c r="E272" s="324">
        <v>42354</v>
      </c>
      <c r="F272" s="108" t="s">
        <v>2366</v>
      </c>
      <c r="G272" s="100" t="s">
        <v>15</v>
      </c>
      <c r="H272" s="389" t="s">
        <v>2367</v>
      </c>
      <c r="I272" s="389" t="s">
        <v>2368</v>
      </c>
      <c r="J272" s="6" t="s">
        <v>16</v>
      </c>
      <c r="K272" s="6" t="s">
        <v>327</v>
      </c>
      <c r="L272" s="100" t="s">
        <v>149</v>
      </c>
      <c r="M272" s="100" t="s">
        <v>460</v>
      </c>
      <c r="N272" s="532" t="s">
        <v>2369</v>
      </c>
      <c r="O272" s="16" t="s">
        <v>1333</v>
      </c>
      <c r="P272" s="403" t="s">
        <v>17</v>
      </c>
      <c r="Q272" s="403" t="s">
        <v>17</v>
      </c>
      <c r="R272" s="150" t="s">
        <v>211</v>
      </c>
      <c r="S272" s="108" t="s">
        <v>2370</v>
      </c>
      <c r="T272" s="138" t="s">
        <v>157</v>
      </c>
      <c r="U272" s="107"/>
      <c r="V272" s="150" t="s">
        <v>17</v>
      </c>
      <c r="W272" s="150" t="s">
        <v>17</v>
      </c>
      <c r="X272" s="150" t="s">
        <v>17</v>
      </c>
      <c r="Y272" s="150" t="s">
        <v>17</v>
      </c>
      <c r="Z272" s="150" t="s">
        <v>17</v>
      </c>
      <c r="AA272" s="150" t="s">
        <v>17</v>
      </c>
      <c r="AB272" s="150" t="s">
        <v>17</v>
      </c>
      <c r="AC272" s="100" t="s">
        <v>2371</v>
      </c>
      <c r="AD272" s="100" t="s">
        <v>19</v>
      </c>
      <c r="AE272" s="10" t="s">
        <v>17</v>
      </c>
      <c r="AF272" s="16" t="s">
        <v>2372</v>
      </c>
      <c r="AG272" s="5"/>
      <c r="AH272" s="5"/>
    </row>
    <row r="273" spans="1:37" s="3" customFormat="1" ht="50.1" customHeight="1" x14ac:dyDescent="0.3">
      <c r="A273" s="74">
        <v>670186</v>
      </c>
      <c r="B273" s="106" t="s">
        <v>143</v>
      </c>
      <c r="C273" s="106" t="s">
        <v>2373</v>
      </c>
      <c r="D273" s="106" t="s">
        <v>149</v>
      </c>
      <c r="E273" s="401">
        <v>43524</v>
      </c>
      <c r="F273" s="106" t="s">
        <v>487</v>
      </c>
      <c r="G273" s="106" t="s">
        <v>147</v>
      </c>
      <c r="H273" s="106" t="s">
        <v>2374</v>
      </c>
      <c r="I273" s="106" t="s">
        <v>2375</v>
      </c>
      <c r="J273" s="6" t="s">
        <v>16</v>
      </c>
      <c r="K273" s="6" t="s">
        <v>327</v>
      </c>
      <c r="L273" s="74" t="s">
        <v>1245</v>
      </c>
      <c r="M273" s="106" t="s">
        <v>17</v>
      </c>
      <c r="N273" s="533" t="s">
        <v>2376</v>
      </c>
      <c r="O273" s="106" t="s">
        <v>2377</v>
      </c>
      <c r="P273" s="534" t="s">
        <v>17</v>
      </c>
      <c r="Q273" s="534" t="s">
        <v>17</v>
      </c>
      <c r="R273" s="6" t="s">
        <v>96</v>
      </c>
      <c r="S273" s="535" t="s">
        <v>2378</v>
      </c>
      <c r="T273" s="432" t="s">
        <v>85</v>
      </c>
      <c r="U273" s="536" t="s">
        <v>183</v>
      </c>
      <c r="V273" s="534" t="s">
        <v>17</v>
      </c>
      <c r="W273" s="537" t="s">
        <v>17</v>
      </c>
      <c r="X273" s="536" t="s">
        <v>17</v>
      </c>
      <c r="Y273" s="534" t="s">
        <v>17</v>
      </c>
      <c r="Z273" s="538" t="s">
        <v>17</v>
      </c>
      <c r="AA273" s="538" t="s">
        <v>17</v>
      </c>
      <c r="AB273" s="534" t="s">
        <v>17</v>
      </c>
      <c r="AC273" s="435" t="s">
        <v>2379</v>
      </c>
      <c r="AD273" s="432" t="s">
        <v>19</v>
      </c>
      <c r="AE273" s="10" t="s">
        <v>17</v>
      </c>
      <c r="AF273" s="104" t="s">
        <v>2380</v>
      </c>
      <c r="AG273" s="5"/>
      <c r="AH273" s="5"/>
    </row>
    <row r="274" spans="1:37" ht="50.1" customHeight="1" x14ac:dyDescent="0.3">
      <c r="A274" s="104">
        <v>653354</v>
      </c>
      <c r="B274" s="106" t="s">
        <v>143</v>
      </c>
      <c r="C274" s="106" t="s">
        <v>2381</v>
      </c>
      <c r="D274" s="106" t="s">
        <v>149</v>
      </c>
      <c r="E274" s="401">
        <v>43685</v>
      </c>
      <c r="F274" s="118" t="s">
        <v>2382</v>
      </c>
      <c r="G274" s="539" t="s">
        <v>147</v>
      </c>
      <c r="H274" s="463" t="s">
        <v>2383</v>
      </c>
      <c r="I274" s="527" t="s">
        <v>2384</v>
      </c>
      <c r="J274" s="6" t="s">
        <v>16</v>
      </c>
      <c r="K274" s="668" t="s">
        <v>781</v>
      </c>
      <c r="L274" s="106" t="s">
        <v>1245</v>
      </c>
      <c r="M274" s="106" t="s">
        <v>17</v>
      </c>
      <c r="N274" s="463" t="s">
        <v>2385</v>
      </c>
      <c r="O274" s="430" t="s">
        <v>2386</v>
      </c>
      <c r="P274" s="432" t="s">
        <v>17</v>
      </c>
      <c r="Q274" s="432" t="s">
        <v>17</v>
      </c>
      <c r="R274" s="6" t="s">
        <v>96</v>
      </c>
      <c r="S274" s="118" t="s">
        <v>2387</v>
      </c>
      <c r="T274" s="432" t="s">
        <v>212</v>
      </c>
      <c r="U274" s="434" t="s">
        <v>213</v>
      </c>
      <c r="V274" s="432" t="s">
        <v>17</v>
      </c>
      <c r="W274" s="432" t="s">
        <v>17</v>
      </c>
      <c r="X274" s="432" t="s">
        <v>17</v>
      </c>
      <c r="Y274" s="432" t="s">
        <v>17</v>
      </c>
      <c r="Z274" s="432" t="s">
        <v>17</v>
      </c>
      <c r="AA274" s="432" t="s">
        <v>17</v>
      </c>
      <c r="AB274" s="432" t="s">
        <v>17</v>
      </c>
      <c r="AC274" s="432" t="s">
        <v>2388</v>
      </c>
      <c r="AD274" s="432" t="s">
        <v>19</v>
      </c>
      <c r="AE274" s="10" t="s">
        <v>17</v>
      </c>
      <c r="AF274" s="439" t="s">
        <v>2389</v>
      </c>
      <c r="AG274" s="5"/>
      <c r="AH274" s="5"/>
    </row>
    <row r="275" spans="1:37" ht="50.1" customHeight="1" x14ac:dyDescent="0.3">
      <c r="A275" s="106">
        <v>653363</v>
      </c>
      <c r="B275" s="429" t="s">
        <v>143</v>
      </c>
      <c r="C275" s="106" t="s">
        <v>2390</v>
      </c>
      <c r="D275" s="106" t="s">
        <v>149</v>
      </c>
      <c r="E275" s="401">
        <v>43712</v>
      </c>
      <c r="F275" s="118" t="s">
        <v>2391</v>
      </c>
      <c r="G275" s="540" t="s">
        <v>147</v>
      </c>
      <c r="H275" s="463" t="s">
        <v>2392</v>
      </c>
      <c r="I275" s="463" t="s">
        <v>2393</v>
      </c>
      <c r="J275" s="6" t="s">
        <v>16</v>
      </c>
      <c r="K275" s="668" t="s">
        <v>781</v>
      </c>
      <c r="L275" s="106" t="s">
        <v>1245</v>
      </c>
      <c r="M275" s="429" t="s">
        <v>17</v>
      </c>
      <c r="N275" s="541" t="s">
        <v>2394</v>
      </c>
      <c r="O275" s="106" t="s">
        <v>2395</v>
      </c>
      <c r="P275" s="106" t="s">
        <v>17</v>
      </c>
      <c r="Q275" s="429" t="s">
        <v>17</v>
      </c>
      <c r="R275" s="6" t="s">
        <v>96</v>
      </c>
      <c r="S275" s="463" t="s">
        <v>2396</v>
      </c>
      <c r="T275" s="106" t="s">
        <v>55</v>
      </c>
      <c r="U275" s="106" t="s">
        <v>214</v>
      </c>
      <c r="V275" s="432" t="s">
        <v>17</v>
      </c>
      <c r="W275" s="542" t="s">
        <v>17</v>
      </c>
      <c r="X275" s="434" t="s">
        <v>17</v>
      </c>
      <c r="Y275" s="432" t="s">
        <v>17</v>
      </c>
      <c r="Z275" s="435" t="s">
        <v>17</v>
      </c>
      <c r="AA275" s="435" t="s">
        <v>17</v>
      </c>
      <c r="AB275" s="432" t="s">
        <v>17</v>
      </c>
      <c r="AC275" s="429" t="s">
        <v>2397</v>
      </c>
      <c r="AD275" s="106" t="s">
        <v>19</v>
      </c>
      <c r="AE275" s="10" t="s">
        <v>17</v>
      </c>
      <c r="AF275" s="106" t="s">
        <v>1809</v>
      </c>
      <c r="AG275" s="5"/>
      <c r="AH275" s="5"/>
    </row>
    <row r="276" spans="1:37" ht="50.1" customHeight="1" x14ac:dyDescent="0.3">
      <c r="A276" s="100">
        <v>651244</v>
      </c>
      <c r="B276" s="100" t="s">
        <v>143</v>
      </c>
      <c r="C276" s="389" t="s">
        <v>2398</v>
      </c>
      <c r="D276" s="100" t="s">
        <v>149</v>
      </c>
      <c r="E276" s="324">
        <v>42940</v>
      </c>
      <c r="F276" s="108" t="s">
        <v>2399</v>
      </c>
      <c r="G276" s="100" t="s">
        <v>15</v>
      </c>
      <c r="H276" s="389" t="s">
        <v>2400</v>
      </c>
      <c r="I276" s="389" t="s">
        <v>2401</v>
      </c>
      <c r="J276" s="6" t="s">
        <v>16</v>
      </c>
      <c r="K276" s="6" t="s">
        <v>327</v>
      </c>
      <c r="L276" s="100" t="s">
        <v>149</v>
      </c>
      <c r="M276" s="100" t="s">
        <v>460</v>
      </c>
      <c r="N276" s="532" t="s">
        <v>2402</v>
      </c>
      <c r="O276" s="100" t="s">
        <v>1333</v>
      </c>
      <c r="P276" s="109" t="s">
        <v>17</v>
      </c>
      <c r="Q276" s="109" t="s">
        <v>17</v>
      </c>
      <c r="R276" s="48" t="s">
        <v>185</v>
      </c>
      <c r="S276" s="108" t="s">
        <v>2403</v>
      </c>
      <c r="T276" s="138" t="s">
        <v>157</v>
      </c>
      <c r="U276" s="107"/>
      <c r="V276" s="150" t="s">
        <v>17</v>
      </c>
      <c r="W276" s="150" t="s">
        <v>17</v>
      </c>
      <c r="X276" s="150" t="s">
        <v>17</v>
      </c>
      <c r="Y276" s="150" t="s">
        <v>17</v>
      </c>
      <c r="Z276" s="150" t="s">
        <v>17</v>
      </c>
      <c r="AA276" s="150" t="s">
        <v>17</v>
      </c>
      <c r="AB276" s="150" t="s">
        <v>17</v>
      </c>
      <c r="AC276" s="100" t="s">
        <v>2371</v>
      </c>
      <c r="AD276" s="100" t="s">
        <v>19</v>
      </c>
      <c r="AE276" s="10" t="s">
        <v>17</v>
      </c>
      <c r="AF276" s="100" t="s">
        <v>2404</v>
      </c>
      <c r="AG276" s="5"/>
      <c r="AH276" s="5"/>
    </row>
    <row r="277" spans="1:37" ht="50.1" customHeight="1" x14ac:dyDescent="0.3">
      <c r="A277" s="543">
        <v>802138</v>
      </c>
      <c r="B277" s="543" t="s">
        <v>143</v>
      </c>
      <c r="C277" s="543" t="s">
        <v>2405</v>
      </c>
      <c r="D277" s="543" t="s">
        <v>149</v>
      </c>
      <c r="E277" s="544">
        <v>44392</v>
      </c>
      <c r="F277" s="543" t="s">
        <v>2406</v>
      </c>
      <c r="G277" s="543" t="s">
        <v>147</v>
      </c>
      <c r="H277" s="543" t="s">
        <v>2407</v>
      </c>
      <c r="I277" s="543" t="s">
        <v>2408</v>
      </c>
      <c r="J277" s="6" t="s">
        <v>16</v>
      </c>
      <c r="K277" s="6" t="s">
        <v>327</v>
      </c>
      <c r="L277" s="543" t="s">
        <v>2409</v>
      </c>
      <c r="M277" s="543" t="s">
        <v>23</v>
      </c>
      <c r="N277" s="543" t="s">
        <v>2409</v>
      </c>
      <c r="O277" s="543" t="s">
        <v>2410</v>
      </c>
      <c r="P277" s="543" t="s">
        <v>23</v>
      </c>
      <c r="Q277" s="543" t="s">
        <v>23</v>
      </c>
      <c r="R277" s="10" t="s">
        <v>163</v>
      </c>
      <c r="S277" s="543" t="s">
        <v>2411</v>
      </c>
      <c r="T277" s="543" t="s">
        <v>212</v>
      </c>
      <c r="U277" s="543" t="s">
        <v>215</v>
      </c>
      <c r="V277" s="543" t="s">
        <v>23</v>
      </c>
      <c r="W277" s="543" t="s">
        <v>23</v>
      </c>
      <c r="X277" s="543" t="s">
        <v>23</v>
      </c>
      <c r="Y277" s="543" t="s">
        <v>23</v>
      </c>
      <c r="Z277" s="543" t="s">
        <v>23</v>
      </c>
      <c r="AA277" s="543" t="s">
        <v>23</v>
      </c>
      <c r="AB277" s="543" t="s">
        <v>23</v>
      </c>
      <c r="AC277" s="543" t="s">
        <v>2412</v>
      </c>
      <c r="AD277" s="543" t="s">
        <v>19</v>
      </c>
      <c r="AE277" s="10" t="s">
        <v>17</v>
      </c>
      <c r="AF277" s="543" t="s">
        <v>1320</v>
      </c>
    </row>
    <row r="278" spans="1:37" ht="50.1" customHeight="1" x14ac:dyDescent="0.3">
      <c r="A278" s="519">
        <v>651298</v>
      </c>
      <c r="B278" s="545" t="s">
        <v>143</v>
      </c>
      <c r="C278" s="546" t="s">
        <v>2413</v>
      </c>
      <c r="D278" s="547" t="s">
        <v>149</v>
      </c>
      <c r="E278" s="548">
        <v>43703</v>
      </c>
      <c r="F278" s="549" t="s">
        <v>2414</v>
      </c>
      <c r="G278" s="550" t="s">
        <v>15</v>
      </c>
      <c r="H278" s="551" t="s">
        <v>2415</v>
      </c>
      <c r="I278" s="551" t="s">
        <v>2416</v>
      </c>
      <c r="J278" s="6" t="s">
        <v>16</v>
      </c>
      <c r="K278" s="6" t="s">
        <v>327</v>
      </c>
      <c r="L278" s="547" t="s">
        <v>1678</v>
      </c>
      <c r="M278" s="547" t="s">
        <v>460</v>
      </c>
      <c r="N278" s="552" t="s">
        <v>2417</v>
      </c>
      <c r="O278" s="553" t="s">
        <v>2418</v>
      </c>
      <c r="P278" s="554" t="s">
        <v>17</v>
      </c>
      <c r="Q278" s="550" t="s">
        <v>17</v>
      </c>
      <c r="R278" s="48" t="s">
        <v>185</v>
      </c>
      <c r="S278" s="551" t="s">
        <v>2419</v>
      </c>
      <c r="T278" s="554" t="s">
        <v>212</v>
      </c>
      <c r="U278" s="555" t="s">
        <v>216</v>
      </c>
      <c r="V278" s="554" t="s">
        <v>17</v>
      </c>
      <c r="W278" s="554" t="s">
        <v>17</v>
      </c>
      <c r="X278" s="554" t="s">
        <v>17</v>
      </c>
      <c r="Y278" s="554" t="s">
        <v>17</v>
      </c>
      <c r="Z278" s="554" t="s">
        <v>17</v>
      </c>
      <c r="AA278" s="554" t="s">
        <v>17</v>
      </c>
      <c r="AB278" s="554" t="s">
        <v>17</v>
      </c>
      <c r="AC278" s="555" t="s">
        <v>2420</v>
      </c>
      <c r="AD278" s="555" t="s">
        <v>24</v>
      </c>
      <c r="AE278" s="10" t="s">
        <v>17</v>
      </c>
      <c r="AF278" s="556" t="s">
        <v>2421</v>
      </c>
      <c r="AG278" s="5"/>
      <c r="AH278" s="5"/>
    </row>
    <row r="279" spans="1:37" ht="50.1" customHeight="1" x14ac:dyDescent="0.3">
      <c r="A279" s="557">
        <v>681132</v>
      </c>
      <c r="B279" s="558" t="s">
        <v>143</v>
      </c>
      <c r="C279" s="118" t="s">
        <v>2422</v>
      </c>
      <c r="D279" s="16" t="s">
        <v>189</v>
      </c>
      <c r="E279" s="559">
        <v>43614</v>
      </c>
      <c r="F279" s="560" t="s">
        <v>2423</v>
      </c>
      <c r="G279" s="16" t="s">
        <v>15</v>
      </c>
      <c r="H279" s="463" t="s">
        <v>2424</v>
      </c>
      <c r="I279" s="463" t="s">
        <v>2425</v>
      </c>
      <c r="J279" s="6" t="s">
        <v>16</v>
      </c>
      <c r="K279" s="6" t="s">
        <v>327</v>
      </c>
      <c r="L279" s="16" t="s">
        <v>149</v>
      </c>
      <c r="M279" s="527" t="s">
        <v>460</v>
      </c>
      <c r="N279" s="561" t="s">
        <v>2426</v>
      </c>
      <c r="O279" s="562" t="s">
        <v>1333</v>
      </c>
      <c r="P279" s="403" t="s">
        <v>460</v>
      </c>
      <c r="Q279" s="403" t="s">
        <v>460</v>
      </c>
      <c r="R279" s="48" t="s">
        <v>185</v>
      </c>
      <c r="S279" s="563" t="s">
        <v>2427</v>
      </c>
      <c r="T279" s="477" t="s">
        <v>157</v>
      </c>
      <c r="U279" s="530" t="s">
        <v>217</v>
      </c>
      <c r="V279" s="527" t="s">
        <v>17</v>
      </c>
      <c r="W279" s="527" t="s">
        <v>17</v>
      </c>
      <c r="X279" s="527" t="s">
        <v>17</v>
      </c>
      <c r="Y279" s="527" t="s">
        <v>17</v>
      </c>
      <c r="Z279" s="538" t="s">
        <v>17</v>
      </c>
      <c r="AA279" s="538" t="s">
        <v>17</v>
      </c>
      <c r="AB279" s="534" t="s">
        <v>17</v>
      </c>
      <c r="AC279" s="403" t="s">
        <v>2428</v>
      </c>
      <c r="AD279" s="403" t="s">
        <v>19</v>
      </c>
      <c r="AE279" s="10" t="s">
        <v>17</v>
      </c>
      <c r="AF279" s="106" t="s">
        <v>2429</v>
      </c>
      <c r="AG279" s="5"/>
      <c r="AH279" s="5"/>
      <c r="AI279" s="215"/>
      <c r="AJ279" s="215"/>
      <c r="AK279" s="215"/>
    </row>
    <row r="280" spans="1:37" ht="50.1" customHeight="1" x14ac:dyDescent="0.3">
      <c r="A280" s="114">
        <v>461971</v>
      </c>
      <c r="B280" s="6" t="s">
        <v>137</v>
      </c>
      <c r="C280" s="100" t="s">
        <v>2430</v>
      </c>
      <c r="D280" s="100" t="s">
        <v>151</v>
      </c>
      <c r="E280" s="324">
        <v>41836</v>
      </c>
      <c r="F280" s="100" t="s">
        <v>450</v>
      </c>
      <c r="G280" s="100" t="s">
        <v>15</v>
      </c>
      <c r="H280" s="100" t="s">
        <v>296</v>
      </c>
      <c r="I280" s="100" t="s">
        <v>2431</v>
      </c>
      <c r="J280" s="6" t="s">
        <v>16</v>
      </c>
      <c r="K280" s="6" t="s">
        <v>298</v>
      </c>
      <c r="L280" s="100" t="s">
        <v>2432</v>
      </c>
      <c r="M280" s="100" t="s">
        <v>23</v>
      </c>
      <c r="N280" s="108" t="s">
        <v>2432</v>
      </c>
      <c r="O280" s="100" t="s">
        <v>23</v>
      </c>
      <c r="P280" s="109">
        <v>23000000</v>
      </c>
      <c r="Q280" s="109" t="s">
        <v>23</v>
      </c>
      <c r="R280" s="6" t="s">
        <v>96</v>
      </c>
      <c r="S280" s="109" t="s">
        <v>2433</v>
      </c>
      <c r="T280" s="109" t="s">
        <v>57</v>
      </c>
      <c r="U280" s="110" t="s">
        <v>23</v>
      </c>
      <c r="V280" s="109" t="s">
        <v>23</v>
      </c>
      <c r="W280" s="109" t="s">
        <v>23</v>
      </c>
      <c r="X280" s="109" t="s">
        <v>23</v>
      </c>
      <c r="Y280" s="109" t="s">
        <v>23</v>
      </c>
      <c r="Z280" s="395" t="s">
        <v>23</v>
      </c>
      <c r="AA280" s="109" t="s">
        <v>23</v>
      </c>
      <c r="AB280" s="109" t="s">
        <v>23</v>
      </c>
      <c r="AC280" s="109" t="s">
        <v>2434</v>
      </c>
      <c r="AD280" s="6" t="s">
        <v>22</v>
      </c>
      <c r="AE280" s="10" t="s">
        <v>17</v>
      </c>
      <c r="AF280" s="109" t="s">
        <v>2435</v>
      </c>
      <c r="AG280" s="14"/>
      <c r="AH280" s="14"/>
    </row>
    <row r="281" spans="1:37" s="282" customFormat="1" ht="50.1" customHeight="1" x14ac:dyDescent="0.2">
      <c r="A281" s="543">
        <v>789394</v>
      </c>
      <c r="B281" s="543" t="s">
        <v>143</v>
      </c>
      <c r="C281" s="543" t="s">
        <v>2436</v>
      </c>
      <c r="D281" s="543" t="s">
        <v>189</v>
      </c>
      <c r="E281" s="544">
        <v>44574</v>
      </c>
      <c r="F281" s="543" t="s">
        <v>2437</v>
      </c>
      <c r="G281" s="543" t="s">
        <v>147</v>
      </c>
      <c r="H281" s="543" t="s">
        <v>2438</v>
      </c>
      <c r="I281" s="147" t="s">
        <v>2439</v>
      </c>
      <c r="J281" s="6" t="s">
        <v>16</v>
      </c>
      <c r="K281" s="6" t="s">
        <v>327</v>
      </c>
      <c r="L281" s="543" t="s">
        <v>2440</v>
      </c>
      <c r="M281" s="543" t="s">
        <v>183</v>
      </c>
      <c r="N281" s="543" t="s">
        <v>2440</v>
      </c>
      <c r="O281" s="543" t="s">
        <v>2441</v>
      </c>
      <c r="P281" s="543" t="s">
        <v>2442</v>
      </c>
      <c r="Q281" s="543" t="s">
        <v>65</v>
      </c>
      <c r="R281" s="6" t="s">
        <v>96</v>
      </c>
      <c r="S281" s="543" t="s">
        <v>2443</v>
      </c>
      <c r="T281" s="32" t="s">
        <v>38</v>
      </c>
      <c r="U281" s="543" t="s">
        <v>218</v>
      </c>
      <c r="V281" s="543" t="s">
        <v>65</v>
      </c>
      <c r="W281" s="543" t="s">
        <v>65</v>
      </c>
      <c r="X281" s="543" t="s">
        <v>65</v>
      </c>
      <c r="Y281" s="543" t="s">
        <v>65</v>
      </c>
      <c r="Z281" s="543" t="s">
        <v>65</v>
      </c>
      <c r="AA281" s="543" t="s">
        <v>65</v>
      </c>
      <c r="AB281" s="543" t="s">
        <v>65</v>
      </c>
      <c r="AC281" s="543" t="s">
        <v>2444</v>
      </c>
      <c r="AD281" s="543" t="s">
        <v>82</v>
      </c>
      <c r="AE281" s="10" t="s">
        <v>17</v>
      </c>
      <c r="AF281" s="543" t="s">
        <v>2445</v>
      </c>
    </row>
    <row r="282" spans="1:37" s="566" customFormat="1" ht="50.1" customHeight="1" x14ac:dyDescent="0.2">
      <c r="A282" s="406" t="s">
        <v>219</v>
      </c>
      <c r="B282" s="406" t="s">
        <v>143</v>
      </c>
      <c r="C282" s="406" t="s">
        <v>2446</v>
      </c>
      <c r="D282" s="7" t="s">
        <v>144</v>
      </c>
      <c r="E282" s="457">
        <v>45309</v>
      </c>
      <c r="F282" s="406" t="s">
        <v>2447</v>
      </c>
      <c r="G282" s="7" t="s">
        <v>145</v>
      </c>
      <c r="H282" s="406" t="s">
        <v>296</v>
      </c>
      <c r="I282" s="406" t="s">
        <v>2448</v>
      </c>
      <c r="J282" s="6" t="s">
        <v>16</v>
      </c>
      <c r="K282" s="6" t="s">
        <v>298</v>
      </c>
      <c r="L282" s="406" t="s">
        <v>254</v>
      </c>
      <c r="M282" s="406" t="s">
        <v>17</v>
      </c>
      <c r="N282" s="223" t="s">
        <v>2449</v>
      </c>
      <c r="O282" s="406" t="s">
        <v>2450</v>
      </c>
      <c r="P282" s="406" t="s">
        <v>17</v>
      </c>
      <c r="Q282" s="406" t="s">
        <v>17</v>
      </c>
      <c r="R282" s="6" t="s">
        <v>96</v>
      </c>
      <c r="S282" s="406" t="s">
        <v>2451</v>
      </c>
      <c r="T282" s="32" t="s">
        <v>38</v>
      </c>
      <c r="U282" s="406" t="s">
        <v>17</v>
      </c>
      <c r="V282" s="406" t="s">
        <v>17</v>
      </c>
      <c r="W282" s="406" t="s">
        <v>17</v>
      </c>
      <c r="X282" s="406" t="s">
        <v>17</v>
      </c>
      <c r="Y282" s="406" t="s">
        <v>17</v>
      </c>
      <c r="Z282" s="406" t="s">
        <v>17</v>
      </c>
      <c r="AA282" s="406" t="s">
        <v>17</v>
      </c>
      <c r="AB282" s="406" t="s">
        <v>17</v>
      </c>
      <c r="AC282" s="564" t="s">
        <v>2452</v>
      </c>
      <c r="AD282" s="565" t="s">
        <v>19</v>
      </c>
      <c r="AE282" s="10" t="s">
        <v>17</v>
      </c>
      <c r="AF282" s="565" t="s">
        <v>768</v>
      </c>
    </row>
    <row r="283" spans="1:37" s="282" customFormat="1" ht="50.1" customHeight="1" x14ac:dyDescent="0.2">
      <c r="A283" s="406">
        <v>795756</v>
      </c>
      <c r="B283" s="152" t="s">
        <v>227</v>
      </c>
      <c r="C283" s="152" t="s">
        <v>2453</v>
      </c>
      <c r="D283" s="567" t="s">
        <v>227</v>
      </c>
      <c r="E283" s="171">
        <v>45507</v>
      </c>
      <c r="F283" s="568" t="s">
        <v>2454</v>
      </c>
      <c r="G283" s="31" t="s">
        <v>229</v>
      </c>
      <c r="H283" s="152" t="s">
        <v>296</v>
      </c>
      <c r="I283" s="152" t="s">
        <v>1023</v>
      </c>
      <c r="J283" s="6" t="s">
        <v>16</v>
      </c>
      <c r="K283" s="152" t="s">
        <v>1024</v>
      </c>
      <c r="L283" s="152"/>
      <c r="M283" s="152" t="s">
        <v>2455</v>
      </c>
      <c r="N283" s="175" t="s">
        <v>2456</v>
      </c>
      <c r="O283" s="152" t="s">
        <v>2457</v>
      </c>
      <c r="P283" s="282" t="s">
        <v>17</v>
      </c>
      <c r="Q283" s="152" t="s">
        <v>17</v>
      </c>
      <c r="R283" s="152" t="s">
        <v>238</v>
      </c>
      <c r="S283" s="152" t="s">
        <v>2458</v>
      </c>
      <c r="T283" s="10" t="s">
        <v>43</v>
      </c>
      <c r="U283" s="152" t="s">
        <v>17</v>
      </c>
      <c r="V283" s="152" t="s">
        <v>17</v>
      </c>
      <c r="W283" s="152" t="s">
        <v>17</v>
      </c>
      <c r="X283" s="152" t="s">
        <v>17</v>
      </c>
      <c r="Y283" s="152" t="s">
        <v>17</v>
      </c>
      <c r="Z283" s="152" t="s">
        <v>17</v>
      </c>
      <c r="AA283" s="152" t="s">
        <v>17</v>
      </c>
      <c r="AB283" s="152" t="s">
        <v>17</v>
      </c>
      <c r="AC283" s="567" t="s">
        <v>2459</v>
      </c>
      <c r="AD283" s="569" t="s">
        <v>19</v>
      </c>
      <c r="AE283" s="10" t="s">
        <v>17</v>
      </c>
      <c r="AF283" s="569" t="s">
        <v>750</v>
      </c>
    </row>
    <row r="284" spans="1:37" s="282" customFormat="1" ht="50.1" customHeight="1" x14ac:dyDescent="0.3">
      <c r="A284" s="60">
        <v>727718</v>
      </c>
      <c r="B284" s="73" t="s">
        <v>143</v>
      </c>
      <c r="C284" s="73" t="s">
        <v>2460</v>
      </c>
      <c r="D284" s="570" t="s">
        <v>144</v>
      </c>
      <c r="E284" s="571">
        <v>44804</v>
      </c>
      <c r="F284" s="125" t="s">
        <v>2461</v>
      </c>
      <c r="G284" s="199" t="s">
        <v>147</v>
      </c>
      <c r="H284" s="117" t="s">
        <v>296</v>
      </c>
      <c r="I284" s="117" t="s">
        <v>2462</v>
      </c>
      <c r="J284" s="6" t="s">
        <v>16</v>
      </c>
      <c r="K284" s="6" t="s">
        <v>298</v>
      </c>
      <c r="L284" s="117" t="s">
        <v>2463</v>
      </c>
      <c r="M284" s="117" t="s">
        <v>23</v>
      </c>
      <c r="N284" s="199" t="s">
        <v>2464</v>
      </c>
      <c r="O284" s="117" t="s">
        <v>2465</v>
      </c>
      <c r="P284" s="117" t="s">
        <v>23</v>
      </c>
      <c r="Q284" s="117" t="s">
        <v>23</v>
      </c>
      <c r="R284" s="10" t="s">
        <v>163</v>
      </c>
      <c r="S284" s="117" t="s">
        <v>2466</v>
      </c>
      <c r="T284" s="287" t="s">
        <v>59</v>
      </c>
      <c r="U284" s="117" t="s">
        <v>220</v>
      </c>
      <c r="V284" s="117" t="s">
        <v>23</v>
      </c>
      <c r="W284" s="117" t="s">
        <v>23</v>
      </c>
      <c r="X284" s="117" t="s">
        <v>23</v>
      </c>
      <c r="Y284" s="117" t="s">
        <v>17</v>
      </c>
      <c r="Z284" s="117" t="s">
        <v>23</v>
      </c>
      <c r="AA284" s="117" t="s">
        <v>17</v>
      </c>
      <c r="AB284" s="117" t="s">
        <v>23</v>
      </c>
      <c r="AC284" s="73" t="s">
        <v>2467</v>
      </c>
      <c r="AD284" s="60" t="s">
        <v>19</v>
      </c>
      <c r="AE284" s="10" t="s">
        <v>17</v>
      </c>
      <c r="AF284" s="73" t="s">
        <v>2468</v>
      </c>
      <c r="AG284" s="140"/>
      <c r="AH284" s="140"/>
    </row>
    <row r="285" spans="1:37" s="3" customFormat="1" ht="50.1" customHeight="1" x14ac:dyDescent="0.3">
      <c r="A285" s="74">
        <v>795998</v>
      </c>
      <c r="B285" s="74" t="s">
        <v>143</v>
      </c>
      <c r="C285" s="74" t="s">
        <v>2469</v>
      </c>
      <c r="D285" s="572" t="s">
        <v>195</v>
      </c>
      <c r="E285" s="573">
        <v>45373</v>
      </c>
      <c r="F285" s="94" t="s">
        <v>2470</v>
      </c>
      <c r="G285" s="574" t="s">
        <v>15</v>
      </c>
      <c r="H285" s="106" t="s">
        <v>296</v>
      </c>
      <c r="I285" s="429" t="s">
        <v>2471</v>
      </c>
      <c r="J285" s="6" t="s">
        <v>16</v>
      </c>
      <c r="K285" s="6" t="s">
        <v>298</v>
      </c>
      <c r="L285" s="106" t="s">
        <v>2472</v>
      </c>
      <c r="M285" s="16" t="s">
        <v>17</v>
      </c>
      <c r="N285" s="106" t="s">
        <v>2473</v>
      </c>
      <c r="O285" s="106" t="s">
        <v>300</v>
      </c>
      <c r="P285" s="106" t="s">
        <v>17</v>
      </c>
      <c r="Q285" s="106" t="s">
        <v>17</v>
      </c>
      <c r="R285" s="6" t="s">
        <v>96</v>
      </c>
      <c r="S285" s="106" t="s">
        <v>1577</v>
      </c>
      <c r="T285" s="106" t="s">
        <v>21</v>
      </c>
      <c r="U285" s="106" t="s">
        <v>2474</v>
      </c>
      <c r="V285" s="106" t="s">
        <v>17</v>
      </c>
      <c r="W285" s="106" t="s">
        <v>17</v>
      </c>
      <c r="X285" s="106" t="s">
        <v>17</v>
      </c>
      <c r="Y285" s="106" t="s">
        <v>17</v>
      </c>
      <c r="Z285" s="106" t="s">
        <v>17</v>
      </c>
      <c r="AA285" s="106" t="s">
        <v>17</v>
      </c>
      <c r="AB285" s="106" t="s">
        <v>17</v>
      </c>
      <c r="AC285" s="106" t="s">
        <v>853</v>
      </c>
      <c r="AD285" s="106" t="s">
        <v>19</v>
      </c>
      <c r="AE285" s="452" t="s">
        <v>2475</v>
      </c>
      <c r="AF285" s="106" t="s">
        <v>1772</v>
      </c>
    </row>
    <row r="286" spans="1:37" s="172" customFormat="1" ht="50.1" customHeight="1" x14ac:dyDescent="0.2">
      <c r="A286" s="172">
        <v>773537</v>
      </c>
      <c r="B286" s="6" t="s">
        <v>137</v>
      </c>
      <c r="C286" s="152" t="s">
        <v>2476</v>
      </c>
      <c r="D286" s="199" t="s">
        <v>242</v>
      </c>
      <c r="E286" s="171">
        <v>44689</v>
      </c>
      <c r="F286" s="114" t="s">
        <v>847</v>
      </c>
      <c r="G286" s="6" t="s">
        <v>29</v>
      </c>
      <c r="H286" s="172" t="s">
        <v>2477</v>
      </c>
      <c r="I286" s="172" t="s">
        <v>296</v>
      </c>
      <c r="J286" s="6" t="s">
        <v>16</v>
      </c>
      <c r="K286" s="6" t="s">
        <v>298</v>
      </c>
      <c r="L286" s="175" t="s">
        <v>2478</v>
      </c>
      <c r="M286" s="172" t="s">
        <v>17</v>
      </c>
      <c r="N286" s="175" t="s">
        <v>2479</v>
      </c>
      <c r="O286" s="172" t="s">
        <v>17</v>
      </c>
      <c r="P286" s="575">
        <v>702260129033</v>
      </c>
      <c r="Q286" s="172" t="s">
        <v>17</v>
      </c>
      <c r="R286" s="6" t="s">
        <v>17</v>
      </c>
      <c r="S286" s="172" t="s">
        <v>17</v>
      </c>
      <c r="T286" s="278" t="s">
        <v>17</v>
      </c>
      <c r="U286" s="172" t="s">
        <v>17</v>
      </c>
      <c r="V286" s="172" t="s">
        <v>17</v>
      </c>
      <c r="W286" s="172" t="s">
        <v>17</v>
      </c>
      <c r="X286" s="172" t="s">
        <v>17</v>
      </c>
      <c r="Y286" s="172" t="s">
        <v>17</v>
      </c>
      <c r="Z286" s="172" t="s">
        <v>17</v>
      </c>
      <c r="AA286" s="172" t="s">
        <v>17</v>
      </c>
      <c r="AB286" s="172" t="s">
        <v>17</v>
      </c>
      <c r="AC286" s="152" t="s">
        <v>2480</v>
      </c>
      <c r="AD286" s="172" t="s">
        <v>19</v>
      </c>
      <c r="AE286" s="10" t="s">
        <v>17</v>
      </c>
      <c r="AF286" s="172" t="s">
        <v>2481</v>
      </c>
    </row>
    <row r="287" spans="1:37" s="152" customFormat="1" ht="50.1" customHeight="1" x14ac:dyDescent="0.2">
      <c r="A287" s="152">
        <v>749993</v>
      </c>
      <c r="B287" s="6" t="s">
        <v>137</v>
      </c>
      <c r="C287" s="152" t="s">
        <v>2482</v>
      </c>
      <c r="D287" s="152" t="s">
        <v>242</v>
      </c>
      <c r="E287" s="171">
        <v>45111</v>
      </c>
      <c r="F287" s="152" t="s">
        <v>2483</v>
      </c>
      <c r="G287" s="6" t="s">
        <v>29</v>
      </c>
      <c r="H287" s="152" t="s">
        <v>2484</v>
      </c>
      <c r="I287" s="152" t="s">
        <v>296</v>
      </c>
      <c r="J287" s="6" t="s">
        <v>16</v>
      </c>
      <c r="K287" s="6" t="s">
        <v>298</v>
      </c>
      <c r="L287" s="152" t="s">
        <v>2478</v>
      </c>
      <c r="M287" s="152" t="s">
        <v>17</v>
      </c>
      <c r="N287" s="175" t="s">
        <v>2485</v>
      </c>
      <c r="O287" s="152" t="s">
        <v>17</v>
      </c>
      <c r="P287" s="576">
        <v>1482090584</v>
      </c>
      <c r="Q287" s="152" t="s">
        <v>17</v>
      </c>
      <c r="R287" s="6" t="s">
        <v>17</v>
      </c>
      <c r="S287" s="152" t="s">
        <v>17</v>
      </c>
      <c r="T287" s="278" t="s">
        <v>17</v>
      </c>
      <c r="U287" s="152" t="s">
        <v>17</v>
      </c>
      <c r="V287" s="152" t="s">
        <v>17</v>
      </c>
      <c r="W287" s="152" t="s">
        <v>17</v>
      </c>
      <c r="X287" s="152" t="s">
        <v>17</v>
      </c>
      <c r="Y287" s="152" t="s">
        <v>17</v>
      </c>
      <c r="Z287" s="152" t="s">
        <v>17</v>
      </c>
      <c r="AA287" s="152" t="s">
        <v>17</v>
      </c>
      <c r="AB287" s="152" t="s">
        <v>17</v>
      </c>
      <c r="AC287" s="152" t="s">
        <v>1625</v>
      </c>
      <c r="AD287" s="152" t="s">
        <v>19</v>
      </c>
      <c r="AE287" s="10" t="s">
        <v>17</v>
      </c>
      <c r="AF287" s="152" t="s">
        <v>2486</v>
      </c>
    </row>
    <row r="288" spans="1:37" s="152" customFormat="1" ht="50.1" customHeight="1" x14ac:dyDescent="0.2">
      <c r="A288" s="152">
        <v>795544</v>
      </c>
      <c r="B288" s="6" t="s">
        <v>137</v>
      </c>
      <c r="C288" s="152" t="s">
        <v>2487</v>
      </c>
      <c r="D288" s="152" t="s">
        <v>248</v>
      </c>
      <c r="E288" s="171">
        <v>45278</v>
      </c>
      <c r="F288" s="152" t="s">
        <v>2488</v>
      </c>
      <c r="G288" s="6" t="s">
        <v>29</v>
      </c>
      <c r="H288" s="152" t="s">
        <v>2489</v>
      </c>
      <c r="I288" s="152" t="s">
        <v>296</v>
      </c>
      <c r="J288" s="6" t="s">
        <v>16</v>
      </c>
      <c r="K288" s="6" t="s">
        <v>298</v>
      </c>
      <c r="L288" s="152" t="s">
        <v>2490</v>
      </c>
      <c r="M288" s="152" t="s">
        <v>17</v>
      </c>
      <c r="N288" s="175" t="s">
        <v>2491</v>
      </c>
      <c r="O288" s="152" t="s">
        <v>17</v>
      </c>
      <c r="P288" s="152" t="s">
        <v>17</v>
      </c>
      <c r="Q288" s="152" t="s">
        <v>17</v>
      </c>
      <c r="R288" s="6" t="s">
        <v>17</v>
      </c>
      <c r="S288" s="152" t="s">
        <v>17</v>
      </c>
      <c r="T288" s="152" t="s">
        <v>157</v>
      </c>
      <c r="U288" s="152" t="s">
        <v>17</v>
      </c>
      <c r="V288" s="152" t="s">
        <v>17</v>
      </c>
      <c r="W288" s="152" t="s">
        <v>17</v>
      </c>
      <c r="X288" s="152" t="s">
        <v>17</v>
      </c>
      <c r="Y288" s="152" t="s">
        <v>17</v>
      </c>
      <c r="Z288" s="152" t="s">
        <v>17</v>
      </c>
      <c r="AA288" s="152" t="s">
        <v>17</v>
      </c>
      <c r="AB288" s="152" t="s">
        <v>17</v>
      </c>
      <c r="AC288" s="152" t="s">
        <v>2492</v>
      </c>
      <c r="AD288" s="152" t="s">
        <v>19</v>
      </c>
      <c r="AE288" s="10" t="s">
        <v>17</v>
      </c>
      <c r="AF288" s="152" t="s">
        <v>2493</v>
      </c>
    </row>
    <row r="289" spans="1:57" s="152" customFormat="1" ht="50.1" customHeight="1" x14ac:dyDescent="0.2">
      <c r="A289" s="152">
        <v>617292</v>
      </c>
      <c r="B289" s="6" t="s">
        <v>137</v>
      </c>
      <c r="C289" s="152" t="s">
        <v>2494</v>
      </c>
      <c r="D289" s="152" t="s">
        <v>248</v>
      </c>
      <c r="E289" s="171">
        <v>45026</v>
      </c>
      <c r="F289" s="152" t="s">
        <v>2495</v>
      </c>
      <c r="G289" s="6" t="s">
        <v>29</v>
      </c>
      <c r="H289" s="152" t="s">
        <v>2496</v>
      </c>
      <c r="I289" s="152" t="s">
        <v>296</v>
      </c>
      <c r="J289" s="6" t="s">
        <v>16</v>
      </c>
      <c r="K289" s="6" t="s">
        <v>298</v>
      </c>
      <c r="L289" s="152" t="s">
        <v>2497</v>
      </c>
      <c r="M289" s="152" t="s">
        <v>17</v>
      </c>
      <c r="N289" s="175" t="s">
        <v>2498</v>
      </c>
      <c r="O289" s="152" t="s">
        <v>17</v>
      </c>
      <c r="P289" s="152" t="s">
        <v>17</v>
      </c>
      <c r="Q289" s="152" t="s">
        <v>17</v>
      </c>
      <c r="R289" s="6" t="s">
        <v>17</v>
      </c>
      <c r="S289" s="152" t="s">
        <v>17</v>
      </c>
      <c r="T289" s="278" t="s">
        <v>17</v>
      </c>
      <c r="U289" s="152" t="s">
        <v>17</v>
      </c>
      <c r="V289" s="152" t="s">
        <v>17</v>
      </c>
      <c r="W289" s="152" t="s">
        <v>17</v>
      </c>
      <c r="X289" s="152" t="s">
        <v>17</v>
      </c>
      <c r="Y289" s="152" t="s">
        <v>17</v>
      </c>
      <c r="Z289" s="152" t="s">
        <v>17</v>
      </c>
      <c r="AA289" s="152" t="s">
        <v>17</v>
      </c>
      <c r="AB289" s="152" t="s">
        <v>17</v>
      </c>
      <c r="AC289" s="152" t="s">
        <v>2499</v>
      </c>
      <c r="AD289" s="152" t="s">
        <v>19</v>
      </c>
      <c r="AE289" s="10" t="s">
        <v>17</v>
      </c>
      <c r="AF289" s="152" t="s">
        <v>2500</v>
      </c>
    </row>
    <row r="290" spans="1:57" s="152" customFormat="1" ht="50.1" customHeight="1" x14ac:dyDescent="0.2">
      <c r="A290" s="152">
        <v>793372</v>
      </c>
      <c r="B290" s="6" t="s">
        <v>137</v>
      </c>
      <c r="C290" s="152" t="s">
        <v>2501</v>
      </c>
      <c r="D290" s="152" t="s">
        <v>248</v>
      </c>
      <c r="E290" s="171">
        <v>45195</v>
      </c>
      <c r="F290" s="114" t="s">
        <v>847</v>
      </c>
      <c r="G290" s="6" t="s">
        <v>29</v>
      </c>
      <c r="H290" s="152" t="s">
        <v>2502</v>
      </c>
      <c r="I290" s="152" t="s">
        <v>296</v>
      </c>
      <c r="J290" s="6" t="s">
        <v>16</v>
      </c>
      <c r="K290" s="6" t="s">
        <v>298</v>
      </c>
      <c r="L290" s="152" t="s">
        <v>2503</v>
      </c>
      <c r="M290" s="152" t="s">
        <v>17</v>
      </c>
      <c r="N290" s="175" t="s">
        <v>2504</v>
      </c>
      <c r="O290" s="152" t="s">
        <v>17</v>
      </c>
      <c r="P290" s="152" t="s">
        <v>17</v>
      </c>
      <c r="Q290" s="152" t="s">
        <v>17</v>
      </c>
      <c r="R290" s="6" t="s">
        <v>17</v>
      </c>
      <c r="S290" s="152" t="s">
        <v>17</v>
      </c>
      <c r="T290" s="278" t="s">
        <v>17</v>
      </c>
      <c r="U290" s="152" t="s">
        <v>17</v>
      </c>
      <c r="V290" s="152" t="s">
        <v>17</v>
      </c>
      <c r="W290" s="152" t="s">
        <v>17</v>
      </c>
      <c r="X290" s="152" t="s">
        <v>17</v>
      </c>
      <c r="Y290" s="152" t="s">
        <v>17</v>
      </c>
      <c r="Z290" s="152" t="s">
        <v>17</v>
      </c>
      <c r="AA290" s="152" t="s">
        <v>17</v>
      </c>
      <c r="AB290" s="152" t="s">
        <v>17</v>
      </c>
      <c r="AC290" s="152" t="s">
        <v>2505</v>
      </c>
      <c r="AD290" s="152" t="s">
        <v>19</v>
      </c>
      <c r="AE290" s="10" t="s">
        <v>17</v>
      </c>
      <c r="AF290" s="152" t="s">
        <v>787</v>
      </c>
    </row>
    <row r="291" spans="1:57" s="152" customFormat="1" ht="50.1" customHeight="1" thickBot="1" x14ac:dyDescent="0.25">
      <c r="A291" s="142">
        <v>788867</v>
      </c>
      <c r="B291" s="6" t="s">
        <v>137</v>
      </c>
      <c r="C291" s="142" t="s">
        <v>2506</v>
      </c>
      <c r="D291" s="142" t="s">
        <v>242</v>
      </c>
      <c r="E291" s="577">
        <v>45588</v>
      </c>
      <c r="F291" s="115" t="s">
        <v>847</v>
      </c>
      <c r="G291" s="185" t="s">
        <v>29</v>
      </c>
      <c r="H291" s="142" t="s">
        <v>2507</v>
      </c>
      <c r="I291" s="142" t="s">
        <v>296</v>
      </c>
      <c r="J291" s="6" t="s">
        <v>16</v>
      </c>
      <c r="K291" s="6" t="s">
        <v>298</v>
      </c>
      <c r="L291" s="142" t="s">
        <v>2508</v>
      </c>
      <c r="M291" s="142" t="s">
        <v>17</v>
      </c>
      <c r="N291" s="578"/>
      <c r="O291" s="142" t="s">
        <v>17</v>
      </c>
      <c r="P291" s="579">
        <v>1638126250</v>
      </c>
      <c r="Q291" s="142" t="s">
        <v>17</v>
      </c>
      <c r="R291" s="6" t="s">
        <v>17</v>
      </c>
      <c r="S291" s="142" t="s">
        <v>17</v>
      </c>
      <c r="T291" s="278" t="s">
        <v>17</v>
      </c>
      <c r="U291" s="142" t="s">
        <v>17</v>
      </c>
      <c r="V291" s="142" t="s">
        <v>17</v>
      </c>
      <c r="W291" s="142" t="s">
        <v>17</v>
      </c>
      <c r="X291" s="142" t="s">
        <v>17</v>
      </c>
      <c r="Y291" s="142" t="s">
        <v>17</v>
      </c>
      <c r="Z291" s="142" t="s">
        <v>17</v>
      </c>
      <c r="AA291" s="142" t="s">
        <v>17</v>
      </c>
      <c r="AB291" s="142" t="s">
        <v>17</v>
      </c>
      <c r="AC291" s="142" t="s">
        <v>2509</v>
      </c>
      <c r="AD291" s="142" t="s">
        <v>19</v>
      </c>
      <c r="AE291" s="10" t="s">
        <v>17</v>
      </c>
      <c r="AF291" s="142" t="s">
        <v>2510</v>
      </c>
      <c r="AG291" s="142"/>
    </row>
    <row r="292" spans="1:57" s="152" customFormat="1" ht="50.1" customHeight="1" thickBot="1" x14ac:dyDescent="0.25">
      <c r="A292" s="580">
        <v>816781</v>
      </c>
      <c r="B292" s="6" t="s">
        <v>137</v>
      </c>
      <c r="C292" s="582" t="s">
        <v>2511</v>
      </c>
      <c r="D292" s="581" t="s">
        <v>248</v>
      </c>
      <c r="E292" s="583">
        <v>45561</v>
      </c>
      <c r="F292" s="584" t="s">
        <v>2512</v>
      </c>
      <c r="G292" s="585" t="s">
        <v>29</v>
      </c>
      <c r="H292" s="582" t="s">
        <v>296</v>
      </c>
      <c r="I292" s="582" t="s">
        <v>2513</v>
      </c>
      <c r="J292" s="6" t="s">
        <v>16</v>
      </c>
      <c r="K292" s="6" t="s">
        <v>298</v>
      </c>
      <c r="L292" s="582" t="s">
        <v>2490</v>
      </c>
      <c r="M292" s="581" t="s">
        <v>17</v>
      </c>
      <c r="N292" s="586" t="s">
        <v>2491</v>
      </c>
      <c r="O292" s="582" t="s">
        <v>17</v>
      </c>
      <c r="P292" s="587"/>
      <c r="Q292" s="581" t="s">
        <v>17</v>
      </c>
      <c r="R292" s="6" t="s">
        <v>17</v>
      </c>
      <c r="S292" s="582" t="s">
        <v>17</v>
      </c>
      <c r="T292" s="278" t="s">
        <v>17</v>
      </c>
      <c r="U292" s="581" t="s">
        <v>17</v>
      </c>
      <c r="V292" s="581" t="s">
        <v>17</v>
      </c>
      <c r="W292" s="581" t="s">
        <v>2514</v>
      </c>
      <c r="X292" s="581" t="s">
        <v>17</v>
      </c>
      <c r="Y292" s="581" t="s">
        <v>17</v>
      </c>
      <c r="Z292" s="581" t="s">
        <v>17</v>
      </c>
      <c r="AA292" s="581" t="s">
        <v>17</v>
      </c>
      <c r="AB292" s="581" t="s">
        <v>17</v>
      </c>
      <c r="AC292" s="582" t="s">
        <v>2515</v>
      </c>
      <c r="AD292" s="581" t="s">
        <v>19</v>
      </c>
      <c r="AE292" s="10" t="s">
        <v>17</v>
      </c>
      <c r="AF292" s="582" t="s">
        <v>2516</v>
      </c>
      <c r="AG292" s="588"/>
      <c r="AH292" s="568"/>
    </row>
    <row r="293" spans="1:57" s="152" customFormat="1" ht="50.1" customHeight="1" thickBot="1" x14ac:dyDescent="0.25">
      <c r="A293" s="589">
        <v>16170</v>
      </c>
      <c r="B293" s="590" t="s">
        <v>27</v>
      </c>
      <c r="C293" s="591" t="s">
        <v>2517</v>
      </c>
      <c r="D293" s="590" t="s">
        <v>28</v>
      </c>
      <c r="E293" s="592">
        <v>45559</v>
      </c>
      <c r="F293" s="593" t="s">
        <v>2518</v>
      </c>
      <c r="G293" s="594" t="s">
        <v>29</v>
      </c>
      <c r="H293" s="591" t="s">
        <v>296</v>
      </c>
      <c r="I293" s="591" t="s">
        <v>2519</v>
      </c>
      <c r="J293" s="6" t="s">
        <v>16</v>
      </c>
      <c r="K293" s="591" t="s">
        <v>2520</v>
      </c>
      <c r="L293" s="591" t="s">
        <v>28</v>
      </c>
      <c r="M293" s="590" t="s">
        <v>17</v>
      </c>
      <c r="N293" s="595" t="s">
        <v>17</v>
      </c>
      <c r="O293" s="591" t="s">
        <v>17</v>
      </c>
      <c r="P293" s="596" t="s">
        <v>17</v>
      </c>
      <c r="Q293" s="590" t="s">
        <v>17</v>
      </c>
      <c r="R293" s="6" t="s">
        <v>17</v>
      </c>
      <c r="S293" s="591" t="s">
        <v>17</v>
      </c>
      <c r="T293" s="278" t="s">
        <v>17</v>
      </c>
      <c r="U293" s="590" t="s">
        <v>17</v>
      </c>
      <c r="V293" s="590" t="s">
        <v>17</v>
      </c>
      <c r="W293" s="590" t="s">
        <v>17</v>
      </c>
      <c r="X293" s="590" t="s">
        <v>17</v>
      </c>
      <c r="Y293" s="590" t="s">
        <v>17</v>
      </c>
      <c r="Z293" s="590" t="s">
        <v>17</v>
      </c>
      <c r="AA293" s="590" t="s">
        <v>17</v>
      </c>
      <c r="AB293" s="590" t="s">
        <v>17</v>
      </c>
      <c r="AC293" s="591" t="s">
        <v>2521</v>
      </c>
      <c r="AD293" s="590" t="s">
        <v>19</v>
      </c>
      <c r="AE293" s="10" t="s">
        <v>17</v>
      </c>
      <c r="AF293" s="588" t="s">
        <v>2522</v>
      </c>
      <c r="AG293" s="215"/>
      <c r="AH293" s="568"/>
    </row>
    <row r="294" spans="1:57" s="152" customFormat="1" ht="50.1" customHeight="1" x14ac:dyDescent="0.2">
      <c r="A294" s="408">
        <v>800982</v>
      </c>
      <c r="B294" s="597" t="s">
        <v>143</v>
      </c>
      <c r="C294" s="598" t="s">
        <v>2523</v>
      </c>
      <c r="D294" s="599" t="s">
        <v>149</v>
      </c>
      <c r="E294" s="600">
        <v>45037</v>
      </c>
      <c r="F294" s="114" t="s">
        <v>655</v>
      </c>
      <c r="G294" s="66" t="s">
        <v>145</v>
      </c>
      <c r="H294" s="408" t="s">
        <v>2524</v>
      </c>
      <c r="I294" s="408" t="s">
        <v>2525</v>
      </c>
      <c r="J294" s="6" t="s">
        <v>16</v>
      </c>
      <c r="K294" s="408" t="s">
        <v>327</v>
      </c>
      <c r="L294" s="408" t="s">
        <v>2526</v>
      </c>
      <c r="M294" s="597" t="s">
        <v>17</v>
      </c>
      <c r="N294" s="408" t="s">
        <v>2526</v>
      </c>
      <c r="O294" s="408" t="s">
        <v>2527</v>
      </c>
      <c r="P294" s="597" t="s">
        <v>17</v>
      </c>
      <c r="Q294" s="597" t="s">
        <v>17</v>
      </c>
      <c r="R294" s="6" t="s">
        <v>96</v>
      </c>
      <c r="S294" s="408" t="s">
        <v>2528</v>
      </c>
      <c r="T294" s="32" t="s">
        <v>38</v>
      </c>
      <c r="U294" s="597" t="s">
        <v>17</v>
      </c>
      <c r="V294" s="597" t="s">
        <v>17</v>
      </c>
      <c r="W294" s="597" t="s">
        <v>17</v>
      </c>
      <c r="X294" s="597" t="s">
        <v>17</v>
      </c>
      <c r="Y294" s="597" t="s">
        <v>17</v>
      </c>
      <c r="Z294" s="597" t="s">
        <v>17</v>
      </c>
      <c r="AA294" s="597" t="s">
        <v>17</v>
      </c>
      <c r="AB294" s="597" t="s">
        <v>17</v>
      </c>
      <c r="AC294" s="408" t="s">
        <v>2529</v>
      </c>
      <c r="AD294" s="597" t="s">
        <v>19</v>
      </c>
      <c r="AE294" s="10" t="s">
        <v>17</v>
      </c>
      <c r="AF294" s="408" t="s">
        <v>2530</v>
      </c>
      <c r="AG294" s="408"/>
    </row>
    <row r="295" spans="1:57" s="152" customFormat="1" ht="50.1" customHeight="1" x14ac:dyDescent="0.2">
      <c r="A295" s="152" t="s">
        <v>221</v>
      </c>
      <c r="B295" s="488" t="s">
        <v>143</v>
      </c>
      <c r="C295" s="406" t="s">
        <v>2531</v>
      </c>
      <c r="D295" s="601" t="s">
        <v>149</v>
      </c>
      <c r="E295" s="171">
        <v>45253</v>
      </c>
      <c r="F295" s="602" t="s">
        <v>2532</v>
      </c>
      <c r="G295" s="7" t="s">
        <v>145</v>
      </c>
      <c r="H295" s="152" t="s">
        <v>2533</v>
      </c>
      <c r="I295" s="152" t="s">
        <v>2534</v>
      </c>
      <c r="J295" s="6" t="s">
        <v>16</v>
      </c>
      <c r="K295" s="152" t="s">
        <v>298</v>
      </c>
      <c r="L295" s="152" t="s">
        <v>2526</v>
      </c>
      <c r="M295" s="488" t="s">
        <v>17</v>
      </c>
      <c r="N295" s="152" t="s">
        <v>2526</v>
      </c>
      <c r="O295" s="152" t="s">
        <v>2535</v>
      </c>
      <c r="P295" s="488" t="s">
        <v>17</v>
      </c>
      <c r="Q295" s="488" t="s">
        <v>17</v>
      </c>
      <c r="R295" s="6" t="s">
        <v>96</v>
      </c>
      <c r="S295" s="152" t="s">
        <v>2536</v>
      </c>
      <c r="T295" s="10" t="s">
        <v>68</v>
      </c>
      <c r="U295" s="488" t="s">
        <v>17</v>
      </c>
      <c r="V295" s="488" t="s">
        <v>17</v>
      </c>
      <c r="W295" s="488" t="s">
        <v>17</v>
      </c>
      <c r="X295" s="488" t="s">
        <v>17</v>
      </c>
      <c r="Y295" s="488" t="s">
        <v>17</v>
      </c>
      <c r="Z295" s="488" t="s">
        <v>17</v>
      </c>
      <c r="AA295" s="488" t="s">
        <v>17</v>
      </c>
      <c r="AB295" s="488" t="s">
        <v>17</v>
      </c>
      <c r="AC295" s="152" t="s">
        <v>2537</v>
      </c>
      <c r="AD295" s="488" t="s">
        <v>19</v>
      </c>
      <c r="AE295" s="10" t="s">
        <v>17</v>
      </c>
      <c r="AF295" s="152" t="s">
        <v>2538</v>
      </c>
    </row>
    <row r="296" spans="1:57" s="172" customFormat="1" ht="50.1" customHeight="1" x14ac:dyDescent="0.2">
      <c r="A296" s="152">
        <v>810864</v>
      </c>
      <c r="B296" s="488" t="s">
        <v>143</v>
      </c>
      <c r="C296" s="565" t="s">
        <v>2539</v>
      </c>
      <c r="D296" s="169" t="s">
        <v>166</v>
      </c>
      <c r="E296" s="171">
        <v>45630</v>
      </c>
      <c r="F296" s="568" t="s">
        <v>2540</v>
      </c>
      <c r="G296" s="7" t="s">
        <v>145</v>
      </c>
      <c r="H296" s="488" t="s">
        <v>296</v>
      </c>
      <c r="I296" s="152" t="s">
        <v>2541</v>
      </c>
      <c r="J296" s="6" t="s">
        <v>16</v>
      </c>
      <c r="K296" s="6" t="s">
        <v>298</v>
      </c>
      <c r="L296" s="152" t="s">
        <v>2542</v>
      </c>
      <c r="M296" s="488" t="s">
        <v>17</v>
      </c>
      <c r="N296" s="152" t="s">
        <v>2542</v>
      </c>
      <c r="O296" s="488" t="s">
        <v>17</v>
      </c>
      <c r="P296" s="172" t="s">
        <v>17</v>
      </c>
      <c r="Q296" s="488" t="s">
        <v>17</v>
      </c>
      <c r="R296" s="60" t="s">
        <v>148</v>
      </c>
      <c r="S296" s="603" t="s">
        <v>2543</v>
      </c>
      <c r="T296" s="287" t="s">
        <v>59</v>
      </c>
      <c r="U296" s="488" t="s">
        <v>17</v>
      </c>
      <c r="V296" s="575">
        <v>112519800</v>
      </c>
      <c r="W296" s="604">
        <v>4.4299999999999999E-2</v>
      </c>
      <c r="X296" s="488" t="s">
        <v>17</v>
      </c>
      <c r="Y296" s="488" t="s">
        <v>17</v>
      </c>
      <c r="Z296" s="488" t="s">
        <v>17</v>
      </c>
      <c r="AA296" s="488" t="s">
        <v>17</v>
      </c>
      <c r="AB296" s="488" t="s">
        <v>17</v>
      </c>
      <c r="AC296" s="152" t="s">
        <v>2544</v>
      </c>
      <c r="AD296" s="488" t="s">
        <v>19</v>
      </c>
      <c r="AE296" s="10" t="s">
        <v>17</v>
      </c>
      <c r="AF296" s="152" t="s">
        <v>2545</v>
      </c>
    </row>
    <row r="297" spans="1:57" s="172" customFormat="1" ht="50.1" customHeight="1" x14ac:dyDescent="0.2">
      <c r="A297" s="142" t="s">
        <v>222</v>
      </c>
      <c r="B297" s="488" t="s">
        <v>143</v>
      </c>
      <c r="C297" s="605" t="s">
        <v>2546</v>
      </c>
      <c r="D297" s="452" t="s">
        <v>166</v>
      </c>
      <c r="E297" s="606">
        <v>45407</v>
      </c>
      <c r="F297" s="142" t="s">
        <v>2547</v>
      </c>
      <c r="G297" s="7" t="s">
        <v>145</v>
      </c>
      <c r="H297" s="488" t="s">
        <v>296</v>
      </c>
      <c r="I297" s="452" t="s">
        <v>2548</v>
      </c>
      <c r="J297" s="6" t="s">
        <v>16</v>
      </c>
      <c r="K297" s="6" t="s">
        <v>298</v>
      </c>
      <c r="L297" s="142" t="s">
        <v>2542</v>
      </c>
      <c r="M297" s="488" t="s">
        <v>17</v>
      </c>
      <c r="N297" s="142" t="s">
        <v>2542</v>
      </c>
      <c r="O297" s="488" t="s">
        <v>17</v>
      </c>
      <c r="P297" s="452" t="s">
        <v>17</v>
      </c>
      <c r="Q297" s="488" t="s">
        <v>17</v>
      </c>
      <c r="R297" s="60" t="s">
        <v>148</v>
      </c>
      <c r="S297" s="608">
        <v>91344</v>
      </c>
      <c r="T297" s="452" t="s">
        <v>157</v>
      </c>
      <c r="U297" s="488" t="s">
        <v>17</v>
      </c>
      <c r="V297" s="609">
        <v>1125198000</v>
      </c>
      <c r="W297" s="610">
        <v>4.4299999999999999E-2</v>
      </c>
      <c r="X297" s="488" t="s">
        <v>17</v>
      </c>
      <c r="Y297" s="488" t="s">
        <v>17</v>
      </c>
      <c r="Z297" s="488" t="s">
        <v>17</v>
      </c>
      <c r="AA297" s="488" t="s">
        <v>17</v>
      </c>
      <c r="AB297" s="488" t="s">
        <v>17</v>
      </c>
      <c r="AC297" s="142" t="s">
        <v>2549</v>
      </c>
      <c r="AD297" s="488" t="s">
        <v>19</v>
      </c>
      <c r="AE297" s="10" t="s">
        <v>17</v>
      </c>
      <c r="AF297" s="142" t="s">
        <v>768</v>
      </c>
    </row>
    <row r="298" spans="1:57" s="172" customFormat="1" ht="50.1" customHeight="1" x14ac:dyDescent="0.2">
      <c r="A298" s="456" t="s">
        <v>222</v>
      </c>
      <c r="B298" s="607" t="s">
        <v>143</v>
      </c>
      <c r="C298" s="605" t="s">
        <v>2550</v>
      </c>
      <c r="D298" s="605" t="s">
        <v>166</v>
      </c>
      <c r="E298" s="457">
        <v>45405</v>
      </c>
      <c r="F298" s="456" t="s">
        <v>2551</v>
      </c>
      <c r="G298" s="7" t="s">
        <v>145</v>
      </c>
      <c r="H298" s="607" t="s">
        <v>296</v>
      </c>
      <c r="I298" s="456" t="s">
        <v>2552</v>
      </c>
      <c r="J298" s="6" t="s">
        <v>16</v>
      </c>
      <c r="K298" s="6" t="s">
        <v>298</v>
      </c>
      <c r="L298" s="456" t="s">
        <v>2542</v>
      </c>
      <c r="M298" s="607" t="s">
        <v>17</v>
      </c>
      <c r="N298" s="456" t="s">
        <v>2542</v>
      </c>
      <c r="O298" s="607" t="s">
        <v>17</v>
      </c>
      <c r="P298" s="605" t="s">
        <v>17</v>
      </c>
      <c r="Q298" s="607" t="s">
        <v>17</v>
      </c>
      <c r="R298" s="60" t="s">
        <v>148</v>
      </c>
      <c r="S298" s="611">
        <v>1205302</v>
      </c>
      <c r="T298" s="605" t="s">
        <v>223</v>
      </c>
      <c r="U298" s="607" t="s">
        <v>17</v>
      </c>
      <c r="V298" s="612">
        <v>135194000</v>
      </c>
      <c r="W298" s="605">
        <v>73.28</v>
      </c>
      <c r="X298" s="607" t="s">
        <v>17</v>
      </c>
      <c r="Y298" s="607" t="s">
        <v>17</v>
      </c>
      <c r="Z298" s="607" t="s">
        <v>17</v>
      </c>
      <c r="AA298" s="607" t="s">
        <v>17</v>
      </c>
      <c r="AB298" s="607" t="s">
        <v>17</v>
      </c>
      <c r="AC298" s="456" t="s">
        <v>2553</v>
      </c>
      <c r="AD298" s="607" t="s">
        <v>19</v>
      </c>
      <c r="AE298" s="10" t="s">
        <v>17</v>
      </c>
      <c r="AF298" s="456" t="s">
        <v>2553</v>
      </c>
      <c r="AG298" s="613"/>
    </row>
    <row r="299" spans="1:57" ht="50.1" customHeight="1" x14ac:dyDescent="0.3">
      <c r="A299" s="456">
        <v>801141</v>
      </c>
      <c r="B299" s="607" t="s">
        <v>143</v>
      </c>
      <c r="C299" s="456" t="s">
        <v>2554</v>
      </c>
      <c r="D299" s="605" t="s">
        <v>149</v>
      </c>
      <c r="E299" s="457">
        <v>45253</v>
      </c>
      <c r="F299" s="605" t="s">
        <v>2555</v>
      </c>
      <c r="G299" s="106" t="s">
        <v>15</v>
      </c>
      <c r="H299" s="607" t="s">
        <v>2556</v>
      </c>
      <c r="I299" s="456" t="s">
        <v>2557</v>
      </c>
      <c r="J299" s="6" t="s">
        <v>16</v>
      </c>
      <c r="K299" s="6" t="s">
        <v>327</v>
      </c>
      <c r="L299" s="456" t="s">
        <v>2558</v>
      </c>
      <c r="M299" s="605" t="s">
        <v>17</v>
      </c>
      <c r="N299" s="456" t="s">
        <v>2559</v>
      </c>
      <c r="O299" s="106" t="s">
        <v>2560</v>
      </c>
      <c r="P299" s="607" t="s">
        <v>17</v>
      </c>
      <c r="Q299" s="456" t="s">
        <v>17</v>
      </c>
      <c r="R299" s="6" t="s">
        <v>96</v>
      </c>
      <c r="S299" s="605" t="s">
        <v>2561</v>
      </c>
      <c r="T299" s="32" t="s">
        <v>38</v>
      </c>
      <c r="U299" s="605" t="s">
        <v>17</v>
      </c>
      <c r="V299" s="605" t="s">
        <v>17</v>
      </c>
      <c r="W299" s="106" t="s">
        <v>17</v>
      </c>
      <c r="X299" s="607" t="s">
        <v>17</v>
      </c>
      <c r="Y299" s="456" t="s">
        <v>17</v>
      </c>
      <c r="Z299" s="607" t="s">
        <v>17</v>
      </c>
      <c r="AA299" s="605" t="s">
        <v>17</v>
      </c>
      <c r="AB299" s="605" t="s">
        <v>17</v>
      </c>
      <c r="AC299" s="605" t="s">
        <v>2562</v>
      </c>
      <c r="AD299" s="605" t="s">
        <v>19</v>
      </c>
      <c r="AE299" s="10" t="s">
        <v>17</v>
      </c>
      <c r="AF299" s="607" t="s">
        <v>2563</v>
      </c>
    </row>
    <row r="300" spans="1:57" ht="50.1" customHeight="1" x14ac:dyDescent="0.3">
      <c r="A300" s="614">
        <v>801038</v>
      </c>
      <c r="B300" s="607" t="s">
        <v>143</v>
      </c>
      <c r="C300" s="456" t="s">
        <v>2564</v>
      </c>
      <c r="D300" s="605" t="s">
        <v>149</v>
      </c>
      <c r="E300" s="457">
        <v>44941</v>
      </c>
      <c r="F300" s="605" t="s">
        <v>2565</v>
      </c>
      <c r="G300" s="106" t="s">
        <v>15</v>
      </c>
      <c r="H300" s="615" t="s">
        <v>2566</v>
      </c>
      <c r="I300" s="456" t="s">
        <v>2567</v>
      </c>
      <c r="J300" s="6" t="s">
        <v>16</v>
      </c>
      <c r="K300" s="6" t="s">
        <v>327</v>
      </c>
      <c r="L300" s="456" t="s">
        <v>2568</v>
      </c>
      <c r="M300" s="605" t="s">
        <v>17</v>
      </c>
      <c r="N300" s="456" t="s">
        <v>2569</v>
      </c>
      <c r="O300" s="106" t="s">
        <v>2570</v>
      </c>
      <c r="P300" s="607" t="s">
        <v>17</v>
      </c>
      <c r="Q300" s="456" t="s">
        <v>17</v>
      </c>
      <c r="R300" s="6" t="s">
        <v>96</v>
      </c>
      <c r="S300" s="605" t="s">
        <v>2571</v>
      </c>
      <c r="T300" s="605" t="s">
        <v>18</v>
      </c>
      <c r="U300" s="616" t="s">
        <v>17</v>
      </c>
      <c r="V300" s="605" t="s">
        <v>17</v>
      </c>
      <c r="W300" s="106" t="s">
        <v>17</v>
      </c>
      <c r="X300" s="607" t="s">
        <v>17</v>
      </c>
      <c r="Y300" s="456" t="s">
        <v>17</v>
      </c>
      <c r="Z300" s="607" t="s">
        <v>17</v>
      </c>
      <c r="AA300" s="605" t="s">
        <v>17</v>
      </c>
      <c r="AB300" s="605" t="s">
        <v>17</v>
      </c>
      <c r="AC300" s="605" t="s">
        <v>2572</v>
      </c>
      <c r="AD300" s="605" t="s">
        <v>19</v>
      </c>
      <c r="AE300" s="10" t="s">
        <v>17</v>
      </c>
      <c r="AF300" s="607" t="s">
        <v>2573</v>
      </c>
    </row>
    <row r="301" spans="1:57" s="215" customFormat="1" ht="50.1" customHeight="1" x14ac:dyDescent="0.2">
      <c r="A301" s="142" t="s">
        <v>224</v>
      </c>
      <c r="B301" s="142" t="s">
        <v>143</v>
      </c>
      <c r="C301" s="617" t="s">
        <v>2574</v>
      </c>
      <c r="D301" s="142" t="s">
        <v>156</v>
      </c>
      <c r="E301" s="577">
        <v>38487</v>
      </c>
      <c r="F301" s="142" t="s">
        <v>2575</v>
      </c>
      <c r="G301" s="7" t="s">
        <v>145</v>
      </c>
      <c r="H301" s="142" t="s">
        <v>2576</v>
      </c>
      <c r="I301" s="142" t="s">
        <v>2577</v>
      </c>
      <c r="J301" s="6" t="s">
        <v>16</v>
      </c>
      <c r="K301" s="6" t="s">
        <v>327</v>
      </c>
      <c r="L301" s="142" t="s">
        <v>2578</v>
      </c>
      <c r="M301" s="142" t="s">
        <v>17</v>
      </c>
      <c r="N301" s="142" t="s">
        <v>2578</v>
      </c>
      <c r="O301" s="142" t="s">
        <v>2579</v>
      </c>
      <c r="P301" s="142" t="s">
        <v>17</v>
      </c>
      <c r="Q301" s="142" t="s">
        <v>17</v>
      </c>
      <c r="R301" s="10" t="s">
        <v>163</v>
      </c>
      <c r="S301" s="618">
        <v>1205302</v>
      </c>
      <c r="T301" s="10" t="s">
        <v>46</v>
      </c>
      <c r="U301" s="142" t="s">
        <v>17</v>
      </c>
      <c r="V301" s="142" t="s">
        <v>17</v>
      </c>
      <c r="W301" s="142" t="s">
        <v>17</v>
      </c>
      <c r="X301" s="142" t="s">
        <v>17</v>
      </c>
      <c r="Y301" s="142" t="s">
        <v>17</v>
      </c>
      <c r="Z301" s="619" t="s">
        <v>2580</v>
      </c>
      <c r="AA301" s="152" t="s">
        <v>17</v>
      </c>
      <c r="AB301" s="152" t="s">
        <v>17</v>
      </c>
      <c r="AC301" s="152" t="s">
        <v>2581</v>
      </c>
      <c r="AD301" s="152" t="s">
        <v>19</v>
      </c>
      <c r="AE301" s="10" t="s">
        <v>17</v>
      </c>
      <c r="AF301" s="406" t="s">
        <v>2582</v>
      </c>
    </row>
    <row r="302" spans="1:57" s="215" customFormat="1" ht="50.1" customHeight="1" x14ac:dyDescent="0.2">
      <c r="A302" s="456" t="s">
        <v>222</v>
      </c>
      <c r="B302" s="142" t="s">
        <v>143</v>
      </c>
      <c r="C302" s="142" t="s">
        <v>2583</v>
      </c>
      <c r="D302" s="142" t="s">
        <v>166</v>
      </c>
      <c r="E302" s="577">
        <v>45388</v>
      </c>
      <c r="F302" s="142" t="s">
        <v>2319</v>
      </c>
      <c r="G302" s="7" t="s">
        <v>145</v>
      </c>
      <c r="H302" s="142" t="s">
        <v>296</v>
      </c>
      <c r="I302" s="142" t="s">
        <v>2584</v>
      </c>
      <c r="J302" s="6" t="s">
        <v>16</v>
      </c>
      <c r="K302" s="6" t="s">
        <v>298</v>
      </c>
      <c r="L302" s="142" t="s">
        <v>2542</v>
      </c>
      <c r="M302" s="142" t="s">
        <v>17</v>
      </c>
      <c r="N302" s="456" t="s">
        <v>2542</v>
      </c>
      <c r="O302" s="142" t="s">
        <v>17</v>
      </c>
      <c r="P302" s="579">
        <v>844219245</v>
      </c>
      <c r="Q302" s="142" t="s">
        <v>17</v>
      </c>
      <c r="R302" s="60" t="s">
        <v>148</v>
      </c>
      <c r="S302" s="142" t="s">
        <v>2585</v>
      </c>
      <c r="T302" s="287" t="s">
        <v>59</v>
      </c>
      <c r="U302" s="142" t="s">
        <v>17</v>
      </c>
      <c r="V302" s="579">
        <v>10198704000</v>
      </c>
      <c r="W302" s="620">
        <v>5.0930000000000003E-2</v>
      </c>
      <c r="X302" s="142" t="s">
        <v>17</v>
      </c>
      <c r="Y302" s="142" t="s">
        <v>17</v>
      </c>
      <c r="Z302" s="619" t="s">
        <v>17</v>
      </c>
      <c r="AA302" s="152" t="s">
        <v>17</v>
      </c>
      <c r="AB302" s="152" t="s">
        <v>17</v>
      </c>
      <c r="AC302" s="152" t="s">
        <v>2586</v>
      </c>
      <c r="AD302" s="152" t="s">
        <v>19</v>
      </c>
      <c r="AE302" s="10" t="s">
        <v>17</v>
      </c>
      <c r="AF302" s="406" t="s">
        <v>2553</v>
      </c>
    </row>
    <row r="303" spans="1:57" s="152" customFormat="1" ht="50.1" customHeight="1" x14ac:dyDescent="0.2">
      <c r="A303" s="142" t="s">
        <v>222</v>
      </c>
      <c r="B303" s="142" t="s">
        <v>143</v>
      </c>
      <c r="C303" s="142" t="s">
        <v>2587</v>
      </c>
      <c r="D303" s="142" t="s">
        <v>225</v>
      </c>
      <c r="E303" s="577">
        <v>45418</v>
      </c>
      <c r="F303" s="142" t="s">
        <v>2588</v>
      </c>
      <c r="G303" s="7" t="s">
        <v>145</v>
      </c>
      <c r="H303" s="142" t="s">
        <v>296</v>
      </c>
      <c r="I303" s="142" t="s">
        <v>2589</v>
      </c>
      <c r="J303" s="6" t="s">
        <v>16</v>
      </c>
      <c r="K303" s="6" t="s">
        <v>298</v>
      </c>
      <c r="L303" s="142" t="s">
        <v>2590</v>
      </c>
      <c r="M303" s="142" t="s">
        <v>17</v>
      </c>
      <c r="N303" s="142" t="s">
        <v>2591</v>
      </c>
      <c r="O303" s="142" t="s">
        <v>2592</v>
      </c>
      <c r="P303" s="142" t="s">
        <v>17</v>
      </c>
      <c r="Q303" s="142" t="s">
        <v>17</v>
      </c>
      <c r="R303" s="6" t="s">
        <v>96</v>
      </c>
      <c r="S303" s="142">
        <v>2492</v>
      </c>
      <c r="T303" s="142" t="s">
        <v>41</v>
      </c>
      <c r="U303" s="142" t="s">
        <v>17</v>
      </c>
      <c r="V303" s="142" t="s">
        <v>17</v>
      </c>
      <c r="W303" s="142" t="s">
        <v>17</v>
      </c>
      <c r="X303" s="142" t="s">
        <v>17</v>
      </c>
      <c r="Y303" s="142" t="s">
        <v>17</v>
      </c>
      <c r="Z303" s="142" t="s">
        <v>17</v>
      </c>
      <c r="AA303" s="142" t="s">
        <v>17</v>
      </c>
      <c r="AB303" s="142" t="s">
        <v>17</v>
      </c>
      <c r="AC303" s="142" t="s">
        <v>2586</v>
      </c>
      <c r="AD303" s="142" t="s">
        <v>19</v>
      </c>
      <c r="AE303" s="10" t="s">
        <v>17</v>
      </c>
      <c r="AF303" s="142" t="s">
        <v>2553</v>
      </c>
      <c r="AG303" s="215"/>
      <c r="AH303" s="215"/>
      <c r="AI303" s="215"/>
      <c r="AJ303" s="215"/>
      <c r="AK303" s="215"/>
      <c r="AL303" s="215"/>
      <c r="AM303" s="215"/>
      <c r="AN303" s="215"/>
      <c r="AO303" s="215"/>
      <c r="AP303" s="215"/>
      <c r="AQ303" s="215"/>
      <c r="AR303" s="215"/>
      <c r="AS303" s="215"/>
      <c r="AT303" s="215"/>
      <c r="AU303" s="215"/>
      <c r="AV303" s="215"/>
      <c r="AW303" s="215"/>
      <c r="AX303" s="215"/>
      <c r="AY303" s="215"/>
      <c r="AZ303" s="215"/>
      <c r="BA303" s="215"/>
      <c r="BB303" s="215"/>
      <c r="BC303" s="215"/>
      <c r="BD303" s="215"/>
      <c r="BE303" s="568"/>
    </row>
    <row r="304" spans="1:57" ht="50.1" customHeight="1" x14ac:dyDescent="0.3">
      <c r="A304" s="621">
        <v>802175</v>
      </c>
      <c r="B304" s="128" t="s">
        <v>143</v>
      </c>
      <c r="C304" s="622" t="s">
        <v>2593</v>
      </c>
      <c r="D304" s="128" t="s">
        <v>149</v>
      </c>
      <c r="E304" s="623">
        <v>44769</v>
      </c>
      <c r="F304" s="128" t="s">
        <v>2594</v>
      </c>
      <c r="G304" s="128" t="s">
        <v>147</v>
      </c>
      <c r="H304" s="622" t="s">
        <v>2595</v>
      </c>
      <c r="I304" s="125" t="s">
        <v>2596</v>
      </c>
      <c r="J304" s="6" t="s">
        <v>16</v>
      </c>
      <c r="K304" s="6" t="s">
        <v>327</v>
      </c>
      <c r="L304" s="128" t="s">
        <v>2409</v>
      </c>
      <c r="M304" s="622" t="s">
        <v>17</v>
      </c>
      <c r="N304" s="128" t="s">
        <v>2409</v>
      </c>
      <c r="O304" s="125" t="s">
        <v>2597</v>
      </c>
      <c r="P304" s="128" t="s">
        <v>23</v>
      </c>
      <c r="Q304" s="128" t="s">
        <v>23</v>
      </c>
      <c r="R304" s="10" t="s">
        <v>163</v>
      </c>
      <c r="S304" s="622" t="s">
        <v>2598</v>
      </c>
      <c r="T304" s="278" t="s">
        <v>17</v>
      </c>
      <c r="U304" s="622">
        <v>1372</v>
      </c>
      <c r="V304" s="128" t="s">
        <v>23</v>
      </c>
      <c r="W304" s="128" t="s">
        <v>23</v>
      </c>
      <c r="X304" s="128" t="s">
        <v>23</v>
      </c>
      <c r="Y304" s="128" t="s">
        <v>23</v>
      </c>
      <c r="Z304" s="128" t="s">
        <v>23</v>
      </c>
      <c r="AA304" s="128" t="s">
        <v>23</v>
      </c>
      <c r="AB304" s="128" t="s">
        <v>23</v>
      </c>
      <c r="AC304" s="125" t="s">
        <v>2412</v>
      </c>
      <c r="AD304" s="622" t="s">
        <v>19</v>
      </c>
      <c r="AE304" s="10" t="s">
        <v>17</v>
      </c>
      <c r="AF304" s="622" t="s">
        <v>1320</v>
      </c>
      <c r="AG304" s="282"/>
      <c r="AH304" s="282"/>
    </row>
    <row r="305" spans="1:57" s="282" customFormat="1" ht="50.1" customHeight="1" x14ac:dyDescent="0.3">
      <c r="A305" s="486">
        <v>750170</v>
      </c>
      <c r="B305" s="486" t="s">
        <v>143</v>
      </c>
      <c r="C305" s="486" t="s">
        <v>2599</v>
      </c>
      <c r="D305" s="486" t="s">
        <v>149</v>
      </c>
      <c r="E305" s="171">
        <v>44887</v>
      </c>
      <c r="F305" s="152" t="s">
        <v>2600</v>
      </c>
      <c r="G305" s="152" t="s">
        <v>147</v>
      </c>
      <c r="H305" s="152" t="s">
        <v>2601</v>
      </c>
      <c r="I305" s="152" t="s">
        <v>2602</v>
      </c>
      <c r="J305" s="6" t="s">
        <v>16</v>
      </c>
      <c r="K305" s="6" t="s">
        <v>327</v>
      </c>
      <c r="L305" s="152" t="s">
        <v>2603</v>
      </c>
      <c r="M305" s="152" t="s">
        <v>23</v>
      </c>
      <c r="N305" s="152" t="s">
        <v>2603</v>
      </c>
      <c r="O305" s="152" t="s">
        <v>2410</v>
      </c>
      <c r="P305" s="152" t="s">
        <v>23</v>
      </c>
      <c r="Q305" s="152" t="s">
        <v>23</v>
      </c>
      <c r="R305" s="158" t="s">
        <v>180</v>
      </c>
      <c r="S305" s="152" t="s">
        <v>2604</v>
      </c>
      <c r="T305" s="152" t="s">
        <v>212</v>
      </c>
      <c r="U305" s="152" t="s">
        <v>183</v>
      </c>
      <c r="V305" s="152" t="s">
        <v>23</v>
      </c>
      <c r="W305" s="152" t="s">
        <v>23</v>
      </c>
      <c r="X305" s="152" t="s">
        <v>23</v>
      </c>
      <c r="Y305" s="152" t="s">
        <v>17</v>
      </c>
      <c r="Z305" s="152" t="s">
        <v>23</v>
      </c>
      <c r="AA305" s="152" t="s">
        <v>23</v>
      </c>
      <c r="AB305" s="152" t="s">
        <v>23</v>
      </c>
      <c r="AC305" s="486" t="s">
        <v>2605</v>
      </c>
      <c r="AD305" s="486" t="s">
        <v>19</v>
      </c>
      <c r="AE305" s="10" t="s">
        <v>17</v>
      </c>
      <c r="AF305" s="486" t="s">
        <v>2606</v>
      </c>
      <c r="AG305" s="140"/>
      <c r="AH305" s="140"/>
    </row>
    <row r="306" spans="1:57" s="282" customFormat="1" ht="50.1" customHeight="1" x14ac:dyDescent="0.3">
      <c r="A306" s="486">
        <v>791255</v>
      </c>
      <c r="B306" s="486" t="s">
        <v>227</v>
      </c>
      <c r="C306" s="486" t="s">
        <v>2607</v>
      </c>
      <c r="D306" s="486" t="s">
        <v>227</v>
      </c>
      <c r="E306" s="171">
        <v>44097</v>
      </c>
      <c r="F306" s="152" t="s">
        <v>2608</v>
      </c>
      <c r="G306" s="31" t="s">
        <v>229</v>
      </c>
      <c r="H306" s="152" t="s">
        <v>296</v>
      </c>
      <c r="I306" s="152" t="s">
        <v>2609</v>
      </c>
      <c r="J306" s="6" t="s">
        <v>16</v>
      </c>
      <c r="K306" s="152" t="s">
        <v>1024</v>
      </c>
      <c r="L306" s="152" t="s">
        <v>2610</v>
      </c>
      <c r="M306" s="152" t="s">
        <v>2610</v>
      </c>
      <c r="N306" s="152"/>
      <c r="O306" s="152" t="s">
        <v>2611</v>
      </c>
      <c r="P306" s="152" t="s">
        <v>17</v>
      </c>
      <c r="Q306" s="152" t="s">
        <v>17</v>
      </c>
      <c r="R306" s="6" t="s">
        <v>17</v>
      </c>
      <c r="S306" s="152" t="s">
        <v>17</v>
      </c>
      <c r="T306" s="10" t="s">
        <v>68</v>
      </c>
      <c r="U306" s="152" t="s">
        <v>17</v>
      </c>
      <c r="V306" s="152" t="s">
        <v>17</v>
      </c>
      <c r="W306" s="152" t="s">
        <v>17</v>
      </c>
      <c r="X306" s="152" t="s">
        <v>17</v>
      </c>
      <c r="Y306" s="152" t="s">
        <v>17</v>
      </c>
      <c r="Z306" s="152"/>
      <c r="AA306" s="152"/>
      <c r="AB306" s="152"/>
      <c r="AC306" s="486"/>
      <c r="AD306" s="486" t="s">
        <v>24</v>
      </c>
      <c r="AE306" s="10" t="s">
        <v>17</v>
      </c>
      <c r="AF306" s="486" t="s">
        <v>702</v>
      </c>
      <c r="AG306" s="140"/>
      <c r="AH306" s="140"/>
    </row>
    <row r="307" spans="1:57" s="282" customFormat="1" ht="50.1" customHeight="1" x14ac:dyDescent="0.3">
      <c r="A307" s="486">
        <v>518787</v>
      </c>
      <c r="B307" s="486" t="s">
        <v>227</v>
      </c>
      <c r="C307" s="486" t="s">
        <v>2612</v>
      </c>
      <c r="D307" s="486" t="s">
        <v>227</v>
      </c>
      <c r="E307" s="171">
        <v>42076</v>
      </c>
      <c r="F307" s="152" t="s">
        <v>2613</v>
      </c>
      <c r="G307" s="31" t="s">
        <v>229</v>
      </c>
      <c r="H307" s="152" t="s">
        <v>296</v>
      </c>
      <c r="I307" s="152" t="s">
        <v>2614</v>
      </c>
      <c r="J307" s="6" t="s">
        <v>16</v>
      </c>
      <c r="K307" s="152" t="s">
        <v>1024</v>
      </c>
      <c r="L307" s="152" t="s">
        <v>2615</v>
      </c>
      <c r="M307" s="152" t="s">
        <v>2615</v>
      </c>
      <c r="N307" s="152"/>
      <c r="O307" s="152"/>
      <c r="P307" s="152"/>
      <c r="Q307" s="152"/>
      <c r="R307" s="6" t="s">
        <v>17</v>
      </c>
      <c r="S307" s="152"/>
      <c r="T307" s="278" t="s">
        <v>17</v>
      </c>
      <c r="U307" s="152"/>
      <c r="V307" s="152"/>
      <c r="W307" s="152"/>
      <c r="X307" s="152"/>
      <c r="Y307" s="152"/>
      <c r="Z307" s="152"/>
      <c r="AA307" s="152"/>
      <c r="AB307" s="152"/>
      <c r="AC307" s="486"/>
      <c r="AD307" s="486" t="s">
        <v>24</v>
      </c>
      <c r="AE307" s="10" t="s">
        <v>17</v>
      </c>
      <c r="AF307" s="486" t="s">
        <v>702</v>
      </c>
      <c r="AG307" s="140"/>
      <c r="AH307" s="140"/>
    </row>
    <row r="308" spans="1:57" s="282" customFormat="1" ht="50.1" customHeight="1" x14ac:dyDescent="0.3">
      <c r="A308" s="486">
        <v>807588</v>
      </c>
      <c r="B308" s="486" t="s">
        <v>227</v>
      </c>
      <c r="C308" s="486" t="s">
        <v>2616</v>
      </c>
      <c r="D308" s="486" t="s">
        <v>227</v>
      </c>
      <c r="E308" s="171">
        <v>44847</v>
      </c>
      <c r="F308" s="152" t="s">
        <v>2617</v>
      </c>
      <c r="G308" s="31" t="s">
        <v>229</v>
      </c>
      <c r="H308" s="152" t="s">
        <v>296</v>
      </c>
      <c r="I308" s="152" t="s">
        <v>2618</v>
      </c>
      <c r="J308" s="6" t="s">
        <v>16</v>
      </c>
      <c r="K308" s="152" t="s">
        <v>1024</v>
      </c>
      <c r="L308" s="152" t="s">
        <v>2619</v>
      </c>
      <c r="M308" s="152" t="s">
        <v>2619</v>
      </c>
      <c r="N308" s="152"/>
      <c r="O308" s="152" t="s">
        <v>2620</v>
      </c>
      <c r="P308" s="152"/>
      <c r="Q308" s="152"/>
      <c r="R308" s="6" t="s">
        <v>17</v>
      </c>
      <c r="S308" s="152"/>
      <c r="T308" s="278" t="s">
        <v>17</v>
      </c>
      <c r="U308" s="152"/>
      <c r="V308" s="152"/>
      <c r="W308" s="152"/>
      <c r="X308" s="152"/>
      <c r="Y308" s="152"/>
      <c r="Z308" s="152"/>
      <c r="AA308" s="152"/>
      <c r="AB308" s="152"/>
      <c r="AC308" s="486"/>
      <c r="AD308" s="486" t="s">
        <v>24</v>
      </c>
      <c r="AE308" s="10" t="s">
        <v>17</v>
      </c>
      <c r="AF308" s="486" t="s">
        <v>702</v>
      </c>
      <c r="AG308" s="140"/>
      <c r="AH308" s="140"/>
    </row>
    <row r="309" spans="1:57" s="282" customFormat="1" ht="50.1" customHeight="1" x14ac:dyDescent="0.3">
      <c r="A309" s="486">
        <v>827510</v>
      </c>
      <c r="B309" s="486" t="s">
        <v>227</v>
      </c>
      <c r="C309" s="486" t="s">
        <v>2621</v>
      </c>
      <c r="D309" s="486" t="s">
        <v>227</v>
      </c>
      <c r="E309" s="171">
        <v>45394</v>
      </c>
      <c r="F309" s="152" t="s">
        <v>2622</v>
      </c>
      <c r="G309" s="31" t="s">
        <v>229</v>
      </c>
      <c r="H309" s="152" t="s">
        <v>296</v>
      </c>
      <c r="I309" s="152" t="s">
        <v>1023</v>
      </c>
      <c r="J309" s="6" t="s">
        <v>16</v>
      </c>
      <c r="K309" s="152" t="s">
        <v>1024</v>
      </c>
      <c r="L309" s="152" t="s">
        <v>2623</v>
      </c>
      <c r="M309" s="152"/>
      <c r="N309" s="152"/>
      <c r="O309" s="152"/>
      <c r="P309" s="152"/>
      <c r="Q309" s="152"/>
      <c r="R309" s="6" t="s">
        <v>17</v>
      </c>
      <c r="S309" s="152"/>
      <c r="T309" s="278" t="s">
        <v>17</v>
      </c>
      <c r="U309" s="152"/>
      <c r="V309" s="152"/>
      <c r="W309" s="152"/>
      <c r="X309" s="152"/>
      <c r="Y309" s="152"/>
      <c r="Z309" s="152"/>
      <c r="AA309" s="152"/>
      <c r="AB309" s="152"/>
      <c r="AC309" s="486"/>
      <c r="AD309" s="486" t="s">
        <v>24</v>
      </c>
      <c r="AE309" s="10" t="s">
        <v>17</v>
      </c>
      <c r="AF309" s="486"/>
      <c r="AG309" s="140"/>
      <c r="AH309" s="140"/>
    </row>
    <row r="310" spans="1:57" s="282" customFormat="1" ht="50.1" customHeight="1" x14ac:dyDescent="0.3">
      <c r="A310" s="486">
        <v>827513</v>
      </c>
      <c r="B310" s="486" t="s">
        <v>227</v>
      </c>
      <c r="C310" s="486" t="s">
        <v>2624</v>
      </c>
      <c r="D310" s="486" t="s">
        <v>227</v>
      </c>
      <c r="E310" s="171">
        <v>45608</v>
      </c>
      <c r="F310" s="152" t="s">
        <v>2622</v>
      </c>
      <c r="G310" s="31" t="s">
        <v>229</v>
      </c>
      <c r="H310" s="152" t="s">
        <v>296</v>
      </c>
      <c r="I310" s="152" t="s">
        <v>2625</v>
      </c>
      <c r="J310" s="6" t="s">
        <v>16</v>
      </c>
      <c r="K310" s="152" t="s">
        <v>1024</v>
      </c>
      <c r="L310" s="152"/>
      <c r="M310" s="152"/>
      <c r="N310" s="152"/>
      <c r="O310" s="152"/>
      <c r="P310" s="152"/>
      <c r="Q310" s="152"/>
      <c r="R310" s="6" t="s">
        <v>17</v>
      </c>
      <c r="S310" s="152"/>
      <c r="T310" s="278" t="s">
        <v>17</v>
      </c>
      <c r="U310" s="152"/>
      <c r="V310" s="152"/>
      <c r="W310" s="152"/>
      <c r="X310" s="152"/>
      <c r="Y310" s="152"/>
      <c r="Z310" s="152"/>
      <c r="AA310" s="152"/>
      <c r="AB310" s="152"/>
      <c r="AC310" s="486"/>
      <c r="AD310" s="486" t="s">
        <v>24</v>
      </c>
      <c r="AE310" s="10" t="s">
        <v>17</v>
      </c>
      <c r="AF310" s="486"/>
      <c r="AG310" s="140"/>
      <c r="AH310" s="140"/>
    </row>
    <row r="311" spans="1:57" s="282" customFormat="1" ht="50.1" customHeight="1" x14ac:dyDescent="0.3">
      <c r="A311" s="486">
        <v>816403</v>
      </c>
      <c r="B311" s="486" t="s">
        <v>227</v>
      </c>
      <c r="C311" s="486" t="s">
        <v>2626</v>
      </c>
      <c r="D311" s="486" t="s">
        <v>227</v>
      </c>
      <c r="E311" s="171">
        <v>45023</v>
      </c>
      <c r="F311" s="152" t="s">
        <v>2627</v>
      </c>
      <c r="G311" s="31" t="s">
        <v>229</v>
      </c>
      <c r="H311" s="152" t="s">
        <v>296</v>
      </c>
      <c r="I311" s="152" t="s">
        <v>2628</v>
      </c>
      <c r="J311" s="6" t="s">
        <v>16</v>
      </c>
      <c r="K311" s="152" t="s">
        <v>1024</v>
      </c>
      <c r="L311" s="152" t="s">
        <v>2619</v>
      </c>
      <c r="M311" s="152" t="s">
        <v>2619</v>
      </c>
      <c r="N311" s="152"/>
      <c r="O311" s="152"/>
      <c r="P311" s="152"/>
      <c r="Q311" s="152"/>
      <c r="R311" s="6" t="s">
        <v>17</v>
      </c>
      <c r="S311" s="152"/>
      <c r="T311" s="278" t="s">
        <v>17</v>
      </c>
      <c r="U311" s="152"/>
      <c r="V311" s="152"/>
      <c r="W311" s="152"/>
      <c r="X311" s="152"/>
      <c r="Y311" s="152"/>
      <c r="Z311" s="152"/>
      <c r="AA311" s="152"/>
      <c r="AB311" s="152"/>
      <c r="AC311" s="486"/>
      <c r="AD311" s="486" t="s">
        <v>19</v>
      </c>
      <c r="AE311" s="10" t="s">
        <v>17</v>
      </c>
      <c r="AF311" s="486" t="s">
        <v>2629</v>
      </c>
      <c r="AG311" s="140"/>
      <c r="AH311" s="140"/>
    </row>
    <row r="312" spans="1:57" s="467" customFormat="1" ht="50.1" customHeight="1" x14ac:dyDescent="0.3">
      <c r="A312" s="172">
        <v>807575</v>
      </c>
      <c r="B312" s="486" t="s">
        <v>228</v>
      </c>
      <c r="C312" s="152" t="s">
        <v>2630</v>
      </c>
      <c r="D312" s="486" t="s">
        <v>228</v>
      </c>
      <c r="E312" s="171">
        <v>45329</v>
      </c>
      <c r="F312" s="486" t="s">
        <v>2631</v>
      </c>
      <c r="G312" s="31" t="s">
        <v>229</v>
      </c>
      <c r="H312" s="172" t="s">
        <v>296</v>
      </c>
      <c r="I312" s="152" t="s">
        <v>2632</v>
      </c>
      <c r="J312" s="6" t="s">
        <v>16</v>
      </c>
      <c r="K312" s="486" t="s">
        <v>316</v>
      </c>
      <c r="L312" s="486" t="s">
        <v>2633</v>
      </c>
      <c r="M312" s="486" t="s">
        <v>2633</v>
      </c>
      <c r="N312" s="486" t="s">
        <v>2634</v>
      </c>
      <c r="O312" s="152"/>
      <c r="P312" s="486" t="s">
        <v>23</v>
      </c>
      <c r="Q312" s="486" t="s">
        <v>23</v>
      </c>
      <c r="R312" s="10" t="s">
        <v>163</v>
      </c>
      <c r="S312" s="172" t="s">
        <v>2635</v>
      </c>
      <c r="T312" s="172" t="s">
        <v>21</v>
      </c>
      <c r="U312" s="486" t="s">
        <v>23</v>
      </c>
      <c r="V312" s="486" t="s">
        <v>23</v>
      </c>
      <c r="W312" s="486" t="s">
        <v>23</v>
      </c>
      <c r="X312" s="486" t="s">
        <v>23</v>
      </c>
      <c r="Y312" s="486" t="s">
        <v>23</v>
      </c>
      <c r="Z312" s="486" t="s">
        <v>23</v>
      </c>
      <c r="AA312" s="486" t="s">
        <v>23</v>
      </c>
      <c r="AB312" s="486" t="s">
        <v>23</v>
      </c>
      <c r="AC312" s="152"/>
      <c r="AD312" s="172" t="s">
        <v>19</v>
      </c>
      <c r="AE312" s="10" t="s">
        <v>17</v>
      </c>
      <c r="AF312" s="172" t="s">
        <v>702</v>
      </c>
      <c r="AG312" s="624"/>
      <c r="AH312" s="624"/>
      <c r="AI312" s="624"/>
      <c r="AJ312" s="624"/>
      <c r="AK312" s="624"/>
      <c r="AL312" s="624"/>
      <c r="AM312" s="624"/>
      <c r="AN312" s="624"/>
      <c r="AO312" s="624"/>
      <c r="AP312" s="624"/>
      <c r="AQ312" s="624"/>
      <c r="AR312" s="624"/>
      <c r="AS312" s="624"/>
      <c r="AT312" s="624"/>
      <c r="AU312" s="624"/>
      <c r="AV312" s="624"/>
      <c r="AW312" s="624"/>
      <c r="AX312" s="624"/>
      <c r="AY312" s="624"/>
      <c r="AZ312" s="624"/>
      <c r="BA312" s="624"/>
      <c r="BB312" s="624"/>
      <c r="BC312" s="624"/>
      <c r="BD312" s="624"/>
      <c r="BE312" s="624"/>
    </row>
    <row r="313" spans="1:57" ht="50.1" customHeight="1" x14ac:dyDescent="0.3">
      <c r="A313" s="625">
        <v>811312</v>
      </c>
      <c r="B313" s="626" t="s">
        <v>143</v>
      </c>
      <c r="C313" s="627" t="s">
        <v>2636</v>
      </c>
      <c r="D313" s="626" t="s">
        <v>156</v>
      </c>
      <c r="E313" s="606">
        <v>45543</v>
      </c>
      <c r="F313" s="626" t="s">
        <v>912</v>
      </c>
      <c r="G313" s="626" t="s">
        <v>15</v>
      </c>
      <c r="H313" s="625" t="s">
        <v>296</v>
      </c>
      <c r="I313" s="627" t="s">
        <v>2637</v>
      </c>
      <c r="J313" s="6" t="s">
        <v>16</v>
      </c>
      <c r="K313" s="6" t="s">
        <v>298</v>
      </c>
      <c r="L313" s="626" t="s">
        <v>2638</v>
      </c>
      <c r="M313" s="625" t="s">
        <v>17</v>
      </c>
      <c r="N313" s="626" t="s">
        <v>2639</v>
      </c>
      <c r="O313" s="627" t="s">
        <v>2640</v>
      </c>
      <c r="P313" s="626" t="s">
        <v>17</v>
      </c>
      <c r="Q313" s="626" t="s">
        <v>17</v>
      </c>
      <c r="R313" s="10" t="s">
        <v>163</v>
      </c>
      <c r="S313" s="625" t="s">
        <v>2641</v>
      </c>
      <c r="T313" s="625" t="s">
        <v>18</v>
      </c>
      <c r="U313" s="625" t="s">
        <v>2642</v>
      </c>
      <c r="V313" s="626" t="s">
        <v>17</v>
      </c>
      <c r="W313" s="626" t="s">
        <v>17</v>
      </c>
      <c r="X313" s="626" t="s">
        <v>17</v>
      </c>
      <c r="Y313" s="626" t="s">
        <v>17</v>
      </c>
      <c r="Z313" s="626" t="s">
        <v>17</v>
      </c>
      <c r="AA313" s="626" t="s">
        <v>17</v>
      </c>
      <c r="AB313" s="626" t="s">
        <v>17</v>
      </c>
      <c r="AC313" s="627" t="s">
        <v>2643</v>
      </c>
      <c r="AD313" s="625" t="s">
        <v>19</v>
      </c>
      <c r="AE313" s="625" t="s">
        <v>439</v>
      </c>
      <c r="AF313" s="625" t="s">
        <v>2644</v>
      </c>
    </row>
    <row r="314" spans="1:57" ht="50.1" customHeight="1" x14ac:dyDescent="0.3">
      <c r="A314" s="452">
        <v>797071</v>
      </c>
      <c r="B314" s="543" t="s">
        <v>143</v>
      </c>
      <c r="C314" s="142" t="s">
        <v>2645</v>
      </c>
      <c r="D314" s="543" t="s">
        <v>2646</v>
      </c>
      <c r="E314" s="577">
        <v>44676</v>
      </c>
      <c r="F314" s="543" t="s">
        <v>2647</v>
      </c>
      <c r="G314" s="543" t="s">
        <v>15</v>
      </c>
      <c r="H314" s="142" t="s">
        <v>2648</v>
      </c>
      <c r="I314" s="142" t="s">
        <v>2649</v>
      </c>
      <c r="J314" s="6" t="s">
        <v>16</v>
      </c>
      <c r="K314" s="6" t="s">
        <v>327</v>
      </c>
      <c r="L314" s="543" t="s">
        <v>149</v>
      </c>
      <c r="M314" s="452" t="s">
        <v>17</v>
      </c>
      <c r="N314" s="543" t="s">
        <v>2650</v>
      </c>
      <c r="O314" s="142" t="s">
        <v>2651</v>
      </c>
      <c r="P314" s="543" t="s">
        <v>17</v>
      </c>
      <c r="Q314" s="543" t="s">
        <v>17</v>
      </c>
      <c r="R314" s="10" t="s">
        <v>163</v>
      </c>
      <c r="S314" s="608" t="s">
        <v>2652</v>
      </c>
      <c r="T314" s="452" t="s">
        <v>18</v>
      </c>
      <c r="U314" s="628" t="s">
        <v>2653</v>
      </c>
      <c r="V314" s="543" t="s">
        <v>17</v>
      </c>
      <c r="W314" s="543" t="s">
        <v>17</v>
      </c>
      <c r="X314" s="543" t="s">
        <v>17</v>
      </c>
      <c r="Y314" s="543" t="s">
        <v>17</v>
      </c>
      <c r="Z314" s="543" t="s">
        <v>17</v>
      </c>
      <c r="AA314" s="543" t="s">
        <v>17</v>
      </c>
      <c r="AB314" s="629" t="s">
        <v>17</v>
      </c>
      <c r="AC314" s="142" t="s">
        <v>2654</v>
      </c>
      <c r="AD314" s="628" t="s">
        <v>19</v>
      </c>
      <c r="AE314" s="452" t="s">
        <v>2475</v>
      </c>
      <c r="AF314" s="452" t="s">
        <v>2655</v>
      </c>
    </row>
    <row r="315" spans="1:57" ht="50.1" customHeight="1" x14ac:dyDescent="0.3">
      <c r="A315" s="172">
        <v>814628</v>
      </c>
      <c r="B315" s="486" t="s">
        <v>143</v>
      </c>
      <c r="C315" s="152" t="s">
        <v>2656</v>
      </c>
      <c r="D315" s="486" t="s">
        <v>2657</v>
      </c>
      <c r="E315" s="171">
        <v>45421</v>
      </c>
      <c r="F315" s="486" t="s">
        <v>2658</v>
      </c>
      <c r="G315" s="486" t="s">
        <v>15</v>
      </c>
      <c r="H315" s="152" t="s">
        <v>296</v>
      </c>
      <c r="I315" s="152" t="s">
        <v>2659</v>
      </c>
      <c r="J315" s="6" t="s">
        <v>16</v>
      </c>
      <c r="K315" s="6" t="s">
        <v>298</v>
      </c>
      <c r="L315" s="486" t="s">
        <v>2660</v>
      </c>
      <c r="M315" s="172" t="s">
        <v>17</v>
      </c>
      <c r="N315" s="629" t="s">
        <v>2661</v>
      </c>
      <c r="O315" s="152" t="s">
        <v>2662</v>
      </c>
      <c r="P315" s="486" t="s">
        <v>17</v>
      </c>
      <c r="Q315" s="486" t="s">
        <v>17</v>
      </c>
      <c r="R315" s="10" t="s">
        <v>163</v>
      </c>
      <c r="S315" s="603" t="s">
        <v>2663</v>
      </c>
      <c r="T315" s="172" t="s">
        <v>55</v>
      </c>
      <c r="U315" s="169" t="s">
        <v>2664</v>
      </c>
      <c r="V315" s="486" t="s">
        <v>17</v>
      </c>
      <c r="W315" s="486" t="s">
        <v>17</v>
      </c>
      <c r="X315" s="486" t="s">
        <v>17</v>
      </c>
      <c r="Y315" s="486" t="s">
        <v>17</v>
      </c>
      <c r="Z315" s="486" t="s">
        <v>17</v>
      </c>
      <c r="AA315" s="486" t="s">
        <v>17</v>
      </c>
      <c r="AB315" s="630" t="s">
        <v>17</v>
      </c>
      <c r="AC315" s="152" t="s">
        <v>2665</v>
      </c>
      <c r="AD315" s="172" t="s">
        <v>19</v>
      </c>
      <c r="AE315" s="452" t="s">
        <v>2475</v>
      </c>
      <c r="AF315" s="172" t="s">
        <v>2666</v>
      </c>
    </row>
    <row r="316" spans="1:57" s="635" customFormat="1" ht="50.1" customHeight="1" x14ac:dyDescent="0.2">
      <c r="A316" s="631" t="s">
        <v>134</v>
      </c>
      <c r="B316" s="543" t="s">
        <v>31</v>
      </c>
      <c r="C316" s="632" t="s">
        <v>2667</v>
      </c>
      <c r="D316" s="633" t="s">
        <v>36</v>
      </c>
      <c r="E316" s="623">
        <v>45554</v>
      </c>
      <c r="F316" s="633" t="s">
        <v>2668</v>
      </c>
      <c r="G316" s="16" t="s">
        <v>52</v>
      </c>
      <c r="H316" s="633" t="s">
        <v>296</v>
      </c>
      <c r="I316" s="633" t="s">
        <v>2669</v>
      </c>
      <c r="J316" s="6" t="s">
        <v>16</v>
      </c>
      <c r="K316" s="6" t="s">
        <v>298</v>
      </c>
      <c r="L316" s="634" t="s">
        <v>2164</v>
      </c>
      <c r="M316" s="633" t="s">
        <v>17</v>
      </c>
      <c r="N316" s="634" t="s">
        <v>2670</v>
      </c>
      <c r="O316" s="633" t="s">
        <v>2671</v>
      </c>
      <c r="P316" s="633" t="s">
        <v>17</v>
      </c>
      <c r="Q316" s="633" t="s">
        <v>17</v>
      </c>
      <c r="R316" s="6" t="s">
        <v>96</v>
      </c>
      <c r="S316" s="633" t="s">
        <v>2672</v>
      </c>
      <c r="T316" s="633" t="s">
        <v>135</v>
      </c>
      <c r="U316" s="633">
        <v>4058.57</v>
      </c>
      <c r="V316" s="633" t="s">
        <v>17</v>
      </c>
      <c r="W316" s="633" t="s">
        <v>17</v>
      </c>
      <c r="X316" s="633" t="s">
        <v>17</v>
      </c>
      <c r="Y316" s="633" t="s">
        <v>17</v>
      </c>
      <c r="Z316" s="633" t="s">
        <v>17</v>
      </c>
      <c r="AA316" s="633" t="s">
        <v>17</v>
      </c>
      <c r="AB316" s="633" t="s">
        <v>17</v>
      </c>
      <c r="AC316" s="633" t="s">
        <v>2673</v>
      </c>
      <c r="AD316" s="10" t="s">
        <v>82</v>
      </c>
      <c r="AE316" s="633" t="s">
        <v>439</v>
      </c>
      <c r="AF316" s="633" t="s">
        <v>2674</v>
      </c>
    </row>
    <row r="317" spans="1:57" ht="50.1" customHeight="1" x14ac:dyDescent="0.3">
      <c r="A317" s="396">
        <v>821580</v>
      </c>
      <c r="B317" s="396" t="s">
        <v>143</v>
      </c>
      <c r="C317" s="636" t="s">
        <v>2675</v>
      </c>
      <c r="D317" s="396" t="s">
        <v>2676</v>
      </c>
      <c r="E317" s="171">
        <v>45454</v>
      </c>
      <c r="F317" s="396" t="s">
        <v>2677</v>
      </c>
      <c r="G317" s="636" t="s">
        <v>15</v>
      </c>
      <c r="H317" s="396" t="s">
        <v>904</v>
      </c>
      <c r="I317" s="396" t="s">
        <v>2678</v>
      </c>
      <c r="J317" s="6" t="s">
        <v>16</v>
      </c>
      <c r="K317" s="6" t="s">
        <v>298</v>
      </c>
      <c r="L317" s="637" t="s">
        <v>1914</v>
      </c>
      <c r="M317" s="396" t="s">
        <v>17</v>
      </c>
      <c r="N317" s="637" t="s">
        <v>2679</v>
      </c>
      <c r="O317" s="396" t="s">
        <v>460</v>
      </c>
      <c r="P317" s="396" t="s">
        <v>2680</v>
      </c>
      <c r="Q317" s="396" t="s">
        <v>17</v>
      </c>
      <c r="R317" s="60" t="s">
        <v>148</v>
      </c>
      <c r="S317" s="396" t="s">
        <v>2681</v>
      </c>
      <c r="T317" s="396" t="s">
        <v>21</v>
      </c>
      <c r="U317" s="396" t="s">
        <v>2682</v>
      </c>
      <c r="V317" s="396" t="s">
        <v>17</v>
      </c>
      <c r="W317" s="396" t="s">
        <v>17</v>
      </c>
      <c r="X317" s="396" t="s">
        <v>17</v>
      </c>
      <c r="Y317" s="396" t="s">
        <v>17</v>
      </c>
      <c r="Z317" s="396" t="s">
        <v>17</v>
      </c>
      <c r="AA317" s="396" t="s">
        <v>17</v>
      </c>
      <c r="AB317" s="396" t="s">
        <v>17</v>
      </c>
      <c r="AC317" s="396" t="s">
        <v>2683</v>
      </c>
      <c r="AD317" s="396" t="s">
        <v>19</v>
      </c>
      <c r="AE317" s="6" t="s">
        <v>341</v>
      </c>
      <c r="AF317" s="396" t="s">
        <v>2684</v>
      </c>
    </row>
    <row r="318" spans="1:57" ht="50.1" customHeight="1" x14ac:dyDescent="0.3">
      <c r="A318" s="452">
        <v>822526</v>
      </c>
      <c r="B318" s="543" t="s">
        <v>143</v>
      </c>
      <c r="C318" s="142" t="s">
        <v>2685</v>
      </c>
      <c r="D318" s="543" t="s">
        <v>36</v>
      </c>
      <c r="E318" s="577">
        <v>45604</v>
      </c>
      <c r="F318" s="543" t="s">
        <v>2686</v>
      </c>
      <c r="G318" s="543" t="s">
        <v>15</v>
      </c>
      <c r="H318" s="142" t="s">
        <v>2687</v>
      </c>
      <c r="I318" s="142" t="s">
        <v>2688</v>
      </c>
      <c r="J318" s="6" t="s">
        <v>16</v>
      </c>
      <c r="K318" s="6" t="s">
        <v>298</v>
      </c>
      <c r="L318" s="543" t="s">
        <v>2689</v>
      </c>
      <c r="M318" s="452" t="s">
        <v>17</v>
      </c>
      <c r="N318" s="629" t="s">
        <v>2690</v>
      </c>
      <c r="O318" s="142" t="s">
        <v>2691</v>
      </c>
      <c r="P318" s="543" t="s">
        <v>17</v>
      </c>
      <c r="Q318" s="543" t="s">
        <v>17</v>
      </c>
      <c r="R318" s="6" t="s">
        <v>96</v>
      </c>
      <c r="S318" s="608" t="s">
        <v>2692</v>
      </c>
      <c r="T318" s="32" t="s">
        <v>38</v>
      </c>
      <c r="U318" s="628" t="s">
        <v>2693</v>
      </c>
      <c r="V318" s="543" t="s">
        <v>17</v>
      </c>
      <c r="W318" s="543" t="s">
        <v>17</v>
      </c>
      <c r="X318" s="543" t="s">
        <v>17</v>
      </c>
      <c r="Y318" s="543" t="s">
        <v>17</v>
      </c>
      <c r="Z318" s="426" t="s">
        <v>17</v>
      </c>
      <c r="AA318" s="426" t="s">
        <v>17</v>
      </c>
      <c r="AB318" s="426" t="s">
        <v>17</v>
      </c>
      <c r="AC318" s="426" t="s">
        <v>2683</v>
      </c>
      <c r="AD318" s="426" t="s">
        <v>19</v>
      </c>
      <c r="AE318" s="426" t="s">
        <v>439</v>
      </c>
      <c r="AF318" s="426" t="s">
        <v>2694</v>
      </c>
    </row>
    <row r="319" spans="1:57" ht="50.1" customHeight="1" x14ac:dyDescent="0.3">
      <c r="A319" s="452">
        <v>824862</v>
      </c>
      <c r="B319" s="543" t="s">
        <v>143</v>
      </c>
      <c r="C319" s="142" t="s">
        <v>2695</v>
      </c>
      <c r="D319" s="629" t="s">
        <v>2696</v>
      </c>
      <c r="E319" s="577">
        <v>45604</v>
      </c>
      <c r="F319" s="543" t="s">
        <v>2697</v>
      </c>
      <c r="G319" s="543" t="s">
        <v>15</v>
      </c>
      <c r="H319" s="142" t="s">
        <v>2687</v>
      </c>
      <c r="I319" s="619" t="s">
        <v>2688</v>
      </c>
      <c r="J319" s="6" t="s">
        <v>16</v>
      </c>
      <c r="K319" s="6" t="s">
        <v>298</v>
      </c>
      <c r="L319" s="543" t="s">
        <v>2689</v>
      </c>
      <c r="M319" s="452" t="s">
        <v>17</v>
      </c>
      <c r="N319" s="543" t="s">
        <v>2690</v>
      </c>
      <c r="O319" s="619" t="s">
        <v>2691</v>
      </c>
      <c r="P319" s="543" t="s">
        <v>17</v>
      </c>
      <c r="Q319" s="543" t="s">
        <v>17</v>
      </c>
      <c r="R319" s="6" t="s">
        <v>96</v>
      </c>
      <c r="S319" s="608" t="s">
        <v>2692</v>
      </c>
      <c r="T319" s="32" t="s">
        <v>38</v>
      </c>
      <c r="U319" s="628" t="s">
        <v>2693</v>
      </c>
      <c r="V319" s="543" t="s">
        <v>17</v>
      </c>
      <c r="W319" s="543" t="s">
        <v>17</v>
      </c>
      <c r="X319" s="543" t="s">
        <v>17</v>
      </c>
      <c r="Y319" s="543" t="s">
        <v>17</v>
      </c>
      <c r="Z319" s="426" t="s">
        <v>17</v>
      </c>
      <c r="AA319" s="426" t="s">
        <v>17</v>
      </c>
      <c r="AB319" s="426" t="s">
        <v>17</v>
      </c>
      <c r="AC319" s="638" t="s">
        <v>2683</v>
      </c>
      <c r="AD319" s="426" t="s">
        <v>19</v>
      </c>
      <c r="AE319" s="426" t="s">
        <v>439</v>
      </c>
      <c r="AF319" s="426" t="s">
        <v>2694</v>
      </c>
    </row>
    <row r="320" spans="1:57" ht="50.1" customHeight="1" x14ac:dyDescent="0.3">
      <c r="A320" s="172">
        <v>822642</v>
      </c>
      <c r="B320" s="486" t="s">
        <v>143</v>
      </c>
      <c r="C320" s="152" t="s">
        <v>2698</v>
      </c>
      <c r="D320" s="486" t="s">
        <v>2696</v>
      </c>
      <c r="E320" s="171">
        <v>45604</v>
      </c>
      <c r="F320" s="486" t="s">
        <v>2697</v>
      </c>
      <c r="G320" s="486" t="s">
        <v>15</v>
      </c>
      <c r="H320" s="152" t="s">
        <v>1875</v>
      </c>
      <c r="I320" s="567" t="s">
        <v>2699</v>
      </c>
      <c r="J320" s="6" t="s">
        <v>16</v>
      </c>
      <c r="K320" s="6" t="s">
        <v>298</v>
      </c>
      <c r="L320" s="486" t="s">
        <v>2700</v>
      </c>
      <c r="M320" s="172" t="s">
        <v>17</v>
      </c>
      <c r="N320" s="486" t="s">
        <v>2701</v>
      </c>
      <c r="O320" s="152" t="s">
        <v>2702</v>
      </c>
      <c r="P320" s="486" t="s">
        <v>17</v>
      </c>
      <c r="Q320" s="486" t="s">
        <v>17</v>
      </c>
      <c r="R320" s="6" t="s">
        <v>96</v>
      </c>
      <c r="S320" s="603" t="s">
        <v>2703</v>
      </c>
      <c r="T320" s="172" t="s">
        <v>2704</v>
      </c>
      <c r="U320" s="172" t="s">
        <v>2705</v>
      </c>
      <c r="V320" s="172" t="s">
        <v>17</v>
      </c>
      <c r="W320" s="169" t="s">
        <v>17</v>
      </c>
      <c r="X320" s="486" t="s">
        <v>17</v>
      </c>
      <c r="Y320" s="486" t="s">
        <v>17</v>
      </c>
      <c r="Z320" s="396" t="s">
        <v>17</v>
      </c>
      <c r="AA320" s="396" t="s">
        <v>17</v>
      </c>
      <c r="AB320" s="396" t="s">
        <v>17</v>
      </c>
      <c r="AC320" s="567" t="s">
        <v>2683</v>
      </c>
      <c r="AD320" s="396" t="s">
        <v>19</v>
      </c>
      <c r="AE320" s="396" t="s">
        <v>439</v>
      </c>
      <c r="AF320" s="396" t="s">
        <v>2694</v>
      </c>
    </row>
    <row r="321" spans="1:32" ht="27.75" customHeight="1" x14ac:dyDescent="0.3">
      <c r="A321" s="6">
        <v>31038</v>
      </c>
      <c r="B321" s="6" t="s">
        <v>31</v>
      </c>
      <c r="C321" s="6" t="s">
        <v>2706</v>
      </c>
      <c r="D321" s="7" t="s">
        <v>32</v>
      </c>
      <c r="E321" s="8">
        <v>37222</v>
      </c>
      <c r="F321" s="6" t="s">
        <v>2707</v>
      </c>
      <c r="G321" s="9" t="s">
        <v>33</v>
      </c>
      <c r="H321" s="6" t="s">
        <v>2708</v>
      </c>
      <c r="I321" s="6" t="s">
        <v>2709</v>
      </c>
      <c r="J321" s="6" t="s">
        <v>34</v>
      </c>
      <c r="K321" s="6" t="s">
        <v>2710</v>
      </c>
      <c r="L321" s="6" t="s">
        <v>2711</v>
      </c>
      <c r="M321" s="6" t="s">
        <v>23</v>
      </c>
      <c r="N321" s="6" t="s">
        <v>2712</v>
      </c>
      <c r="O321" s="6" t="s">
        <v>2713</v>
      </c>
      <c r="P321" s="10" t="s">
        <v>23</v>
      </c>
      <c r="Q321" s="10" t="s">
        <v>23</v>
      </c>
      <c r="R321" s="10" t="s">
        <v>45</v>
      </c>
      <c r="S321" s="11" t="s">
        <v>2714</v>
      </c>
      <c r="T321" s="10" t="s">
        <v>18</v>
      </c>
      <c r="U321" s="12">
        <v>10445</v>
      </c>
      <c r="V321" s="10" t="s">
        <v>23</v>
      </c>
      <c r="W321" s="10" t="s">
        <v>23</v>
      </c>
      <c r="X321" s="10" t="s">
        <v>23</v>
      </c>
      <c r="Y321" s="10" t="s">
        <v>23</v>
      </c>
      <c r="Z321" s="13">
        <v>38058</v>
      </c>
      <c r="AA321" s="13">
        <v>39383</v>
      </c>
      <c r="AB321" s="11" t="s">
        <v>2715</v>
      </c>
      <c r="AC321" s="11" t="s">
        <v>2716</v>
      </c>
      <c r="AD321" s="6" t="s">
        <v>22</v>
      </c>
      <c r="AE321" s="10" t="s">
        <v>2717</v>
      </c>
      <c r="AF321" s="6" t="s">
        <v>546</v>
      </c>
    </row>
    <row r="322" spans="1:32" ht="27.75" customHeight="1" x14ac:dyDescent="0.3">
      <c r="A322" s="6">
        <v>167094</v>
      </c>
      <c r="B322" s="6" t="s">
        <v>31</v>
      </c>
      <c r="C322" s="6" t="s">
        <v>2718</v>
      </c>
      <c r="D322" s="7" t="s">
        <v>36</v>
      </c>
      <c r="E322" s="8">
        <v>37193</v>
      </c>
      <c r="F322" s="6" t="s">
        <v>2719</v>
      </c>
      <c r="G322" s="9" t="s">
        <v>33</v>
      </c>
      <c r="H322" s="6" t="s">
        <v>2720</v>
      </c>
      <c r="I322" s="6" t="s">
        <v>2721</v>
      </c>
      <c r="J322" s="6" t="s">
        <v>34</v>
      </c>
      <c r="K322" s="6" t="s">
        <v>2722</v>
      </c>
      <c r="L322" s="6" t="s">
        <v>2711</v>
      </c>
      <c r="M322" s="6" t="s">
        <v>23</v>
      </c>
      <c r="N322" s="6" t="s">
        <v>2723</v>
      </c>
      <c r="O322" s="6" t="s">
        <v>2724</v>
      </c>
      <c r="P322" s="10" t="s">
        <v>23</v>
      </c>
      <c r="Q322" s="10" t="s">
        <v>23</v>
      </c>
      <c r="R322" s="10" t="s">
        <v>37</v>
      </c>
      <c r="S322" s="15">
        <v>3296</v>
      </c>
      <c r="T322" s="10" t="s">
        <v>38</v>
      </c>
      <c r="U322" s="12">
        <v>2739</v>
      </c>
      <c r="V322" s="10" t="s">
        <v>23</v>
      </c>
      <c r="W322" s="10" t="s">
        <v>23</v>
      </c>
      <c r="X322" s="10" t="s">
        <v>23</v>
      </c>
      <c r="Y322" s="10" t="s">
        <v>23</v>
      </c>
      <c r="Z322" s="13">
        <v>37379</v>
      </c>
      <c r="AA322" s="13">
        <v>37463</v>
      </c>
      <c r="AB322" s="11" t="s">
        <v>2725</v>
      </c>
      <c r="AC322" s="11" t="s">
        <v>2726</v>
      </c>
      <c r="AD322" s="6" t="s">
        <v>22</v>
      </c>
      <c r="AE322" s="6" t="s">
        <v>341</v>
      </c>
      <c r="AF322" s="6" t="s">
        <v>600</v>
      </c>
    </row>
    <row r="323" spans="1:32" ht="27.75" customHeight="1" x14ac:dyDescent="0.3">
      <c r="A323" s="6">
        <v>10886</v>
      </c>
      <c r="B323" s="6" t="s">
        <v>31</v>
      </c>
      <c r="C323" s="6" t="s">
        <v>2727</v>
      </c>
      <c r="D323" s="7" t="s">
        <v>36</v>
      </c>
      <c r="E323" s="8">
        <v>37245</v>
      </c>
      <c r="F323" s="6" t="s">
        <v>295</v>
      </c>
      <c r="G323" s="16" t="s">
        <v>39</v>
      </c>
      <c r="H323" s="6" t="s">
        <v>2728</v>
      </c>
      <c r="I323" s="6" t="s">
        <v>2729</v>
      </c>
      <c r="J323" s="6" t="s">
        <v>34</v>
      </c>
      <c r="K323" s="6" t="s">
        <v>2722</v>
      </c>
      <c r="L323" s="6" t="s">
        <v>2730</v>
      </c>
      <c r="M323" s="6" t="s">
        <v>23</v>
      </c>
      <c r="N323" s="6" t="s">
        <v>2731</v>
      </c>
      <c r="O323" s="6" t="s">
        <v>2732</v>
      </c>
      <c r="P323" s="10" t="s">
        <v>862</v>
      </c>
      <c r="Q323" s="10" t="s">
        <v>23</v>
      </c>
      <c r="R323" s="10" t="s">
        <v>40</v>
      </c>
      <c r="S323" s="15" t="s">
        <v>2733</v>
      </c>
      <c r="T323" s="10" t="s">
        <v>41</v>
      </c>
      <c r="U323" s="12" t="s">
        <v>23</v>
      </c>
      <c r="V323" s="10" t="s">
        <v>23</v>
      </c>
      <c r="W323" s="10" t="s">
        <v>23</v>
      </c>
      <c r="X323" s="10" t="s">
        <v>23</v>
      </c>
      <c r="Y323" s="10" t="s">
        <v>23</v>
      </c>
      <c r="Z323" s="13">
        <v>37971</v>
      </c>
      <c r="AA323" s="13">
        <v>38883</v>
      </c>
      <c r="AB323" s="11" t="s">
        <v>2725</v>
      </c>
      <c r="AC323" s="11" t="s">
        <v>2734</v>
      </c>
      <c r="AD323" s="6" t="s">
        <v>22</v>
      </c>
      <c r="AE323" s="10" t="s">
        <v>439</v>
      </c>
      <c r="AF323" s="6" t="s">
        <v>2735</v>
      </c>
    </row>
    <row r="324" spans="1:32" ht="27.75" customHeight="1" x14ac:dyDescent="0.3">
      <c r="A324" s="6">
        <v>12622</v>
      </c>
      <c r="B324" s="6" t="s">
        <v>31</v>
      </c>
      <c r="C324" s="6" t="s">
        <v>2736</v>
      </c>
      <c r="D324" s="7" t="s">
        <v>36</v>
      </c>
      <c r="E324" s="8">
        <v>37672</v>
      </c>
      <c r="F324" s="6" t="s">
        <v>2737</v>
      </c>
      <c r="G324" s="9" t="s">
        <v>33</v>
      </c>
      <c r="H324" s="6" t="s">
        <v>2738</v>
      </c>
      <c r="I324" s="6" t="s">
        <v>2739</v>
      </c>
      <c r="J324" s="6" t="s">
        <v>34</v>
      </c>
      <c r="K324" s="6" t="s">
        <v>2722</v>
      </c>
      <c r="L324" s="6" t="s">
        <v>2740</v>
      </c>
      <c r="M324" s="6" t="s">
        <v>23</v>
      </c>
      <c r="N324" s="6" t="s">
        <v>2741</v>
      </c>
      <c r="O324" s="6" t="s">
        <v>2742</v>
      </c>
      <c r="P324" s="10" t="s">
        <v>23</v>
      </c>
      <c r="Q324" s="10" t="s">
        <v>23</v>
      </c>
      <c r="R324" s="10" t="s">
        <v>42</v>
      </c>
      <c r="S324" s="15">
        <v>2925</v>
      </c>
      <c r="T324" s="10" t="s">
        <v>43</v>
      </c>
      <c r="U324" s="12">
        <v>10465</v>
      </c>
      <c r="V324" s="10" t="s">
        <v>23</v>
      </c>
      <c r="W324" s="10" t="s">
        <v>23</v>
      </c>
      <c r="X324" s="10" t="s">
        <v>23</v>
      </c>
      <c r="Y324" s="10" t="s">
        <v>23</v>
      </c>
      <c r="Z324" s="13">
        <v>38408</v>
      </c>
      <c r="AA324" s="13">
        <v>40143</v>
      </c>
      <c r="AB324" s="11" t="s">
        <v>2743</v>
      </c>
      <c r="AC324" s="11" t="s">
        <v>2744</v>
      </c>
      <c r="AD324" s="6" t="s">
        <v>22</v>
      </c>
      <c r="AE324" s="10" t="s">
        <v>439</v>
      </c>
      <c r="AF324" s="6" t="s">
        <v>600</v>
      </c>
    </row>
    <row r="325" spans="1:32" ht="27.75" customHeight="1" x14ac:dyDescent="0.3">
      <c r="A325" s="6">
        <v>54949</v>
      </c>
      <c r="B325" s="6" t="s">
        <v>31</v>
      </c>
      <c r="C325" s="6" t="s">
        <v>2745</v>
      </c>
      <c r="D325" s="7" t="s">
        <v>36</v>
      </c>
      <c r="E325" s="8">
        <v>37930</v>
      </c>
      <c r="F325" s="6" t="s">
        <v>2746</v>
      </c>
      <c r="G325" s="16" t="s">
        <v>39</v>
      </c>
      <c r="H325" s="6" t="s">
        <v>2747</v>
      </c>
      <c r="I325" s="6" t="s">
        <v>2748</v>
      </c>
      <c r="J325" s="6" t="s">
        <v>34</v>
      </c>
      <c r="K325" s="6" t="s">
        <v>298</v>
      </c>
      <c r="L325" s="6" t="s">
        <v>2749</v>
      </c>
      <c r="M325" s="6" t="s">
        <v>23</v>
      </c>
      <c r="N325" s="6" t="s">
        <v>2750</v>
      </c>
      <c r="O325" s="6" t="s">
        <v>2751</v>
      </c>
      <c r="P325" s="10" t="s">
        <v>23</v>
      </c>
      <c r="Q325" s="10" t="s">
        <v>23</v>
      </c>
      <c r="R325" s="10" t="s">
        <v>44</v>
      </c>
      <c r="S325" s="15">
        <v>3363</v>
      </c>
      <c r="T325" s="10" t="s">
        <v>41</v>
      </c>
      <c r="U325" s="12">
        <v>544.55999999999995</v>
      </c>
      <c r="V325" s="10" t="s">
        <v>23</v>
      </c>
      <c r="W325" s="10" t="s">
        <v>23</v>
      </c>
      <c r="X325" s="10" t="s">
        <v>23</v>
      </c>
      <c r="Y325" s="10" t="s">
        <v>23</v>
      </c>
      <c r="Z325" s="13">
        <v>38183</v>
      </c>
      <c r="AA325" s="13" t="s">
        <v>23</v>
      </c>
      <c r="AB325" s="11" t="s">
        <v>2752</v>
      </c>
      <c r="AC325" s="11" t="s">
        <v>2753</v>
      </c>
      <c r="AD325" s="6" t="s">
        <v>22</v>
      </c>
      <c r="AE325" s="10" t="s">
        <v>439</v>
      </c>
      <c r="AF325" s="6" t="s">
        <v>600</v>
      </c>
    </row>
    <row r="326" spans="1:32" ht="27.75" customHeight="1" x14ac:dyDescent="0.3">
      <c r="A326" s="6">
        <v>10886</v>
      </c>
      <c r="B326" s="6" t="s">
        <v>31</v>
      </c>
      <c r="C326" s="6" t="s">
        <v>2754</v>
      </c>
      <c r="D326" s="7" t="s">
        <v>36</v>
      </c>
      <c r="E326" s="8">
        <v>2</v>
      </c>
      <c r="F326" s="6" t="s">
        <v>2755</v>
      </c>
      <c r="G326" s="16" t="s">
        <v>39</v>
      </c>
      <c r="H326" s="6" t="s">
        <v>2756</v>
      </c>
      <c r="I326" s="6" t="s">
        <v>2757</v>
      </c>
      <c r="J326" s="6" t="s">
        <v>34</v>
      </c>
      <c r="K326" s="6" t="s">
        <v>2722</v>
      </c>
      <c r="L326" s="6" t="s">
        <v>2758</v>
      </c>
      <c r="M326" s="6" t="s">
        <v>23</v>
      </c>
      <c r="N326" s="6" t="s">
        <v>2758</v>
      </c>
      <c r="O326" s="6" t="s">
        <v>23</v>
      </c>
      <c r="P326" s="10" t="s">
        <v>23</v>
      </c>
      <c r="Q326" s="10" t="s">
        <v>23</v>
      </c>
      <c r="R326" s="10" t="s">
        <v>45</v>
      </c>
      <c r="S326" s="15" t="s">
        <v>23</v>
      </c>
      <c r="T326" s="10" t="s">
        <v>46</v>
      </c>
      <c r="U326" s="12" t="s">
        <v>23</v>
      </c>
      <c r="V326" s="10" t="s">
        <v>23</v>
      </c>
      <c r="W326" s="10" t="s">
        <v>23</v>
      </c>
      <c r="X326" s="10" t="s">
        <v>23</v>
      </c>
      <c r="Y326" s="10" t="s">
        <v>23</v>
      </c>
      <c r="Z326" s="13">
        <v>39759</v>
      </c>
      <c r="AA326" s="13">
        <v>40941</v>
      </c>
      <c r="AB326" s="11" t="s">
        <v>2759</v>
      </c>
      <c r="AC326" s="11" t="s">
        <v>2760</v>
      </c>
      <c r="AD326" s="6" t="s">
        <v>22</v>
      </c>
      <c r="AE326" s="6" t="s">
        <v>341</v>
      </c>
      <c r="AF326" s="6" t="s">
        <v>546</v>
      </c>
    </row>
    <row r="327" spans="1:32" ht="27.75" customHeight="1" x14ac:dyDescent="0.3">
      <c r="A327" s="6">
        <v>52051</v>
      </c>
      <c r="B327" s="6" t="s">
        <v>31</v>
      </c>
      <c r="C327" s="6" t="s">
        <v>2761</v>
      </c>
      <c r="D327" s="7" t="s">
        <v>36</v>
      </c>
      <c r="E327" s="8">
        <v>38090</v>
      </c>
      <c r="F327" s="6" t="s">
        <v>847</v>
      </c>
      <c r="G327" s="9" t="s">
        <v>33</v>
      </c>
      <c r="H327" s="6" t="s">
        <v>2762</v>
      </c>
      <c r="I327" s="6" t="s">
        <v>2763</v>
      </c>
      <c r="J327" s="6" t="s">
        <v>34</v>
      </c>
      <c r="K327" s="6" t="s">
        <v>298</v>
      </c>
      <c r="L327" s="6" t="s">
        <v>2764</v>
      </c>
      <c r="M327" s="6" t="s">
        <v>23</v>
      </c>
      <c r="N327" s="6" t="s">
        <v>2765</v>
      </c>
      <c r="O327" s="6" t="s">
        <v>2766</v>
      </c>
      <c r="P327" s="10" t="s">
        <v>23</v>
      </c>
      <c r="Q327" s="10" t="s">
        <v>23</v>
      </c>
      <c r="R327" s="10" t="s">
        <v>44</v>
      </c>
      <c r="S327" s="15">
        <v>2232</v>
      </c>
      <c r="T327" s="10" t="s">
        <v>38</v>
      </c>
      <c r="U327" s="12">
        <v>1516.82</v>
      </c>
      <c r="V327" s="10" t="s">
        <v>23</v>
      </c>
      <c r="W327" s="10" t="s">
        <v>23</v>
      </c>
      <c r="X327" s="10" t="s">
        <v>23</v>
      </c>
      <c r="Y327" s="10" t="s">
        <v>23</v>
      </c>
      <c r="Z327" s="13">
        <v>38743</v>
      </c>
      <c r="AA327" s="13">
        <v>40276</v>
      </c>
      <c r="AB327" s="11" t="s">
        <v>2722</v>
      </c>
      <c r="AC327" s="11" t="s">
        <v>2767</v>
      </c>
      <c r="AD327" s="6" t="s">
        <v>22</v>
      </c>
      <c r="AE327" s="6" t="s">
        <v>341</v>
      </c>
      <c r="AF327" s="6" t="s">
        <v>2768</v>
      </c>
    </row>
    <row r="328" spans="1:32" ht="27.75" customHeight="1" x14ac:dyDescent="0.3">
      <c r="A328" s="6">
        <v>51123</v>
      </c>
      <c r="B328" s="6" t="s">
        <v>31</v>
      </c>
      <c r="C328" s="6" t="s">
        <v>2769</v>
      </c>
      <c r="D328" s="7" t="s">
        <v>36</v>
      </c>
      <c r="E328" s="8">
        <v>38464</v>
      </c>
      <c r="F328" s="6" t="s">
        <v>2770</v>
      </c>
      <c r="G328" s="9" t="s">
        <v>33</v>
      </c>
      <c r="H328" s="6" t="s">
        <v>2771</v>
      </c>
      <c r="I328" s="6" t="s">
        <v>2772</v>
      </c>
      <c r="J328" s="6" t="s">
        <v>34</v>
      </c>
      <c r="K328" s="6" t="s">
        <v>298</v>
      </c>
      <c r="L328" s="6" t="s">
        <v>2773</v>
      </c>
      <c r="M328" s="6" t="s">
        <v>23</v>
      </c>
      <c r="N328" s="6" t="s">
        <v>2774</v>
      </c>
      <c r="O328" s="6" t="s">
        <v>23</v>
      </c>
      <c r="P328" s="10" t="s">
        <v>23</v>
      </c>
      <c r="Q328" s="10" t="s">
        <v>23</v>
      </c>
      <c r="R328" s="10" t="s">
        <v>48</v>
      </c>
      <c r="S328" s="15" t="s">
        <v>23</v>
      </c>
      <c r="T328" s="10" t="s">
        <v>21</v>
      </c>
      <c r="U328" s="12" t="s">
        <v>23</v>
      </c>
      <c r="V328" s="10" t="s">
        <v>23</v>
      </c>
      <c r="W328" s="10" t="s">
        <v>23</v>
      </c>
      <c r="X328" s="10" t="s">
        <v>23</v>
      </c>
      <c r="Y328" s="10" t="s">
        <v>23</v>
      </c>
      <c r="Z328" s="13">
        <v>38989</v>
      </c>
      <c r="AA328" s="13">
        <v>41583</v>
      </c>
      <c r="AB328" s="11" t="s">
        <v>2775</v>
      </c>
      <c r="AC328" s="11" t="s">
        <v>2776</v>
      </c>
      <c r="AD328" s="6" t="s">
        <v>22</v>
      </c>
      <c r="AE328" s="10" t="s">
        <v>2717</v>
      </c>
      <c r="AF328" s="6" t="s">
        <v>2777</v>
      </c>
    </row>
    <row r="329" spans="1:32" ht="27.75" customHeight="1" x14ac:dyDescent="0.3">
      <c r="A329" s="6">
        <v>188832</v>
      </c>
      <c r="B329" s="6" t="s">
        <v>31</v>
      </c>
      <c r="C329" s="6" t="s">
        <v>2778</v>
      </c>
      <c r="D329" s="7" t="s">
        <v>36</v>
      </c>
      <c r="E329" s="8">
        <v>39020</v>
      </c>
      <c r="F329" s="6" t="s">
        <v>2779</v>
      </c>
      <c r="G329" s="16" t="s">
        <v>39</v>
      </c>
      <c r="H329" s="6" t="s">
        <v>2780</v>
      </c>
      <c r="I329" s="6" t="s">
        <v>2781</v>
      </c>
      <c r="J329" s="6" t="s">
        <v>34</v>
      </c>
      <c r="K329" s="6" t="s">
        <v>298</v>
      </c>
      <c r="L329" s="6" t="s">
        <v>2782</v>
      </c>
      <c r="M329" s="6" t="s">
        <v>23</v>
      </c>
      <c r="N329" s="6" t="s">
        <v>2750</v>
      </c>
      <c r="O329" s="6" t="s">
        <v>2782</v>
      </c>
      <c r="P329" s="10" t="s">
        <v>23</v>
      </c>
      <c r="Q329" s="10" t="s">
        <v>23</v>
      </c>
      <c r="R329" s="10" t="s">
        <v>49</v>
      </c>
      <c r="S329" s="15">
        <v>2721</v>
      </c>
      <c r="T329" s="10" t="s">
        <v>50</v>
      </c>
      <c r="U329" s="12">
        <v>2380.39</v>
      </c>
      <c r="V329" s="10" t="s">
        <v>23</v>
      </c>
      <c r="W329" s="10" t="s">
        <v>23</v>
      </c>
      <c r="X329" s="10" t="s">
        <v>23</v>
      </c>
      <c r="Y329" s="10" t="s">
        <v>23</v>
      </c>
      <c r="Z329" s="13">
        <v>40116</v>
      </c>
      <c r="AA329" s="13">
        <v>40808</v>
      </c>
      <c r="AB329" s="11" t="s">
        <v>2783</v>
      </c>
      <c r="AC329" s="11" t="s">
        <v>2784</v>
      </c>
      <c r="AD329" s="6" t="s">
        <v>22</v>
      </c>
      <c r="AE329" s="10" t="s">
        <v>439</v>
      </c>
      <c r="AF329" s="6" t="s">
        <v>600</v>
      </c>
    </row>
    <row r="330" spans="1:32" ht="27.75" customHeight="1" x14ac:dyDescent="0.3">
      <c r="A330" s="6">
        <v>167054</v>
      </c>
      <c r="B330" s="6" t="s">
        <v>31</v>
      </c>
      <c r="C330" s="6" t="s">
        <v>2785</v>
      </c>
      <c r="D330" s="7" t="s">
        <v>36</v>
      </c>
      <c r="E330" s="8">
        <v>38718</v>
      </c>
      <c r="F330" s="6" t="s">
        <v>2786</v>
      </c>
      <c r="G330" s="9" t="s">
        <v>33</v>
      </c>
      <c r="H330" s="6" t="s">
        <v>2787</v>
      </c>
      <c r="I330" s="6" t="s">
        <v>2788</v>
      </c>
      <c r="J330" s="6" t="s">
        <v>34</v>
      </c>
      <c r="K330" s="6" t="s">
        <v>2710</v>
      </c>
      <c r="L330" s="6" t="s">
        <v>2711</v>
      </c>
      <c r="M330" s="6" t="s">
        <v>23</v>
      </c>
      <c r="N330" s="6" t="s">
        <v>2789</v>
      </c>
      <c r="O330" s="6" t="s">
        <v>2790</v>
      </c>
      <c r="P330" s="10" t="s">
        <v>23</v>
      </c>
      <c r="Q330" s="10" t="s">
        <v>23</v>
      </c>
      <c r="R330" s="10" t="s">
        <v>44</v>
      </c>
      <c r="S330" s="17">
        <v>15371008</v>
      </c>
      <c r="T330" s="10" t="s">
        <v>38</v>
      </c>
      <c r="U330" s="12">
        <v>6033</v>
      </c>
      <c r="V330" s="10" t="s">
        <v>23</v>
      </c>
      <c r="W330" s="10" t="s">
        <v>23</v>
      </c>
      <c r="X330" s="10" t="s">
        <v>23</v>
      </c>
      <c r="Y330" s="10" t="s">
        <v>23</v>
      </c>
      <c r="Z330" s="13">
        <v>40373</v>
      </c>
      <c r="AA330" s="13">
        <v>40724</v>
      </c>
      <c r="AB330" s="11" t="s">
        <v>2791</v>
      </c>
      <c r="AC330" s="11" t="s">
        <v>2792</v>
      </c>
      <c r="AD330" s="6" t="s">
        <v>22</v>
      </c>
      <c r="AE330" s="10" t="s">
        <v>439</v>
      </c>
      <c r="AF330" s="6" t="s">
        <v>2793</v>
      </c>
    </row>
    <row r="331" spans="1:32" ht="27.75" customHeight="1" x14ac:dyDescent="0.3">
      <c r="A331" s="6">
        <v>249292</v>
      </c>
      <c r="B331" s="6" t="s">
        <v>31</v>
      </c>
      <c r="C331" s="6" t="s">
        <v>2794</v>
      </c>
      <c r="D331" s="7" t="s">
        <v>36</v>
      </c>
      <c r="E331" s="8">
        <v>39468</v>
      </c>
      <c r="F331" s="6" t="s">
        <v>2795</v>
      </c>
      <c r="G331" s="9" t="s">
        <v>33</v>
      </c>
      <c r="H331" s="6" t="s">
        <v>2796</v>
      </c>
      <c r="I331" s="6" t="s">
        <v>2797</v>
      </c>
      <c r="J331" s="6" t="s">
        <v>34</v>
      </c>
      <c r="K331" s="6" t="s">
        <v>298</v>
      </c>
      <c r="L331" s="6" t="s">
        <v>2798</v>
      </c>
      <c r="M331" s="6" t="s">
        <v>23</v>
      </c>
      <c r="N331" s="6" t="s">
        <v>2799</v>
      </c>
      <c r="O331" s="6" t="s">
        <v>2800</v>
      </c>
      <c r="P331" s="10" t="s">
        <v>23</v>
      </c>
      <c r="Q331" s="10" t="s">
        <v>23</v>
      </c>
      <c r="R331" s="10" t="s">
        <v>44</v>
      </c>
      <c r="S331" s="15" t="s">
        <v>2801</v>
      </c>
      <c r="T331" s="10" t="s">
        <v>51</v>
      </c>
      <c r="U331" s="12">
        <v>48728.75</v>
      </c>
      <c r="V331" s="10" t="s">
        <v>23</v>
      </c>
      <c r="W331" s="10" t="s">
        <v>23</v>
      </c>
      <c r="X331" s="10" t="s">
        <v>23</v>
      </c>
      <c r="Y331" s="10" t="s">
        <v>23</v>
      </c>
      <c r="Z331" s="13">
        <v>40942</v>
      </c>
      <c r="AA331" s="13">
        <v>41494</v>
      </c>
      <c r="AB331" s="11" t="s">
        <v>2802</v>
      </c>
      <c r="AC331" s="11" t="s">
        <v>2803</v>
      </c>
      <c r="AD331" s="6" t="s">
        <v>22</v>
      </c>
      <c r="AE331" s="10" t="s">
        <v>439</v>
      </c>
      <c r="AF331" s="10" t="s">
        <v>600</v>
      </c>
    </row>
    <row r="332" spans="1:32" ht="27.75" customHeight="1" x14ac:dyDescent="0.3">
      <c r="A332" s="6">
        <v>266228</v>
      </c>
      <c r="B332" s="6" t="s">
        <v>31</v>
      </c>
      <c r="C332" s="6" t="s">
        <v>2804</v>
      </c>
      <c r="D332" s="7" t="s">
        <v>36</v>
      </c>
      <c r="E332" s="8">
        <v>39792</v>
      </c>
      <c r="F332" s="6" t="s">
        <v>2805</v>
      </c>
      <c r="G332" s="16" t="s">
        <v>52</v>
      </c>
      <c r="H332" s="6" t="s">
        <v>2806</v>
      </c>
      <c r="I332" s="6" t="s">
        <v>2807</v>
      </c>
      <c r="J332" s="6" t="s">
        <v>34</v>
      </c>
      <c r="K332" s="6" t="s">
        <v>2710</v>
      </c>
      <c r="L332" s="6" t="s">
        <v>2808</v>
      </c>
      <c r="M332" s="6" t="s">
        <v>23</v>
      </c>
      <c r="N332" s="6" t="s">
        <v>2809</v>
      </c>
      <c r="O332" s="6" t="s">
        <v>2808</v>
      </c>
      <c r="P332" s="10" t="s">
        <v>23</v>
      </c>
      <c r="Q332" s="10" t="s">
        <v>23</v>
      </c>
      <c r="R332" s="10" t="s">
        <v>53</v>
      </c>
      <c r="S332" s="15">
        <v>4132</v>
      </c>
      <c r="T332" s="10" t="s">
        <v>38</v>
      </c>
      <c r="U332" s="12">
        <v>4903</v>
      </c>
      <c r="V332" s="10" t="s">
        <v>23</v>
      </c>
      <c r="W332" s="10" t="s">
        <v>23</v>
      </c>
      <c r="X332" s="10" t="s">
        <v>23</v>
      </c>
      <c r="Y332" s="10" t="s">
        <v>23</v>
      </c>
      <c r="Z332" s="18" t="s">
        <v>2810</v>
      </c>
      <c r="AA332" s="19">
        <v>42251</v>
      </c>
      <c r="AB332" s="11" t="s">
        <v>2811</v>
      </c>
      <c r="AC332" s="11" t="s">
        <v>2812</v>
      </c>
      <c r="AD332" s="6" t="s">
        <v>22</v>
      </c>
      <c r="AE332" s="10" t="s">
        <v>439</v>
      </c>
      <c r="AF332" s="6" t="s">
        <v>546</v>
      </c>
    </row>
    <row r="333" spans="1:32" ht="27.75" customHeight="1" x14ac:dyDescent="0.3">
      <c r="A333" s="6">
        <v>267029</v>
      </c>
      <c r="B333" s="6" t="s">
        <v>31</v>
      </c>
      <c r="C333" s="6" t="s">
        <v>2813</v>
      </c>
      <c r="D333" s="7" t="s">
        <v>36</v>
      </c>
      <c r="E333" s="8">
        <v>39814</v>
      </c>
      <c r="F333" s="6" t="s">
        <v>2814</v>
      </c>
      <c r="G333" s="9" t="s">
        <v>33</v>
      </c>
      <c r="H333" s="6" t="s">
        <v>2815</v>
      </c>
      <c r="I333" s="6" t="s">
        <v>2816</v>
      </c>
      <c r="J333" s="6" t="s">
        <v>34</v>
      </c>
      <c r="K333" s="6" t="s">
        <v>298</v>
      </c>
      <c r="L333" s="6" t="s">
        <v>2711</v>
      </c>
      <c r="M333" s="6" t="s">
        <v>23</v>
      </c>
      <c r="N333" s="6" t="s">
        <v>2817</v>
      </c>
      <c r="O333" s="6" t="s">
        <v>2818</v>
      </c>
      <c r="P333" s="10" t="s">
        <v>23</v>
      </c>
      <c r="Q333" s="10" t="s">
        <v>23</v>
      </c>
      <c r="R333" s="10" t="s">
        <v>44</v>
      </c>
      <c r="S333" s="15">
        <v>833</v>
      </c>
      <c r="T333" s="10" t="s">
        <v>38</v>
      </c>
      <c r="U333" s="12">
        <v>22321.75</v>
      </c>
      <c r="V333" s="10" t="s">
        <v>23</v>
      </c>
      <c r="W333" s="10" t="s">
        <v>23</v>
      </c>
      <c r="X333" s="10" t="s">
        <v>23</v>
      </c>
      <c r="Y333" s="10" t="s">
        <v>23</v>
      </c>
      <c r="Z333" s="13">
        <v>41758</v>
      </c>
      <c r="AA333" s="13">
        <v>41908</v>
      </c>
      <c r="AB333" s="11" t="s">
        <v>2819</v>
      </c>
      <c r="AC333" s="20" t="s">
        <v>2820</v>
      </c>
      <c r="AD333" s="6" t="s">
        <v>22</v>
      </c>
      <c r="AE333" s="6" t="s">
        <v>341</v>
      </c>
      <c r="AF333" s="6" t="s">
        <v>546</v>
      </c>
    </row>
    <row r="334" spans="1:32" ht="27.75" customHeight="1" x14ac:dyDescent="0.3">
      <c r="A334" s="6">
        <v>271268</v>
      </c>
      <c r="B334" s="6" t="s">
        <v>31</v>
      </c>
      <c r="C334" s="6" t="s">
        <v>2821</v>
      </c>
      <c r="D334" s="7" t="s">
        <v>36</v>
      </c>
      <c r="E334" s="8">
        <v>39902</v>
      </c>
      <c r="F334" s="6" t="s">
        <v>2822</v>
      </c>
      <c r="G334" s="16" t="s">
        <v>39</v>
      </c>
      <c r="H334" s="6" t="s">
        <v>2823</v>
      </c>
      <c r="I334" s="6" t="s">
        <v>2824</v>
      </c>
      <c r="J334" s="6" t="s">
        <v>34</v>
      </c>
      <c r="K334" s="6" t="s">
        <v>298</v>
      </c>
      <c r="L334" s="6" t="s">
        <v>2825</v>
      </c>
      <c r="M334" s="6" t="s">
        <v>23</v>
      </c>
      <c r="N334" s="6" t="s">
        <v>2826</v>
      </c>
      <c r="O334" s="6" t="s">
        <v>2827</v>
      </c>
      <c r="P334" s="10" t="s">
        <v>23</v>
      </c>
      <c r="Q334" s="10" t="s">
        <v>23</v>
      </c>
      <c r="R334" s="10" t="s">
        <v>44</v>
      </c>
      <c r="S334" s="15">
        <v>1851</v>
      </c>
      <c r="T334" s="10" t="s">
        <v>41</v>
      </c>
      <c r="U334" s="12">
        <v>647000</v>
      </c>
      <c r="V334" s="10" t="s">
        <v>23</v>
      </c>
      <c r="W334" s="10" t="s">
        <v>23</v>
      </c>
      <c r="X334" s="10" t="s">
        <v>23</v>
      </c>
      <c r="Y334" s="10" t="s">
        <v>23</v>
      </c>
      <c r="Z334" s="13" t="s">
        <v>23</v>
      </c>
      <c r="AA334" s="13" t="s">
        <v>23</v>
      </c>
      <c r="AB334" s="11" t="s">
        <v>23</v>
      </c>
      <c r="AC334" s="11" t="s">
        <v>2828</v>
      </c>
      <c r="AD334" s="10" t="s">
        <v>82</v>
      </c>
      <c r="AE334" s="10" t="s">
        <v>439</v>
      </c>
      <c r="AF334" s="6" t="s">
        <v>2829</v>
      </c>
    </row>
    <row r="335" spans="1:32" ht="27.75" customHeight="1" x14ac:dyDescent="0.3">
      <c r="A335" s="6">
        <v>285457</v>
      </c>
      <c r="B335" s="6" t="s">
        <v>31</v>
      </c>
      <c r="C335" s="6" t="s">
        <v>2830</v>
      </c>
      <c r="D335" s="7" t="s">
        <v>36</v>
      </c>
      <c r="E335" s="8">
        <v>39814</v>
      </c>
      <c r="F335" s="6" t="s">
        <v>2831</v>
      </c>
      <c r="G335" s="9" t="s">
        <v>33</v>
      </c>
      <c r="H335" s="6" t="s">
        <v>2832</v>
      </c>
      <c r="I335" s="6" t="s">
        <v>2833</v>
      </c>
      <c r="J335" s="6" t="s">
        <v>34</v>
      </c>
      <c r="K335" s="6" t="s">
        <v>298</v>
      </c>
      <c r="L335" s="6" t="s">
        <v>2798</v>
      </c>
      <c r="M335" s="6" t="s">
        <v>23</v>
      </c>
      <c r="N335" s="6" t="s">
        <v>2834</v>
      </c>
      <c r="O335" s="6" t="s">
        <v>2835</v>
      </c>
      <c r="P335" s="10" t="s">
        <v>23</v>
      </c>
      <c r="Q335" s="10" t="s">
        <v>23</v>
      </c>
      <c r="R335" s="10" t="s">
        <v>54</v>
      </c>
      <c r="S335" s="15">
        <v>2755</v>
      </c>
      <c r="T335" s="10" t="s">
        <v>38</v>
      </c>
      <c r="U335" s="12">
        <v>77857.53</v>
      </c>
      <c r="V335" s="10" t="s">
        <v>23</v>
      </c>
      <c r="W335" s="10" t="s">
        <v>23</v>
      </c>
      <c r="X335" s="10" t="s">
        <v>23</v>
      </c>
      <c r="Y335" s="10" t="s">
        <v>23</v>
      </c>
      <c r="Z335" s="13">
        <v>40822</v>
      </c>
      <c r="AA335" s="13" t="s">
        <v>23</v>
      </c>
      <c r="AB335" s="11" t="s">
        <v>2836</v>
      </c>
      <c r="AC335" s="21" t="s">
        <v>2837</v>
      </c>
      <c r="AD335" s="6" t="s">
        <v>22</v>
      </c>
      <c r="AE335" s="6" t="s">
        <v>341</v>
      </c>
      <c r="AF335" s="6" t="s">
        <v>546</v>
      </c>
    </row>
    <row r="336" spans="1:32" ht="27.75" customHeight="1" x14ac:dyDescent="0.3">
      <c r="A336" s="22">
        <v>324636</v>
      </c>
      <c r="B336" s="22" t="s">
        <v>31</v>
      </c>
      <c r="C336" s="22" t="s">
        <v>2838</v>
      </c>
      <c r="D336" s="23" t="s">
        <v>36</v>
      </c>
      <c r="E336" s="24">
        <v>40395</v>
      </c>
      <c r="F336" s="22" t="s">
        <v>2839</v>
      </c>
      <c r="G336" s="16" t="s">
        <v>39</v>
      </c>
      <c r="H336" s="22" t="s">
        <v>2840</v>
      </c>
      <c r="I336" s="22" t="s">
        <v>2841</v>
      </c>
      <c r="J336" s="22" t="s">
        <v>34</v>
      </c>
      <c r="K336" s="22" t="s">
        <v>298</v>
      </c>
      <c r="L336" s="22" t="s">
        <v>2842</v>
      </c>
      <c r="M336" s="6" t="s">
        <v>23</v>
      </c>
      <c r="N336" s="6" t="s">
        <v>2842</v>
      </c>
      <c r="O336" s="6" t="s">
        <v>2843</v>
      </c>
      <c r="P336" s="10" t="s">
        <v>23</v>
      </c>
      <c r="Q336" s="10" t="s">
        <v>23</v>
      </c>
      <c r="R336" s="10" t="s">
        <v>45</v>
      </c>
      <c r="S336" s="15">
        <v>2607</v>
      </c>
      <c r="T336" s="10" t="s">
        <v>55</v>
      </c>
      <c r="U336" s="12">
        <v>131</v>
      </c>
      <c r="V336" s="10" t="s">
        <v>23</v>
      </c>
      <c r="W336" s="10" t="s">
        <v>23</v>
      </c>
      <c r="X336" s="10" t="s">
        <v>23</v>
      </c>
      <c r="Y336" s="10" t="s">
        <v>23</v>
      </c>
      <c r="Z336" s="13">
        <v>40966</v>
      </c>
      <c r="AA336" s="10" t="s">
        <v>23</v>
      </c>
      <c r="AB336" s="11" t="s">
        <v>2844</v>
      </c>
      <c r="AC336" s="11" t="s">
        <v>2845</v>
      </c>
      <c r="AD336" s="6" t="s">
        <v>22</v>
      </c>
      <c r="AE336" s="6" t="s">
        <v>341</v>
      </c>
      <c r="AF336" s="6" t="s">
        <v>2846</v>
      </c>
    </row>
    <row r="337" spans="1:32" ht="27.75" customHeight="1" x14ac:dyDescent="0.3">
      <c r="A337" s="6">
        <v>332456</v>
      </c>
      <c r="B337" s="6" t="s">
        <v>31</v>
      </c>
      <c r="C337" s="6" t="s">
        <v>2847</v>
      </c>
      <c r="D337" s="7" t="s">
        <v>36</v>
      </c>
      <c r="E337" s="8">
        <v>40458</v>
      </c>
      <c r="F337" s="6" t="s">
        <v>2848</v>
      </c>
      <c r="G337" s="9" t="s">
        <v>33</v>
      </c>
      <c r="H337" s="6" t="s">
        <v>2849</v>
      </c>
      <c r="I337" s="6" t="s">
        <v>2850</v>
      </c>
      <c r="J337" s="6" t="s">
        <v>34</v>
      </c>
      <c r="K337" s="6" t="s">
        <v>2710</v>
      </c>
      <c r="L337" s="6" t="s">
        <v>2851</v>
      </c>
      <c r="M337" s="6" t="s">
        <v>23</v>
      </c>
      <c r="N337" s="6" t="s">
        <v>2852</v>
      </c>
      <c r="O337" s="6" t="s">
        <v>2853</v>
      </c>
      <c r="P337" s="10" t="s">
        <v>23</v>
      </c>
      <c r="Q337" s="10" t="s">
        <v>23</v>
      </c>
      <c r="R337" s="10" t="s">
        <v>56</v>
      </c>
      <c r="S337" s="15" t="s">
        <v>2854</v>
      </c>
      <c r="T337" s="10" t="s">
        <v>57</v>
      </c>
      <c r="U337" s="12">
        <v>2605.63</v>
      </c>
      <c r="V337" s="10" t="s">
        <v>23</v>
      </c>
      <c r="W337" s="10" t="s">
        <v>23</v>
      </c>
      <c r="X337" s="10" t="s">
        <v>23</v>
      </c>
      <c r="Y337" s="10" t="s">
        <v>23</v>
      </c>
      <c r="Z337" s="13">
        <v>40752</v>
      </c>
      <c r="AA337" s="13">
        <v>41431</v>
      </c>
      <c r="AB337" s="11" t="s">
        <v>2855</v>
      </c>
      <c r="AC337" s="11" t="s">
        <v>2856</v>
      </c>
      <c r="AD337" s="6" t="s">
        <v>22</v>
      </c>
      <c r="AE337" s="10" t="s">
        <v>17</v>
      </c>
      <c r="AF337" s="6" t="s">
        <v>546</v>
      </c>
    </row>
    <row r="338" spans="1:32" ht="27.75" customHeight="1" x14ac:dyDescent="0.3">
      <c r="A338" s="6">
        <v>334871</v>
      </c>
      <c r="B338" s="6" t="s">
        <v>31</v>
      </c>
      <c r="C338" s="6" t="s">
        <v>2857</v>
      </c>
      <c r="D338" s="7" t="s">
        <v>36</v>
      </c>
      <c r="E338" s="8">
        <v>40499</v>
      </c>
      <c r="F338" s="6" t="s">
        <v>2858</v>
      </c>
      <c r="G338" s="16" t="s">
        <v>39</v>
      </c>
      <c r="H338" s="6" t="s">
        <v>2859</v>
      </c>
      <c r="I338" s="6" t="s">
        <v>2860</v>
      </c>
      <c r="J338" s="6" t="s">
        <v>34</v>
      </c>
      <c r="K338" s="6" t="s">
        <v>2710</v>
      </c>
      <c r="L338" s="6" t="s">
        <v>2861</v>
      </c>
      <c r="M338" s="6" t="s">
        <v>23</v>
      </c>
      <c r="N338" s="6" t="s">
        <v>2861</v>
      </c>
      <c r="O338" s="6" t="s">
        <v>2862</v>
      </c>
      <c r="P338" s="10" t="s">
        <v>23</v>
      </c>
      <c r="Q338" s="10" t="s">
        <v>23</v>
      </c>
      <c r="R338" s="10" t="s">
        <v>58</v>
      </c>
      <c r="S338" s="15">
        <v>3158</v>
      </c>
      <c r="T338" s="10" t="s">
        <v>59</v>
      </c>
      <c r="U338" s="12" t="s">
        <v>23</v>
      </c>
      <c r="V338" s="10" t="s">
        <v>23</v>
      </c>
      <c r="W338" s="10" t="s">
        <v>23</v>
      </c>
      <c r="X338" s="10" t="s">
        <v>23</v>
      </c>
      <c r="Y338" s="10" t="s">
        <v>23</v>
      </c>
      <c r="Z338" s="13">
        <v>41809</v>
      </c>
      <c r="AA338" s="13">
        <v>41977</v>
      </c>
      <c r="AB338" s="11" t="s">
        <v>2863</v>
      </c>
      <c r="AC338" s="11" t="s">
        <v>2864</v>
      </c>
      <c r="AD338" s="6" t="s">
        <v>22</v>
      </c>
      <c r="AE338" s="10" t="s">
        <v>439</v>
      </c>
      <c r="AF338" s="6" t="s">
        <v>546</v>
      </c>
    </row>
    <row r="339" spans="1:32" ht="27.75" customHeight="1" x14ac:dyDescent="0.3">
      <c r="A339" s="6">
        <v>316655</v>
      </c>
      <c r="B339" s="6" t="s">
        <v>31</v>
      </c>
      <c r="C339" s="6" t="s">
        <v>2865</v>
      </c>
      <c r="D339" s="7" t="s">
        <v>36</v>
      </c>
      <c r="E339" s="8">
        <v>40380</v>
      </c>
      <c r="F339" s="6" t="s">
        <v>2866</v>
      </c>
      <c r="G339" s="16" t="s">
        <v>39</v>
      </c>
      <c r="H339" s="6" t="s">
        <v>2867</v>
      </c>
      <c r="I339" s="6" t="s">
        <v>2868</v>
      </c>
      <c r="J339" s="6" t="s">
        <v>34</v>
      </c>
      <c r="K339" s="6" t="s">
        <v>298</v>
      </c>
      <c r="L339" s="6" t="s">
        <v>2869</v>
      </c>
      <c r="M339" s="6" t="s">
        <v>23</v>
      </c>
      <c r="N339" s="6" t="s">
        <v>2869</v>
      </c>
      <c r="O339" s="6" t="s">
        <v>2870</v>
      </c>
      <c r="P339" s="10" t="s">
        <v>23</v>
      </c>
      <c r="Q339" s="10" t="s">
        <v>23</v>
      </c>
      <c r="R339" s="10" t="s">
        <v>44</v>
      </c>
      <c r="S339" s="15">
        <v>2520</v>
      </c>
      <c r="T339" s="10" t="s">
        <v>60</v>
      </c>
      <c r="U339" s="12">
        <v>400</v>
      </c>
      <c r="V339" s="10" t="s">
        <v>23</v>
      </c>
      <c r="W339" s="10" t="s">
        <v>23</v>
      </c>
      <c r="X339" s="10" t="s">
        <v>23</v>
      </c>
      <c r="Y339" s="10" t="s">
        <v>23</v>
      </c>
      <c r="Z339" s="13">
        <v>42853</v>
      </c>
      <c r="AA339" s="13" t="s">
        <v>23</v>
      </c>
      <c r="AB339" s="11" t="s">
        <v>23</v>
      </c>
      <c r="AC339" s="11" t="s">
        <v>2871</v>
      </c>
      <c r="AD339" s="6" t="s">
        <v>22</v>
      </c>
      <c r="AE339" s="6" t="s">
        <v>341</v>
      </c>
      <c r="AF339" s="6" t="s">
        <v>2735</v>
      </c>
    </row>
    <row r="340" spans="1:32" ht="27.75" customHeight="1" x14ac:dyDescent="0.3">
      <c r="A340" s="6">
        <v>33157</v>
      </c>
      <c r="B340" s="6" t="s">
        <v>31</v>
      </c>
      <c r="C340" s="6" t="s">
        <v>2872</v>
      </c>
      <c r="D340" s="7" t="s">
        <v>36</v>
      </c>
      <c r="E340" s="8">
        <v>40491</v>
      </c>
      <c r="F340" s="6" t="s">
        <v>2873</v>
      </c>
      <c r="G340" s="9" t="s">
        <v>33</v>
      </c>
      <c r="H340" s="6" t="s">
        <v>2874</v>
      </c>
      <c r="I340" s="6" t="s">
        <v>2875</v>
      </c>
      <c r="J340" s="6" t="s">
        <v>34</v>
      </c>
      <c r="K340" s="6" t="s">
        <v>298</v>
      </c>
      <c r="L340" s="6" t="s">
        <v>2711</v>
      </c>
      <c r="M340" s="6" t="s">
        <v>23</v>
      </c>
      <c r="N340" s="6" t="s">
        <v>2876</v>
      </c>
      <c r="O340" s="6" t="s">
        <v>23</v>
      </c>
      <c r="P340" s="10" t="s">
        <v>23</v>
      </c>
      <c r="Q340" s="10" t="s">
        <v>23</v>
      </c>
      <c r="R340" s="10" t="s">
        <v>47</v>
      </c>
      <c r="S340" s="15" t="s">
        <v>2877</v>
      </c>
      <c r="T340" s="10" t="s">
        <v>38</v>
      </c>
      <c r="U340" s="12" t="s">
        <v>23</v>
      </c>
      <c r="V340" s="10" t="s">
        <v>23</v>
      </c>
      <c r="W340" s="10" t="s">
        <v>23</v>
      </c>
      <c r="X340" s="10" t="s">
        <v>23</v>
      </c>
      <c r="Y340" s="10" t="s">
        <v>23</v>
      </c>
      <c r="Z340" s="13" t="s">
        <v>23</v>
      </c>
      <c r="AA340" s="13" t="s">
        <v>23</v>
      </c>
      <c r="AB340" s="11" t="s">
        <v>23</v>
      </c>
      <c r="AC340" s="11" t="s">
        <v>2878</v>
      </c>
      <c r="AD340" s="6" t="s">
        <v>22</v>
      </c>
      <c r="AE340" s="6" t="s">
        <v>341</v>
      </c>
      <c r="AF340" s="6" t="s">
        <v>2879</v>
      </c>
    </row>
    <row r="341" spans="1:32" ht="27.75" customHeight="1" x14ac:dyDescent="0.3">
      <c r="A341" s="6">
        <v>352556</v>
      </c>
      <c r="B341" s="6" t="s">
        <v>31</v>
      </c>
      <c r="C341" s="6" t="s">
        <v>2880</v>
      </c>
      <c r="D341" s="7" t="s">
        <v>36</v>
      </c>
      <c r="E341" s="8">
        <v>40791</v>
      </c>
      <c r="F341" s="6" t="s">
        <v>2881</v>
      </c>
      <c r="G341" s="9" t="s">
        <v>33</v>
      </c>
      <c r="H341" s="6" t="s">
        <v>2882</v>
      </c>
      <c r="I341" s="6" t="s">
        <v>2748</v>
      </c>
      <c r="J341" s="6" t="s">
        <v>34</v>
      </c>
      <c r="K341" s="6" t="s">
        <v>298</v>
      </c>
      <c r="L341" s="6" t="s">
        <v>2711</v>
      </c>
      <c r="M341" s="6" t="s">
        <v>23</v>
      </c>
      <c r="N341" s="6" t="s">
        <v>2883</v>
      </c>
      <c r="O341" s="6" t="s">
        <v>2884</v>
      </c>
      <c r="P341" s="10" t="s">
        <v>65</v>
      </c>
      <c r="Q341" s="10" t="s">
        <v>65</v>
      </c>
      <c r="R341" s="10" t="s">
        <v>67</v>
      </c>
      <c r="S341" s="15" t="s">
        <v>2885</v>
      </c>
      <c r="T341" s="10" t="s">
        <v>61</v>
      </c>
      <c r="U341" s="12" t="s">
        <v>62</v>
      </c>
      <c r="V341" s="10" t="s">
        <v>65</v>
      </c>
      <c r="W341" s="10" t="s">
        <v>65</v>
      </c>
      <c r="X341" s="10" t="s">
        <v>65</v>
      </c>
      <c r="Y341" s="10" t="s">
        <v>65</v>
      </c>
      <c r="Z341" s="13" t="s">
        <v>2886</v>
      </c>
      <c r="AA341" s="13" t="s">
        <v>23</v>
      </c>
      <c r="AB341" s="11" t="s">
        <v>2887</v>
      </c>
      <c r="AC341" s="11" t="s">
        <v>2888</v>
      </c>
      <c r="AD341" s="6" t="s">
        <v>22</v>
      </c>
      <c r="AE341" s="6" t="s">
        <v>341</v>
      </c>
      <c r="AF341" s="6" t="s">
        <v>2889</v>
      </c>
    </row>
    <row r="342" spans="1:32" ht="27.75" customHeight="1" x14ac:dyDescent="0.3">
      <c r="A342" s="6">
        <v>351749</v>
      </c>
      <c r="B342" s="6" t="s">
        <v>31</v>
      </c>
      <c r="C342" s="6" t="s">
        <v>2890</v>
      </c>
      <c r="D342" s="7" t="s">
        <v>36</v>
      </c>
      <c r="E342" s="8">
        <v>40560</v>
      </c>
      <c r="F342" s="6" t="s">
        <v>2891</v>
      </c>
      <c r="G342" s="9" t="s">
        <v>33</v>
      </c>
      <c r="H342" s="6" t="s">
        <v>2892</v>
      </c>
      <c r="I342" s="6" t="s">
        <v>2893</v>
      </c>
      <c r="J342" s="6" t="s">
        <v>34</v>
      </c>
      <c r="K342" s="6" t="s">
        <v>298</v>
      </c>
      <c r="L342" s="6" t="s">
        <v>2894</v>
      </c>
      <c r="M342" s="6" t="s">
        <v>23</v>
      </c>
      <c r="N342" s="6" t="s">
        <v>2895</v>
      </c>
      <c r="O342" s="6" t="s">
        <v>374</v>
      </c>
      <c r="P342" s="10" t="s">
        <v>23</v>
      </c>
      <c r="Q342" s="10" t="s">
        <v>23</v>
      </c>
      <c r="R342" s="10" t="s">
        <v>45</v>
      </c>
      <c r="S342" s="15" t="s">
        <v>1662</v>
      </c>
      <c r="T342" s="10" t="s">
        <v>38</v>
      </c>
      <c r="U342" s="12">
        <v>1311</v>
      </c>
      <c r="V342" s="10" t="s">
        <v>23</v>
      </c>
      <c r="W342" s="10" t="s">
        <v>23</v>
      </c>
      <c r="X342" s="10" t="s">
        <v>23</v>
      </c>
      <c r="Y342" s="10" t="s">
        <v>23</v>
      </c>
      <c r="Z342" s="13" t="s">
        <v>23</v>
      </c>
      <c r="AA342" s="13" t="s">
        <v>23</v>
      </c>
      <c r="AB342" s="11" t="s">
        <v>23</v>
      </c>
      <c r="AC342" s="11" t="s">
        <v>2896</v>
      </c>
      <c r="AD342" s="6" t="s">
        <v>22</v>
      </c>
      <c r="AE342" s="10" t="s">
        <v>439</v>
      </c>
      <c r="AF342" s="6" t="s">
        <v>2897</v>
      </c>
    </row>
    <row r="343" spans="1:32" ht="27.75" customHeight="1" x14ac:dyDescent="0.3">
      <c r="A343" s="6">
        <v>359511</v>
      </c>
      <c r="B343" s="6" t="s">
        <v>31</v>
      </c>
      <c r="C343" s="6" t="s">
        <v>2898</v>
      </c>
      <c r="D343" s="7" t="s">
        <v>36</v>
      </c>
      <c r="E343" s="8" t="s">
        <v>2899</v>
      </c>
      <c r="F343" s="6" t="s">
        <v>2900</v>
      </c>
      <c r="G343" s="9" t="s">
        <v>33</v>
      </c>
      <c r="H343" s="6" t="s">
        <v>2901</v>
      </c>
      <c r="I343" s="6" t="s">
        <v>2902</v>
      </c>
      <c r="J343" s="6" t="s">
        <v>34</v>
      </c>
      <c r="K343" s="6" t="s">
        <v>298</v>
      </c>
      <c r="L343" s="6" t="s">
        <v>2903</v>
      </c>
      <c r="M343" s="6" t="s">
        <v>23</v>
      </c>
      <c r="N343" s="6" t="s">
        <v>2903</v>
      </c>
      <c r="O343" s="6" t="s">
        <v>23</v>
      </c>
      <c r="P343" s="10" t="s">
        <v>65</v>
      </c>
      <c r="Q343" s="10" t="s">
        <v>65</v>
      </c>
      <c r="R343" s="10" t="s">
        <v>63</v>
      </c>
      <c r="S343" s="15" t="s">
        <v>23</v>
      </c>
      <c r="T343" s="6" t="s">
        <v>157</v>
      </c>
      <c r="U343" s="12" t="s">
        <v>65</v>
      </c>
      <c r="V343" s="10" t="s">
        <v>65</v>
      </c>
      <c r="W343" s="10" t="s">
        <v>65</v>
      </c>
      <c r="X343" s="10" t="s">
        <v>65</v>
      </c>
      <c r="Y343" s="10" t="s">
        <v>65</v>
      </c>
      <c r="Z343" s="13" t="s">
        <v>23</v>
      </c>
      <c r="AA343" s="13" t="s">
        <v>23</v>
      </c>
      <c r="AB343" s="11" t="s">
        <v>65</v>
      </c>
      <c r="AC343" s="11" t="s">
        <v>2904</v>
      </c>
      <c r="AD343" s="6" t="s">
        <v>22</v>
      </c>
      <c r="AE343" s="10" t="s">
        <v>439</v>
      </c>
      <c r="AF343" s="6" t="s">
        <v>2735</v>
      </c>
    </row>
    <row r="344" spans="1:32" ht="27.75" customHeight="1" x14ac:dyDescent="0.3">
      <c r="A344" s="6">
        <v>382225</v>
      </c>
      <c r="B344" s="6" t="s">
        <v>31</v>
      </c>
      <c r="C344" s="6" t="s">
        <v>2905</v>
      </c>
      <c r="D344" s="7" t="s">
        <v>66</v>
      </c>
      <c r="E344" s="8">
        <v>41116</v>
      </c>
      <c r="F344" s="6" t="s">
        <v>2906</v>
      </c>
      <c r="G344" s="9" t="s">
        <v>33</v>
      </c>
      <c r="H344" s="6" t="s">
        <v>2907</v>
      </c>
      <c r="I344" s="6" t="s">
        <v>2908</v>
      </c>
      <c r="J344" s="6" t="s">
        <v>34</v>
      </c>
      <c r="K344" s="6" t="s">
        <v>2710</v>
      </c>
      <c r="L344" s="6" t="s">
        <v>2909</v>
      </c>
      <c r="M344" s="6" t="s">
        <v>23</v>
      </c>
      <c r="N344" s="6" t="s">
        <v>2910</v>
      </c>
      <c r="O344" s="6" t="s">
        <v>2911</v>
      </c>
      <c r="P344" s="10" t="s">
        <v>23</v>
      </c>
      <c r="Q344" s="10" t="s">
        <v>23</v>
      </c>
      <c r="R344" s="10" t="s">
        <v>44</v>
      </c>
      <c r="S344" s="11" t="s">
        <v>2912</v>
      </c>
      <c r="T344" s="10" t="s">
        <v>51</v>
      </c>
      <c r="U344" s="12" t="s">
        <v>23</v>
      </c>
      <c r="V344" s="10" t="s">
        <v>23</v>
      </c>
      <c r="W344" s="10" t="s">
        <v>23</v>
      </c>
      <c r="X344" s="10" t="s">
        <v>23</v>
      </c>
      <c r="Y344" s="10" t="s">
        <v>23</v>
      </c>
      <c r="Z344" s="13">
        <v>41144</v>
      </c>
      <c r="AA344" s="13">
        <v>41179</v>
      </c>
      <c r="AB344" s="11" t="s">
        <v>2913</v>
      </c>
      <c r="AC344" s="11" t="s">
        <v>2914</v>
      </c>
      <c r="AD344" s="6" t="s">
        <v>22</v>
      </c>
      <c r="AE344" s="10" t="s">
        <v>439</v>
      </c>
      <c r="AF344" s="6" t="s">
        <v>600</v>
      </c>
    </row>
    <row r="345" spans="1:32" ht="27.75" customHeight="1" x14ac:dyDescent="0.3">
      <c r="A345" s="6">
        <v>346341</v>
      </c>
      <c r="B345" s="6" t="s">
        <v>31</v>
      </c>
      <c r="C345" s="6" t="s">
        <v>2915</v>
      </c>
      <c r="D345" s="7" t="s">
        <v>36</v>
      </c>
      <c r="E345" s="8">
        <v>40556</v>
      </c>
      <c r="F345" s="6" t="s">
        <v>2891</v>
      </c>
      <c r="G345" s="9" t="s">
        <v>33</v>
      </c>
      <c r="H345" s="6" t="s">
        <v>2882</v>
      </c>
      <c r="I345" s="6" t="s">
        <v>2916</v>
      </c>
      <c r="J345" s="6" t="s">
        <v>34</v>
      </c>
      <c r="K345" s="6" t="s">
        <v>298</v>
      </c>
      <c r="L345" s="6" t="s">
        <v>2917</v>
      </c>
      <c r="M345" s="6" t="s">
        <v>23</v>
      </c>
      <c r="N345" s="6" t="s">
        <v>2917</v>
      </c>
      <c r="O345" s="6" t="s">
        <v>2918</v>
      </c>
      <c r="P345" s="10" t="s">
        <v>23</v>
      </c>
      <c r="Q345" s="10" t="s">
        <v>23</v>
      </c>
      <c r="R345" s="10" t="s">
        <v>44</v>
      </c>
      <c r="S345" s="15" t="s">
        <v>2919</v>
      </c>
      <c r="T345" s="10" t="s">
        <v>41</v>
      </c>
      <c r="U345" s="12">
        <v>1420</v>
      </c>
      <c r="V345" s="10" t="s">
        <v>23</v>
      </c>
      <c r="W345" s="10" t="s">
        <v>23</v>
      </c>
      <c r="X345" s="10" t="s">
        <v>23</v>
      </c>
      <c r="Y345" s="10" t="s">
        <v>23</v>
      </c>
      <c r="Z345" s="13">
        <v>42124</v>
      </c>
      <c r="AA345" s="13" t="s">
        <v>23</v>
      </c>
      <c r="AB345" s="11" t="s">
        <v>23</v>
      </c>
      <c r="AC345" s="11" t="s">
        <v>2920</v>
      </c>
      <c r="AD345" s="6" t="s">
        <v>22</v>
      </c>
      <c r="AE345" s="6" t="s">
        <v>341</v>
      </c>
      <c r="AF345" s="6" t="s">
        <v>600</v>
      </c>
    </row>
    <row r="346" spans="1:32" ht="27.75" customHeight="1" x14ac:dyDescent="0.3">
      <c r="A346" s="6">
        <v>430013</v>
      </c>
      <c r="B346" s="6" t="s">
        <v>31</v>
      </c>
      <c r="C346" s="6" t="s">
        <v>2921</v>
      </c>
      <c r="D346" s="7" t="s">
        <v>36</v>
      </c>
      <c r="E346" s="8">
        <v>41572</v>
      </c>
      <c r="F346" s="6" t="s">
        <v>2922</v>
      </c>
      <c r="G346" s="9" t="s">
        <v>33</v>
      </c>
      <c r="H346" s="6" t="s">
        <v>2923</v>
      </c>
      <c r="I346" s="6" t="s">
        <v>2924</v>
      </c>
      <c r="J346" s="6" t="s">
        <v>34</v>
      </c>
      <c r="K346" s="6" t="s">
        <v>327</v>
      </c>
      <c r="L346" s="6" t="s">
        <v>2925</v>
      </c>
      <c r="M346" s="6" t="s">
        <v>23</v>
      </c>
      <c r="N346" s="6" t="s">
        <v>2926</v>
      </c>
      <c r="O346" s="6" t="s">
        <v>2927</v>
      </c>
      <c r="P346" s="10" t="s">
        <v>23</v>
      </c>
      <c r="Q346" s="10" t="s">
        <v>23</v>
      </c>
      <c r="R346" s="10" t="s">
        <v>44</v>
      </c>
      <c r="S346" s="15">
        <v>386</v>
      </c>
      <c r="T346" s="10" t="s">
        <v>21</v>
      </c>
      <c r="U346" s="12">
        <v>880</v>
      </c>
      <c r="V346" s="10" t="s">
        <v>23</v>
      </c>
      <c r="W346" s="10" t="s">
        <v>23</v>
      </c>
      <c r="X346" s="10" t="s">
        <v>23</v>
      </c>
      <c r="Y346" s="10" t="s">
        <v>23</v>
      </c>
      <c r="Z346" s="13" t="s">
        <v>23</v>
      </c>
      <c r="AA346" s="13" t="s">
        <v>23</v>
      </c>
      <c r="AB346" s="11" t="s">
        <v>23</v>
      </c>
      <c r="AC346" s="11" t="s">
        <v>2928</v>
      </c>
      <c r="AD346" s="6" t="s">
        <v>22</v>
      </c>
      <c r="AE346" s="10" t="s">
        <v>439</v>
      </c>
      <c r="AF346" s="6" t="s">
        <v>493</v>
      </c>
    </row>
    <row r="347" spans="1:32" ht="27.75" customHeight="1" x14ac:dyDescent="0.3">
      <c r="A347" s="6">
        <v>417192</v>
      </c>
      <c r="B347" s="6" t="s">
        <v>31</v>
      </c>
      <c r="C347" s="6" t="s">
        <v>2929</v>
      </c>
      <c r="D347" s="7" t="s">
        <v>36</v>
      </c>
      <c r="E347" s="8">
        <v>41337</v>
      </c>
      <c r="F347" s="6" t="s">
        <v>2930</v>
      </c>
      <c r="G347" s="9" t="s">
        <v>33</v>
      </c>
      <c r="H347" s="6" t="s">
        <v>2931</v>
      </c>
      <c r="I347" s="6" t="s">
        <v>2932</v>
      </c>
      <c r="J347" s="6" t="s">
        <v>34</v>
      </c>
      <c r="K347" s="6" t="s">
        <v>298</v>
      </c>
      <c r="L347" s="6" t="s">
        <v>2933</v>
      </c>
      <c r="M347" s="6" t="s">
        <v>23</v>
      </c>
      <c r="N347" s="6" t="s">
        <v>2934</v>
      </c>
      <c r="O347" s="6" t="s">
        <v>300</v>
      </c>
      <c r="P347" s="10" t="s">
        <v>23</v>
      </c>
      <c r="Q347" s="10" t="s">
        <v>23</v>
      </c>
      <c r="R347" s="6" t="s">
        <v>96</v>
      </c>
      <c r="S347" s="15" t="s">
        <v>1577</v>
      </c>
      <c r="T347" s="10" t="s">
        <v>21</v>
      </c>
      <c r="U347" s="12">
        <v>8061</v>
      </c>
      <c r="V347" s="10" t="s">
        <v>23</v>
      </c>
      <c r="W347" s="10" t="s">
        <v>23</v>
      </c>
      <c r="X347" s="10" t="s">
        <v>23</v>
      </c>
      <c r="Y347" s="6" t="s">
        <v>23</v>
      </c>
      <c r="Z347" s="6" t="s">
        <v>2935</v>
      </c>
      <c r="AA347" s="6" t="s">
        <v>87</v>
      </c>
      <c r="AB347" s="25" t="s">
        <v>87</v>
      </c>
      <c r="AC347" s="26" t="s">
        <v>2936</v>
      </c>
      <c r="AD347" s="6" t="s">
        <v>22</v>
      </c>
      <c r="AE347" s="10" t="s">
        <v>17</v>
      </c>
      <c r="AF347" s="27" t="s">
        <v>2937</v>
      </c>
    </row>
    <row r="348" spans="1:32" ht="27.75" customHeight="1" x14ac:dyDescent="0.3">
      <c r="A348" s="6">
        <v>454500</v>
      </c>
      <c r="B348" s="6" t="s">
        <v>31</v>
      </c>
      <c r="C348" s="6" t="s">
        <v>2938</v>
      </c>
      <c r="D348" s="7" t="s">
        <v>36</v>
      </c>
      <c r="E348" s="8">
        <v>41753</v>
      </c>
      <c r="F348" s="6" t="s">
        <v>2939</v>
      </c>
      <c r="G348" s="9" t="s">
        <v>33</v>
      </c>
      <c r="H348" s="6" t="s">
        <v>2940</v>
      </c>
      <c r="I348" s="6" t="s">
        <v>2941</v>
      </c>
      <c r="J348" s="6" t="s">
        <v>34</v>
      </c>
      <c r="K348" s="6" t="s">
        <v>298</v>
      </c>
      <c r="L348" s="6" t="s">
        <v>2942</v>
      </c>
      <c r="M348" s="6" t="s">
        <v>23</v>
      </c>
      <c r="N348" s="6" t="s">
        <v>2943</v>
      </c>
      <c r="O348" s="6" t="s">
        <v>2944</v>
      </c>
      <c r="P348" s="10" t="s">
        <v>23</v>
      </c>
      <c r="Q348" s="10" t="s">
        <v>23</v>
      </c>
      <c r="R348" s="10" t="s">
        <v>45</v>
      </c>
      <c r="S348" s="28" t="s">
        <v>2945</v>
      </c>
      <c r="T348" s="10" t="s">
        <v>41</v>
      </c>
      <c r="U348" s="12">
        <v>2647.58</v>
      </c>
      <c r="V348" s="10" t="s">
        <v>23</v>
      </c>
      <c r="W348" s="10" t="s">
        <v>23</v>
      </c>
      <c r="X348" s="10" t="s">
        <v>23</v>
      </c>
      <c r="Y348" s="10" t="s">
        <v>23</v>
      </c>
      <c r="Z348" s="13">
        <v>42307</v>
      </c>
      <c r="AA348" s="29">
        <v>43315</v>
      </c>
      <c r="AB348" s="11" t="s">
        <v>2946</v>
      </c>
      <c r="AC348" s="11" t="s">
        <v>2947</v>
      </c>
      <c r="AD348" s="6" t="s">
        <v>22</v>
      </c>
      <c r="AE348" s="6" t="s">
        <v>341</v>
      </c>
      <c r="AF348" s="10" t="s">
        <v>2948</v>
      </c>
    </row>
    <row r="349" spans="1:32" ht="27.75" customHeight="1" x14ac:dyDescent="0.3">
      <c r="A349" s="6">
        <v>493772</v>
      </c>
      <c r="B349" s="6" t="s">
        <v>31</v>
      </c>
      <c r="C349" s="6" t="s">
        <v>2949</v>
      </c>
      <c r="D349" s="7" t="s">
        <v>36</v>
      </c>
      <c r="E349" s="8">
        <v>42250</v>
      </c>
      <c r="F349" s="6" t="s">
        <v>2950</v>
      </c>
      <c r="G349" s="9" t="s">
        <v>33</v>
      </c>
      <c r="H349" s="6" t="s">
        <v>2951</v>
      </c>
      <c r="I349" s="6" t="s">
        <v>2952</v>
      </c>
      <c r="J349" s="6" t="s">
        <v>34</v>
      </c>
      <c r="K349" s="6" t="s">
        <v>2710</v>
      </c>
      <c r="L349" s="6" t="s">
        <v>2953</v>
      </c>
      <c r="M349" s="6" t="s">
        <v>23</v>
      </c>
      <c r="N349" s="6" t="s">
        <v>2953</v>
      </c>
      <c r="O349" s="6" t="s">
        <v>2954</v>
      </c>
      <c r="P349" s="10" t="s">
        <v>65</v>
      </c>
      <c r="Q349" s="10" t="s">
        <v>65</v>
      </c>
      <c r="R349" s="10" t="s">
        <v>67</v>
      </c>
      <c r="S349" s="15" t="s">
        <v>2955</v>
      </c>
      <c r="T349" s="10" t="s">
        <v>61</v>
      </c>
      <c r="U349" s="12" t="s">
        <v>65</v>
      </c>
      <c r="V349" s="10" t="s">
        <v>65</v>
      </c>
      <c r="W349" s="10" t="s">
        <v>65</v>
      </c>
      <c r="X349" s="12" t="s">
        <v>65</v>
      </c>
      <c r="Y349" s="10" t="s">
        <v>65</v>
      </c>
      <c r="Z349" s="13" t="s">
        <v>2956</v>
      </c>
      <c r="AA349" s="10" t="s">
        <v>65</v>
      </c>
      <c r="AB349" s="11" t="s">
        <v>65</v>
      </c>
      <c r="AC349" s="11" t="s">
        <v>2957</v>
      </c>
      <c r="AD349" s="10" t="s">
        <v>82</v>
      </c>
      <c r="AE349" s="6" t="s">
        <v>341</v>
      </c>
      <c r="AF349" s="10" t="s">
        <v>2958</v>
      </c>
    </row>
    <row r="350" spans="1:32" ht="27.75" customHeight="1" x14ac:dyDescent="0.3">
      <c r="A350" s="6">
        <v>492279</v>
      </c>
      <c r="B350" s="6" t="s">
        <v>31</v>
      </c>
      <c r="C350" s="6" t="s">
        <v>2959</v>
      </c>
      <c r="D350" s="7" t="s">
        <v>36</v>
      </c>
      <c r="E350" s="8">
        <v>42116</v>
      </c>
      <c r="F350" s="6" t="s">
        <v>2960</v>
      </c>
      <c r="G350" s="16" t="s">
        <v>39</v>
      </c>
      <c r="H350" s="6" t="s">
        <v>2961</v>
      </c>
      <c r="I350" s="6" t="s">
        <v>2962</v>
      </c>
      <c r="J350" s="6" t="s">
        <v>34</v>
      </c>
      <c r="K350" s="6" t="s">
        <v>298</v>
      </c>
      <c r="L350" s="6" t="s">
        <v>2963</v>
      </c>
      <c r="M350" s="6" t="s">
        <v>23</v>
      </c>
      <c r="N350" s="6" t="s">
        <v>2963</v>
      </c>
      <c r="O350" s="6" t="s">
        <v>2964</v>
      </c>
      <c r="P350" s="10" t="s">
        <v>23</v>
      </c>
      <c r="Q350" s="10" t="s">
        <v>23</v>
      </c>
      <c r="R350" s="10" t="s">
        <v>44</v>
      </c>
      <c r="S350" s="15">
        <v>1510</v>
      </c>
      <c r="T350" s="10" t="s">
        <v>68</v>
      </c>
      <c r="U350" s="12">
        <v>600</v>
      </c>
      <c r="V350" s="10" t="s">
        <v>23</v>
      </c>
      <c r="W350" s="10" t="s">
        <v>23</v>
      </c>
      <c r="X350" s="10" t="s">
        <v>23</v>
      </c>
      <c r="Y350" s="10" t="s">
        <v>23</v>
      </c>
      <c r="Z350" s="13">
        <v>42969</v>
      </c>
      <c r="AA350" s="10" t="s">
        <v>23</v>
      </c>
      <c r="AB350" s="11" t="s">
        <v>23</v>
      </c>
      <c r="AC350" s="11" t="s">
        <v>2965</v>
      </c>
      <c r="AD350" s="6" t="s">
        <v>22</v>
      </c>
      <c r="AE350" s="6" t="s">
        <v>341</v>
      </c>
      <c r="AF350" s="6" t="s">
        <v>546</v>
      </c>
    </row>
    <row r="351" spans="1:32" ht="27.75" customHeight="1" x14ac:dyDescent="0.3">
      <c r="A351" s="6">
        <v>498496</v>
      </c>
      <c r="B351" s="6" t="s">
        <v>31</v>
      </c>
      <c r="C351" s="6" t="s">
        <v>2966</v>
      </c>
      <c r="D351" s="7" t="s">
        <v>36</v>
      </c>
      <c r="E351" s="8" t="s">
        <v>2967</v>
      </c>
      <c r="F351" s="6" t="s">
        <v>2968</v>
      </c>
      <c r="G351" s="9" t="s">
        <v>33</v>
      </c>
      <c r="H351" s="6" t="s">
        <v>2969</v>
      </c>
      <c r="I351" s="6" t="s">
        <v>2970</v>
      </c>
      <c r="J351" s="6" t="s">
        <v>34</v>
      </c>
      <c r="K351" s="6" t="s">
        <v>298</v>
      </c>
      <c r="L351" s="6" t="s">
        <v>2764</v>
      </c>
      <c r="M351" s="6" t="s">
        <v>23</v>
      </c>
      <c r="N351" s="6" t="s">
        <v>2971</v>
      </c>
      <c r="O351" s="6" t="s">
        <v>2972</v>
      </c>
      <c r="P351" s="10" t="s">
        <v>65</v>
      </c>
      <c r="Q351" s="10" t="s">
        <v>65</v>
      </c>
      <c r="R351" s="10" t="s">
        <v>67</v>
      </c>
      <c r="S351" s="15" t="s">
        <v>2973</v>
      </c>
      <c r="T351" s="10" t="s">
        <v>69</v>
      </c>
      <c r="U351" s="12" t="s">
        <v>70</v>
      </c>
      <c r="V351" s="10" t="s">
        <v>65</v>
      </c>
      <c r="W351" s="10" t="s">
        <v>65</v>
      </c>
      <c r="X351" s="10" t="s">
        <v>65</v>
      </c>
      <c r="Y351" s="10" t="s">
        <v>65</v>
      </c>
      <c r="Z351" s="13" t="s">
        <v>2974</v>
      </c>
      <c r="AA351" s="13">
        <v>44233</v>
      </c>
      <c r="AB351" s="11" t="s">
        <v>65</v>
      </c>
      <c r="AC351" s="11" t="s">
        <v>2975</v>
      </c>
      <c r="AD351" s="6" t="s">
        <v>22</v>
      </c>
      <c r="AE351" s="6" t="s">
        <v>341</v>
      </c>
      <c r="AF351" s="6" t="s">
        <v>2735</v>
      </c>
    </row>
    <row r="352" spans="1:32" ht="27.75" customHeight="1" x14ac:dyDescent="0.3">
      <c r="A352" s="6">
        <v>526651</v>
      </c>
      <c r="B352" s="6" t="s">
        <v>31</v>
      </c>
      <c r="C352" s="6" t="s">
        <v>2976</v>
      </c>
      <c r="D352" s="7" t="s">
        <v>36</v>
      </c>
      <c r="E352" s="8">
        <v>42444</v>
      </c>
      <c r="F352" s="6" t="s">
        <v>2977</v>
      </c>
      <c r="G352" s="16" t="s">
        <v>39</v>
      </c>
      <c r="H352" s="6" t="s">
        <v>2978</v>
      </c>
      <c r="I352" s="6" t="s">
        <v>2979</v>
      </c>
      <c r="J352" s="6" t="s">
        <v>34</v>
      </c>
      <c r="K352" s="6" t="s">
        <v>298</v>
      </c>
      <c r="L352" s="6" t="s">
        <v>2980</v>
      </c>
      <c r="M352" s="6" t="s">
        <v>23</v>
      </c>
      <c r="N352" s="6" t="s">
        <v>2980</v>
      </c>
      <c r="O352" s="6" t="s">
        <v>2981</v>
      </c>
      <c r="P352" s="10" t="s">
        <v>23</v>
      </c>
      <c r="Q352" s="10" t="s">
        <v>23</v>
      </c>
      <c r="R352" s="10" t="s">
        <v>45</v>
      </c>
      <c r="S352" s="11" t="s">
        <v>2982</v>
      </c>
      <c r="T352" s="10" t="s">
        <v>68</v>
      </c>
      <c r="U352" s="12">
        <v>1842</v>
      </c>
      <c r="V352" s="10" t="s">
        <v>23</v>
      </c>
      <c r="W352" s="10" t="s">
        <v>23</v>
      </c>
      <c r="X352" s="10" t="s">
        <v>23</v>
      </c>
      <c r="Y352" s="10" t="s">
        <v>23</v>
      </c>
      <c r="Z352" s="13">
        <v>44133</v>
      </c>
      <c r="AA352" s="10" t="s">
        <v>23</v>
      </c>
      <c r="AB352" s="11" t="s">
        <v>23</v>
      </c>
      <c r="AC352" s="11" t="s">
        <v>2983</v>
      </c>
      <c r="AD352" s="10" t="s">
        <v>82</v>
      </c>
      <c r="AE352" s="10" t="s">
        <v>439</v>
      </c>
      <c r="AF352" s="10" t="s">
        <v>2984</v>
      </c>
    </row>
    <row r="353" spans="1:32" ht="27.75" customHeight="1" x14ac:dyDescent="0.3">
      <c r="A353" s="6">
        <v>347551</v>
      </c>
      <c r="B353" s="6" t="s">
        <v>31</v>
      </c>
      <c r="C353" s="6" t="s">
        <v>2985</v>
      </c>
      <c r="D353" s="7" t="s">
        <v>36</v>
      </c>
      <c r="E353" s="8">
        <v>40590</v>
      </c>
      <c r="F353" s="6" t="s">
        <v>2312</v>
      </c>
      <c r="G353" s="9" t="s">
        <v>33</v>
      </c>
      <c r="H353" s="6" t="s">
        <v>2986</v>
      </c>
      <c r="I353" s="6" t="s">
        <v>2987</v>
      </c>
      <c r="J353" s="6" t="s">
        <v>34</v>
      </c>
      <c r="K353" s="6" t="s">
        <v>298</v>
      </c>
      <c r="L353" s="6" t="s">
        <v>2988</v>
      </c>
      <c r="M353" s="6" t="s">
        <v>23</v>
      </c>
      <c r="N353" s="6" t="s">
        <v>2989</v>
      </c>
      <c r="O353" s="6" t="s">
        <v>2990</v>
      </c>
      <c r="P353" s="10" t="s">
        <v>23</v>
      </c>
      <c r="Q353" s="10" t="s">
        <v>23</v>
      </c>
      <c r="R353" s="10" t="s">
        <v>2991</v>
      </c>
      <c r="S353" s="15" t="s">
        <v>2992</v>
      </c>
      <c r="T353" s="6" t="s">
        <v>157</v>
      </c>
      <c r="U353" s="12">
        <v>1730</v>
      </c>
      <c r="V353" s="10" t="s">
        <v>23</v>
      </c>
      <c r="W353" s="10" t="s">
        <v>23</v>
      </c>
      <c r="X353" s="10" t="s">
        <v>23</v>
      </c>
      <c r="Y353" s="10" t="s">
        <v>23</v>
      </c>
      <c r="Z353" s="13" t="s">
        <v>23</v>
      </c>
      <c r="AA353" s="10" t="s">
        <v>23</v>
      </c>
      <c r="AB353" s="11" t="s">
        <v>23</v>
      </c>
      <c r="AC353" s="11" t="s">
        <v>2993</v>
      </c>
      <c r="AD353" s="10" t="s">
        <v>82</v>
      </c>
      <c r="AE353" s="10" t="s">
        <v>439</v>
      </c>
      <c r="AF353" s="6" t="s">
        <v>2994</v>
      </c>
    </row>
    <row r="354" spans="1:32" ht="27.75" customHeight="1" x14ac:dyDescent="0.3">
      <c r="A354" s="6">
        <v>524062</v>
      </c>
      <c r="B354" s="6" t="s">
        <v>31</v>
      </c>
      <c r="C354" s="6" t="s">
        <v>2995</v>
      </c>
      <c r="D354" s="7" t="s">
        <v>36</v>
      </c>
      <c r="E354" s="8">
        <v>42412</v>
      </c>
      <c r="F354" s="6" t="s">
        <v>495</v>
      </c>
      <c r="G354" s="16" t="s">
        <v>39</v>
      </c>
      <c r="H354" s="6" t="s">
        <v>2996</v>
      </c>
      <c r="I354" s="6" t="s">
        <v>2997</v>
      </c>
      <c r="J354" s="6" t="s">
        <v>34</v>
      </c>
      <c r="K354" s="6" t="s">
        <v>298</v>
      </c>
      <c r="L354" s="6" t="s">
        <v>2998</v>
      </c>
      <c r="M354" s="6" t="s">
        <v>23</v>
      </c>
      <c r="N354" s="6" t="s">
        <v>2998</v>
      </c>
      <c r="O354" s="6" t="s">
        <v>2999</v>
      </c>
      <c r="P354" s="10" t="s">
        <v>23</v>
      </c>
      <c r="Q354" s="10" t="s">
        <v>23</v>
      </c>
      <c r="R354" s="10" t="s">
        <v>44</v>
      </c>
      <c r="S354" s="15" t="s">
        <v>3000</v>
      </c>
      <c r="T354" s="10" t="s">
        <v>51</v>
      </c>
      <c r="U354" s="12" t="s">
        <v>23</v>
      </c>
      <c r="V354" s="10" t="s">
        <v>23</v>
      </c>
      <c r="W354" s="10" t="s">
        <v>23</v>
      </c>
      <c r="X354" s="12" t="s">
        <v>23</v>
      </c>
      <c r="Y354" s="10" t="s">
        <v>23</v>
      </c>
      <c r="Z354" s="13" t="s">
        <v>23</v>
      </c>
      <c r="AA354" s="10" t="s">
        <v>23</v>
      </c>
      <c r="AB354" s="11" t="s">
        <v>23</v>
      </c>
      <c r="AC354" s="11" t="s">
        <v>3001</v>
      </c>
      <c r="AD354" s="10" t="s">
        <v>82</v>
      </c>
      <c r="AE354" s="10" t="s">
        <v>439</v>
      </c>
      <c r="AF354" s="6" t="s">
        <v>3002</v>
      </c>
    </row>
    <row r="355" spans="1:32" ht="27.75" customHeight="1" x14ac:dyDescent="0.3">
      <c r="A355" s="6">
        <v>535702</v>
      </c>
      <c r="B355" s="6" t="s">
        <v>31</v>
      </c>
      <c r="C355" s="7" t="s">
        <v>3003</v>
      </c>
      <c r="D355" s="7" t="s">
        <v>36</v>
      </c>
      <c r="E355" s="30">
        <v>42570</v>
      </c>
      <c r="F355" s="7" t="s">
        <v>3004</v>
      </c>
      <c r="G355" s="16" t="s">
        <v>39</v>
      </c>
      <c r="H355" s="6" t="s">
        <v>3005</v>
      </c>
      <c r="I355" s="6" t="s">
        <v>3006</v>
      </c>
      <c r="J355" s="6" t="s">
        <v>71</v>
      </c>
      <c r="K355" s="6" t="s">
        <v>298</v>
      </c>
      <c r="L355" s="6" t="s">
        <v>3007</v>
      </c>
      <c r="M355" s="6" t="s">
        <v>23</v>
      </c>
      <c r="N355" s="6" t="s">
        <v>3007</v>
      </c>
      <c r="O355" s="6" t="s">
        <v>3008</v>
      </c>
      <c r="P355" s="10" t="s">
        <v>23</v>
      </c>
      <c r="Q355" s="10" t="s">
        <v>23</v>
      </c>
      <c r="R355" s="158" t="s">
        <v>180</v>
      </c>
      <c r="S355" s="11" t="s">
        <v>23</v>
      </c>
      <c r="T355" s="10" t="s">
        <v>41</v>
      </c>
      <c r="U355" s="12" t="s">
        <v>23</v>
      </c>
      <c r="V355" s="10" t="s">
        <v>23</v>
      </c>
      <c r="W355" s="10" t="s">
        <v>23</v>
      </c>
      <c r="X355" s="12" t="s">
        <v>23</v>
      </c>
      <c r="Y355" s="10" t="s">
        <v>23</v>
      </c>
      <c r="Z355" s="10" t="s">
        <v>23</v>
      </c>
      <c r="AA355" s="10" t="s">
        <v>23</v>
      </c>
      <c r="AB355" s="11" t="s">
        <v>23</v>
      </c>
      <c r="AC355" s="11" t="s">
        <v>3009</v>
      </c>
      <c r="AD355" s="10" t="s">
        <v>82</v>
      </c>
      <c r="AE355" s="10" t="s">
        <v>17</v>
      </c>
      <c r="AF355" s="6" t="s">
        <v>3010</v>
      </c>
    </row>
    <row r="356" spans="1:32" ht="27.75" customHeight="1" x14ac:dyDescent="0.3">
      <c r="A356" s="7">
        <v>20208</v>
      </c>
      <c r="B356" s="7" t="s">
        <v>31</v>
      </c>
      <c r="C356" s="7" t="s">
        <v>3011</v>
      </c>
      <c r="D356" s="7" t="s">
        <v>36</v>
      </c>
      <c r="E356" s="30">
        <v>37622</v>
      </c>
      <c r="F356" s="7" t="s">
        <v>3012</v>
      </c>
      <c r="G356" s="16" t="s">
        <v>39</v>
      </c>
      <c r="H356" s="7" t="s">
        <v>3013</v>
      </c>
      <c r="I356" s="7" t="s">
        <v>3014</v>
      </c>
      <c r="J356" s="7" t="s">
        <v>71</v>
      </c>
      <c r="K356" s="7" t="s">
        <v>298</v>
      </c>
      <c r="L356" s="31" t="s">
        <v>3015</v>
      </c>
      <c r="M356" s="7" t="s">
        <v>17</v>
      </c>
      <c r="N356" s="10" t="s">
        <v>23</v>
      </c>
      <c r="O356" s="10" t="s">
        <v>23</v>
      </c>
      <c r="P356" s="10" t="s">
        <v>23</v>
      </c>
      <c r="Q356" s="10" t="s">
        <v>23</v>
      </c>
      <c r="R356" s="10" t="s">
        <v>73</v>
      </c>
      <c r="S356" s="10" t="s">
        <v>23</v>
      </c>
      <c r="T356" s="10" t="s">
        <v>74</v>
      </c>
      <c r="U356" s="10" t="s">
        <v>23</v>
      </c>
      <c r="V356" s="10" t="s">
        <v>23</v>
      </c>
      <c r="W356" s="10" t="s">
        <v>23</v>
      </c>
      <c r="X356" s="10" t="s">
        <v>23</v>
      </c>
      <c r="Y356" s="10" t="s">
        <v>23</v>
      </c>
      <c r="Z356" s="10" t="s">
        <v>23</v>
      </c>
      <c r="AA356" s="10" t="s">
        <v>23</v>
      </c>
      <c r="AB356" s="11" t="s">
        <v>23</v>
      </c>
      <c r="AC356" s="11" t="s">
        <v>23</v>
      </c>
      <c r="AD356" s="10" t="s">
        <v>82</v>
      </c>
      <c r="AE356" s="6" t="s">
        <v>341</v>
      </c>
      <c r="AF356" s="10" t="s">
        <v>3016</v>
      </c>
    </row>
    <row r="357" spans="1:32" ht="27.75" customHeight="1" x14ac:dyDescent="0.3">
      <c r="A357" s="7">
        <v>545764</v>
      </c>
      <c r="B357" s="7" t="s">
        <v>31</v>
      </c>
      <c r="C357" s="7" t="s">
        <v>3017</v>
      </c>
      <c r="D357" s="7" t="s">
        <v>36</v>
      </c>
      <c r="E357" s="30">
        <v>42768</v>
      </c>
      <c r="F357" s="7" t="s">
        <v>3018</v>
      </c>
      <c r="G357" s="16" t="s">
        <v>39</v>
      </c>
      <c r="H357" s="7" t="s">
        <v>3019</v>
      </c>
      <c r="I357" s="7" t="s">
        <v>3020</v>
      </c>
      <c r="J357" s="7" t="s">
        <v>71</v>
      </c>
      <c r="K357" s="7" t="s">
        <v>2710</v>
      </c>
      <c r="L357" s="7" t="s">
        <v>3021</v>
      </c>
      <c r="M357" s="7" t="s">
        <v>23</v>
      </c>
      <c r="N357" s="7" t="s">
        <v>3021</v>
      </c>
      <c r="O357" s="7" t="s">
        <v>23</v>
      </c>
      <c r="P357" s="7" t="s">
        <v>23</v>
      </c>
      <c r="Q357" s="7" t="s">
        <v>23</v>
      </c>
      <c r="R357" s="6" t="s">
        <v>17</v>
      </c>
      <c r="S357" s="7" t="s">
        <v>23</v>
      </c>
      <c r="T357" s="32" t="s">
        <v>75</v>
      </c>
      <c r="U357" s="33" t="s">
        <v>23</v>
      </c>
      <c r="V357" s="33" t="s">
        <v>23</v>
      </c>
      <c r="W357" s="33" t="s">
        <v>23</v>
      </c>
      <c r="X357" s="33" t="s">
        <v>23</v>
      </c>
      <c r="Y357" s="33" t="s">
        <v>23</v>
      </c>
      <c r="Z357" s="33" t="s">
        <v>23</v>
      </c>
      <c r="AA357" s="33" t="s">
        <v>23</v>
      </c>
      <c r="AB357" s="34" t="s">
        <v>23</v>
      </c>
      <c r="AC357" s="35" t="s">
        <v>3022</v>
      </c>
      <c r="AD357" s="10" t="s">
        <v>82</v>
      </c>
      <c r="AE357" s="10" t="s">
        <v>17</v>
      </c>
      <c r="AF357" s="7" t="s">
        <v>3023</v>
      </c>
    </row>
    <row r="358" spans="1:32" ht="27.75" customHeight="1" x14ac:dyDescent="0.3">
      <c r="A358" s="7">
        <v>545547</v>
      </c>
      <c r="B358" s="7" t="s">
        <v>31</v>
      </c>
      <c r="C358" s="7" t="s">
        <v>3024</v>
      </c>
      <c r="D358" s="7" t="s">
        <v>36</v>
      </c>
      <c r="E358" s="30" t="s">
        <v>3025</v>
      </c>
      <c r="F358" s="7" t="s">
        <v>3026</v>
      </c>
      <c r="G358" s="16" t="s">
        <v>52</v>
      </c>
      <c r="H358" s="7" t="s">
        <v>3027</v>
      </c>
      <c r="I358" s="7" t="s">
        <v>3028</v>
      </c>
      <c r="J358" s="7" t="s">
        <v>34</v>
      </c>
      <c r="K358" s="7" t="s">
        <v>2710</v>
      </c>
      <c r="L358" s="7" t="s">
        <v>3029</v>
      </c>
      <c r="M358" s="6" t="s">
        <v>23</v>
      </c>
      <c r="N358" s="7" t="s">
        <v>3029</v>
      </c>
      <c r="O358" s="6" t="s">
        <v>23</v>
      </c>
      <c r="P358" s="6" t="s">
        <v>23</v>
      </c>
      <c r="Q358" s="6" t="s">
        <v>23</v>
      </c>
      <c r="R358" s="6" t="s">
        <v>23</v>
      </c>
      <c r="S358" s="6" t="s">
        <v>23</v>
      </c>
      <c r="T358" s="32" t="s">
        <v>76</v>
      </c>
      <c r="U358" s="6" t="s">
        <v>23</v>
      </c>
      <c r="V358" s="6" t="s">
        <v>23</v>
      </c>
      <c r="W358" s="6" t="s">
        <v>23</v>
      </c>
      <c r="X358" s="6" t="s">
        <v>23</v>
      </c>
      <c r="Y358" s="6" t="s">
        <v>23</v>
      </c>
      <c r="Z358" s="8">
        <v>43018</v>
      </c>
      <c r="AA358" s="8">
        <v>44110</v>
      </c>
      <c r="AB358" s="25" t="s">
        <v>23</v>
      </c>
      <c r="AC358" s="35" t="s">
        <v>3030</v>
      </c>
      <c r="AD358" s="6" t="s">
        <v>22</v>
      </c>
      <c r="AE358" s="6" t="s">
        <v>341</v>
      </c>
      <c r="AF358" s="7" t="s">
        <v>2948</v>
      </c>
    </row>
    <row r="359" spans="1:32" ht="27.75" customHeight="1" x14ac:dyDescent="0.3">
      <c r="A359" s="7">
        <v>557203</v>
      </c>
      <c r="B359" s="7" t="s">
        <v>31</v>
      </c>
      <c r="C359" s="7" t="s">
        <v>3031</v>
      </c>
      <c r="D359" s="7" t="s">
        <v>78</v>
      </c>
      <c r="E359" s="30">
        <v>42944</v>
      </c>
      <c r="F359" s="7" t="s">
        <v>2795</v>
      </c>
      <c r="G359" s="9" t="s">
        <v>33</v>
      </c>
      <c r="H359" s="7" t="s">
        <v>3032</v>
      </c>
      <c r="I359" s="7" t="s">
        <v>3033</v>
      </c>
      <c r="J359" s="7" t="s">
        <v>34</v>
      </c>
      <c r="K359" s="7" t="s">
        <v>2710</v>
      </c>
      <c r="L359" s="7" t="s">
        <v>3034</v>
      </c>
      <c r="M359" s="7" t="s">
        <v>23</v>
      </c>
      <c r="N359" s="36" t="s">
        <v>3035</v>
      </c>
      <c r="O359" s="7" t="s">
        <v>699</v>
      </c>
      <c r="P359" s="32" t="s">
        <v>17</v>
      </c>
      <c r="Q359" s="32" t="s">
        <v>17</v>
      </c>
      <c r="R359" s="6" t="s">
        <v>96</v>
      </c>
      <c r="S359" s="6" t="s">
        <v>3036</v>
      </c>
      <c r="T359" s="10" t="s">
        <v>68</v>
      </c>
      <c r="U359" s="6" t="s">
        <v>79</v>
      </c>
      <c r="V359" s="6" t="s">
        <v>23</v>
      </c>
      <c r="W359" s="6" t="s">
        <v>23</v>
      </c>
      <c r="X359" s="6" t="s">
        <v>23</v>
      </c>
      <c r="Y359" s="6" t="s">
        <v>23</v>
      </c>
      <c r="Z359" s="6" t="s">
        <v>23</v>
      </c>
      <c r="AA359" s="6" t="s">
        <v>23</v>
      </c>
      <c r="AB359" s="6" t="s">
        <v>23</v>
      </c>
      <c r="AC359" s="35" t="s">
        <v>3037</v>
      </c>
      <c r="AD359" s="10" t="s">
        <v>82</v>
      </c>
      <c r="AE359" s="10" t="s">
        <v>17</v>
      </c>
      <c r="AF359" s="7" t="s">
        <v>996</v>
      </c>
    </row>
    <row r="360" spans="1:32" ht="27.75" customHeight="1" x14ac:dyDescent="0.3">
      <c r="A360" s="7">
        <v>552215</v>
      </c>
      <c r="B360" s="7" t="s">
        <v>31</v>
      </c>
      <c r="C360" s="7" t="s">
        <v>3038</v>
      </c>
      <c r="D360" s="7" t="s">
        <v>32</v>
      </c>
      <c r="E360" s="30">
        <v>42880</v>
      </c>
      <c r="F360" s="7" t="s">
        <v>3039</v>
      </c>
      <c r="G360" s="9" t="s">
        <v>33</v>
      </c>
      <c r="H360" s="7" t="s">
        <v>3040</v>
      </c>
      <c r="I360" s="7" t="s">
        <v>1694</v>
      </c>
      <c r="J360" s="7" t="s">
        <v>34</v>
      </c>
      <c r="K360" s="7" t="s">
        <v>298</v>
      </c>
      <c r="L360" s="7" t="s">
        <v>3041</v>
      </c>
      <c r="M360" s="7" t="s">
        <v>23</v>
      </c>
      <c r="N360" s="7" t="s">
        <v>3042</v>
      </c>
      <c r="O360" s="7" t="s">
        <v>23</v>
      </c>
      <c r="P360" s="7" t="s">
        <v>23</v>
      </c>
      <c r="Q360" s="7" t="s">
        <v>23</v>
      </c>
      <c r="R360" s="7" t="s">
        <v>23</v>
      </c>
      <c r="S360" s="7" t="s">
        <v>23</v>
      </c>
      <c r="T360" s="164" t="s">
        <v>17</v>
      </c>
      <c r="U360" s="7" t="s">
        <v>23</v>
      </c>
      <c r="V360" s="7" t="s">
        <v>23</v>
      </c>
      <c r="W360" s="7" t="s">
        <v>23</v>
      </c>
      <c r="X360" s="7" t="s">
        <v>23</v>
      </c>
      <c r="Y360" s="7" t="s">
        <v>23</v>
      </c>
      <c r="Z360" s="30">
        <v>43424</v>
      </c>
      <c r="AA360" s="7" t="s">
        <v>23</v>
      </c>
      <c r="AB360" s="36" t="s">
        <v>23</v>
      </c>
      <c r="AC360" s="35" t="s">
        <v>3043</v>
      </c>
      <c r="AD360" s="6" t="s">
        <v>22</v>
      </c>
      <c r="AE360" s="6" t="s">
        <v>341</v>
      </c>
      <c r="AF360" s="32" t="s">
        <v>493</v>
      </c>
    </row>
    <row r="361" spans="1:32" ht="27.75" customHeight="1" x14ac:dyDescent="0.3">
      <c r="A361" s="7">
        <v>552770</v>
      </c>
      <c r="B361" s="7" t="s">
        <v>31</v>
      </c>
      <c r="C361" s="7" t="s">
        <v>3044</v>
      </c>
      <c r="D361" s="7" t="s">
        <v>36</v>
      </c>
      <c r="E361" s="30" t="s">
        <v>3045</v>
      </c>
      <c r="F361" s="7" t="s">
        <v>3046</v>
      </c>
      <c r="G361" s="16" t="s">
        <v>39</v>
      </c>
      <c r="H361" s="7" t="s">
        <v>3047</v>
      </c>
      <c r="I361" s="7" t="s">
        <v>3048</v>
      </c>
      <c r="J361" s="7" t="s">
        <v>34</v>
      </c>
      <c r="K361" s="7" t="s">
        <v>298</v>
      </c>
      <c r="L361" s="7" t="s">
        <v>3049</v>
      </c>
      <c r="M361" s="6" t="s">
        <v>23</v>
      </c>
      <c r="N361" s="7" t="s">
        <v>3049</v>
      </c>
      <c r="O361" s="7" t="s">
        <v>3050</v>
      </c>
      <c r="P361" s="6" t="s">
        <v>23</v>
      </c>
      <c r="Q361" s="6" t="s">
        <v>23</v>
      </c>
      <c r="R361" s="6" t="s">
        <v>23</v>
      </c>
      <c r="S361" s="6" t="s">
        <v>23</v>
      </c>
      <c r="T361" s="32" t="s">
        <v>57</v>
      </c>
      <c r="U361" s="10" t="s">
        <v>23</v>
      </c>
      <c r="V361" s="10" t="s">
        <v>23</v>
      </c>
      <c r="W361" s="10" t="s">
        <v>23</v>
      </c>
      <c r="X361" s="10" t="s">
        <v>23</v>
      </c>
      <c r="Y361" s="10" t="s">
        <v>23</v>
      </c>
      <c r="Z361" s="30">
        <v>43287</v>
      </c>
      <c r="AA361" s="30" t="s">
        <v>3051</v>
      </c>
      <c r="AB361" s="11" t="s">
        <v>23</v>
      </c>
      <c r="AC361" s="11" t="s">
        <v>3052</v>
      </c>
      <c r="AD361" s="6" t="s">
        <v>22</v>
      </c>
      <c r="AE361" s="10" t="s">
        <v>439</v>
      </c>
      <c r="AF361" s="10" t="s">
        <v>3053</v>
      </c>
    </row>
    <row r="362" spans="1:32" ht="27.75" customHeight="1" x14ac:dyDescent="0.3">
      <c r="A362" s="7">
        <v>555753</v>
      </c>
      <c r="B362" s="7" t="s">
        <v>31</v>
      </c>
      <c r="C362" s="7" t="s">
        <v>3054</v>
      </c>
      <c r="D362" s="7" t="s">
        <v>36</v>
      </c>
      <c r="E362" s="30" t="s">
        <v>3055</v>
      </c>
      <c r="F362" s="7" t="s">
        <v>3056</v>
      </c>
      <c r="G362" s="16" t="s">
        <v>39</v>
      </c>
      <c r="H362" s="7" t="s">
        <v>3057</v>
      </c>
      <c r="I362" s="7" t="s">
        <v>3058</v>
      </c>
      <c r="J362" s="7" t="s">
        <v>34</v>
      </c>
      <c r="K362" s="7" t="s">
        <v>298</v>
      </c>
      <c r="L362" s="7" t="s">
        <v>3059</v>
      </c>
      <c r="M362" s="7" t="s">
        <v>23</v>
      </c>
      <c r="N362" s="7" t="s">
        <v>3059</v>
      </c>
      <c r="O362" s="7" t="s">
        <v>3060</v>
      </c>
      <c r="P362" s="32" t="s">
        <v>65</v>
      </c>
      <c r="Q362" s="32" t="s">
        <v>65</v>
      </c>
      <c r="R362" s="32" t="s">
        <v>3061</v>
      </c>
      <c r="S362" s="35" t="s">
        <v>3062</v>
      </c>
      <c r="T362" s="32" t="s">
        <v>61</v>
      </c>
      <c r="U362" s="35" t="s">
        <v>80</v>
      </c>
      <c r="V362" s="32" t="s">
        <v>65</v>
      </c>
      <c r="W362" s="37" t="s">
        <v>23</v>
      </c>
      <c r="X362" s="33" t="s">
        <v>65</v>
      </c>
      <c r="Y362" s="32" t="s">
        <v>65</v>
      </c>
      <c r="Z362" s="13" t="s">
        <v>3063</v>
      </c>
      <c r="AA362" s="13">
        <v>44203</v>
      </c>
      <c r="AB362" s="11" t="s">
        <v>65</v>
      </c>
      <c r="AC362" s="35" t="s">
        <v>3064</v>
      </c>
      <c r="AD362" s="6" t="s">
        <v>22</v>
      </c>
      <c r="AE362" s="6" t="s">
        <v>341</v>
      </c>
      <c r="AF362" s="7" t="s">
        <v>546</v>
      </c>
    </row>
    <row r="363" spans="1:32" ht="27.75" customHeight="1" x14ac:dyDescent="0.3">
      <c r="A363" s="38" t="s">
        <v>3065</v>
      </c>
      <c r="B363" s="6" t="s">
        <v>137</v>
      </c>
      <c r="C363" s="39" t="s">
        <v>3066</v>
      </c>
      <c r="D363" s="6" t="s">
        <v>138</v>
      </c>
      <c r="E363" s="8">
        <v>44147</v>
      </c>
      <c r="F363" s="6" t="s">
        <v>3067</v>
      </c>
      <c r="G363" s="9" t="s">
        <v>33</v>
      </c>
      <c r="H363" s="6" t="s">
        <v>3068</v>
      </c>
      <c r="I363" s="6" t="s">
        <v>3069</v>
      </c>
      <c r="J363" s="6" t="s">
        <v>34</v>
      </c>
      <c r="K363" s="6" t="s">
        <v>298</v>
      </c>
      <c r="L363" s="6" t="s">
        <v>3070</v>
      </c>
      <c r="M363" s="6" t="s">
        <v>23</v>
      </c>
      <c r="N363" s="25" t="s">
        <v>3071</v>
      </c>
      <c r="O363" s="6" t="s">
        <v>23</v>
      </c>
      <c r="P363" s="10" t="s">
        <v>17</v>
      </c>
      <c r="Q363" s="10" t="s">
        <v>17</v>
      </c>
      <c r="R363" s="6" t="s">
        <v>17</v>
      </c>
      <c r="S363" s="11" t="s">
        <v>23</v>
      </c>
      <c r="T363" s="10" t="s">
        <v>17</v>
      </c>
      <c r="U363" s="12" t="s">
        <v>23</v>
      </c>
      <c r="V363" s="10" t="s">
        <v>23</v>
      </c>
      <c r="W363" s="10" t="s">
        <v>23</v>
      </c>
      <c r="X363" s="10" t="s">
        <v>23</v>
      </c>
      <c r="Y363" s="10" t="s">
        <v>23</v>
      </c>
      <c r="Z363" s="10" t="s">
        <v>23</v>
      </c>
      <c r="AA363" s="10" t="s">
        <v>23</v>
      </c>
      <c r="AB363" s="10" t="s">
        <v>23</v>
      </c>
      <c r="AC363" s="11" t="s">
        <v>3072</v>
      </c>
      <c r="AD363" s="10" t="s">
        <v>19</v>
      </c>
      <c r="AE363" s="10" t="s">
        <v>17</v>
      </c>
      <c r="AF363" s="7" t="s">
        <v>2333</v>
      </c>
    </row>
    <row r="364" spans="1:32" ht="27.75" customHeight="1" x14ac:dyDescent="0.3">
      <c r="A364" s="6">
        <v>671001</v>
      </c>
      <c r="B364" s="6" t="s">
        <v>31</v>
      </c>
      <c r="C364" s="6" t="s">
        <v>3073</v>
      </c>
      <c r="D364" s="7" t="s">
        <v>78</v>
      </c>
      <c r="E364" s="8">
        <v>44307</v>
      </c>
      <c r="F364" s="6" t="s">
        <v>3074</v>
      </c>
      <c r="G364" s="9" t="s">
        <v>33</v>
      </c>
      <c r="H364" s="6" t="s">
        <v>3075</v>
      </c>
      <c r="I364" s="6" t="s">
        <v>3076</v>
      </c>
      <c r="J364" s="6" t="s">
        <v>34</v>
      </c>
      <c r="K364" s="6" t="s">
        <v>298</v>
      </c>
      <c r="L364" s="6" t="s">
        <v>2764</v>
      </c>
      <c r="M364" s="6" t="s">
        <v>23</v>
      </c>
      <c r="N364" s="6" t="s">
        <v>3077</v>
      </c>
      <c r="O364" s="6" t="s">
        <v>23</v>
      </c>
      <c r="P364" s="10" t="s">
        <v>23</v>
      </c>
      <c r="Q364" s="10" t="s">
        <v>23</v>
      </c>
      <c r="R364" s="10" t="s">
        <v>3078</v>
      </c>
      <c r="S364" s="15" t="s">
        <v>23</v>
      </c>
      <c r="T364" s="10" t="s">
        <v>75</v>
      </c>
      <c r="U364" s="12" t="s">
        <v>23</v>
      </c>
      <c r="V364" s="10" t="s">
        <v>23</v>
      </c>
      <c r="W364" s="10" t="s">
        <v>23</v>
      </c>
      <c r="X364" s="10" t="s">
        <v>23</v>
      </c>
      <c r="Y364" s="10" t="s">
        <v>23</v>
      </c>
      <c r="Z364" s="13">
        <v>44517</v>
      </c>
      <c r="AA364" s="13">
        <v>44845</v>
      </c>
      <c r="AB364" s="11" t="s">
        <v>3079</v>
      </c>
      <c r="AC364" s="25" t="s">
        <v>3080</v>
      </c>
      <c r="AD364" s="6" t="s">
        <v>22</v>
      </c>
      <c r="AE364" s="6" t="s">
        <v>341</v>
      </c>
      <c r="AF364" s="6" t="s">
        <v>2735</v>
      </c>
    </row>
    <row r="365" spans="1:32" ht="27.75" customHeight="1" x14ac:dyDescent="0.3">
      <c r="A365" s="7">
        <v>680724</v>
      </c>
      <c r="B365" s="7" t="s">
        <v>31</v>
      </c>
      <c r="C365" s="7" t="s">
        <v>3081</v>
      </c>
      <c r="D365" s="7" t="s">
        <v>36</v>
      </c>
      <c r="E365" s="30" t="s">
        <v>3082</v>
      </c>
      <c r="F365" s="7" t="s">
        <v>3083</v>
      </c>
      <c r="G365" s="16" t="s">
        <v>52</v>
      </c>
      <c r="H365" s="7" t="s">
        <v>3084</v>
      </c>
      <c r="I365" s="7" t="s">
        <v>3085</v>
      </c>
      <c r="J365" s="7" t="s">
        <v>34</v>
      </c>
      <c r="K365" s="7" t="s">
        <v>298</v>
      </c>
      <c r="L365" s="7" t="s">
        <v>3086</v>
      </c>
      <c r="M365" s="7" t="s">
        <v>17</v>
      </c>
      <c r="N365" s="7" t="s">
        <v>3087</v>
      </c>
      <c r="O365" s="7" t="s">
        <v>17</v>
      </c>
      <c r="P365" s="32" t="s">
        <v>17</v>
      </c>
      <c r="Q365" s="32" t="s">
        <v>17</v>
      </c>
      <c r="R365" s="6" t="s">
        <v>96</v>
      </c>
      <c r="S365" s="35" t="s">
        <v>17</v>
      </c>
      <c r="T365" s="164" t="s">
        <v>17</v>
      </c>
      <c r="U365" s="12" t="s">
        <v>17</v>
      </c>
      <c r="V365" s="40" t="s">
        <v>17</v>
      </c>
      <c r="W365" s="41" t="s">
        <v>17</v>
      </c>
      <c r="X365" s="41" t="s">
        <v>17</v>
      </c>
      <c r="Y365" s="41" t="s">
        <v>17</v>
      </c>
      <c r="Z365" s="41" t="s">
        <v>3088</v>
      </c>
      <c r="AA365" s="41" t="s">
        <v>17</v>
      </c>
      <c r="AB365" s="42" t="s">
        <v>87</v>
      </c>
      <c r="AC365" s="35" t="s">
        <v>3089</v>
      </c>
      <c r="AD365" s="10" t="s">
        <v>82</v>
      </c>
      <c r="AE365" s="10" t="s">
        <v>17</v>
      </c>
      <c r="AF365" s="7" t="s">
        <v>3090</v>
      </c>
    </row>
    <row r="366" spans="1:32" ht="27.75" customHeight="1" x14ac:dyDescent="0.3">
      <c r="A366" s="6">
        <v>680477</v>
      </c>
      <c r="B366" s="6" t="s">
        <v>31</v>
      </c>
      <c r="C366" s="7" t="s">
        <v>3091</v>
      </c>
      <c r="D366" s="7" t="s">
        <v>36</v>
      </c>
      <c r="E366" s="8">
        <v>44433</v>
      </c>
      <c r="F366" s="6" t="s">
        <v>3092</v>
      </c>
      <c r="G366" s="16" t="s">
        <v>39</v>
      </c>
      <c r="H366" s="6" t="s">
        <v>3093</v>
      </c>
      <c r="I366" s="6" t="s">
        <v>3094</v>
      </c>
      <c r="J366" s="7" t="s">
        <v>34</v>
      </c>
      <c r="K366" s="7" t="s">
        <v>2710</v>
      </c>
      <c r="L366" s="6" t="s">
        <v>3095</v>
      </c>
      <c r="M366" s="6" t="s">
        <v>460</v>
      </c>
      <c r="N366" s="6" t="s">
        <v>3096</v>
      </c>
      <c r="O366" s="6" t="s">
        <v>3097</v>
      </c>
      <c r="P366" s="10" t="s">
        <v>17</v>
      </c>
      <c r="Q366" s="10" t="s">
        <v>17</v>
      </c>
      <c r="R366" s="6" t="s">
        <v>96</v>
      </c>
      <c r="S366" s="10" t="s">
        <v>3098</v>
      </c>
      <c r="T366" s="6" t="s">
        <v>157</v>
      </c>
      <c r="U366" s="12" t="s">
        <v>17</v>
      </c>
      <c r="V366" s="40" t="s">
        <v>17</v>
      </c>
      <c r="W366" s="41" t="s">
        <v>17</v>
      </c>
      <c r="X366" s="41" t="s">
        <v>17</v>
      </c>
      <c r="Y366" s="41" t="s">
        <v>17</v>
      </c>
      <c r="Z366" s="41" t="s">
        <v>3099</v>
      </c>
      <c r="AA366" s="41" t="s">
        <v>3100</v>
      </c>
      <c r="AB366" s="42" t="s">
        <v>17</v>
      </c>
      <c r="AC366" s="42" t="s">
        <v>3101</v>
      </c>
      <c r="AD366" s="6" t="s">
        <v>22</v>
      </c>
      <c r="AE366" s="10" t="s">
        <v>17</v>
      </c>
      <c r="AF366" s="10" t="s">
        <v>3102</v>
      </c>
    </row>
    <row r="367" spans="1:32" ht="27.75" customHeight="1" x14ac:dyDescent="0.3">
      <c r="A367" s="43">
        <v>672853</v>
      </c>
      <c r="B367" s="43" t="s">
        <v>31</v>
      </c>
      <c r="C367" s="25" t="s">
        <v>3103</v>
      </c>
      <c r="D367" s="22" t="s">
        <v>36</v>
      </c>
      <c r="E367" s="8">
        <v>44329</v>
      </c>
      <c r="F367" s="7" t="s">
        <v>3104</v>
      </c>
      <c r="G367" s="16" t="s">
        <v>39</v>
      </c>
      <c r="H367" s="36" t="s">
        <v>3105</v>
      </c>
      <c r="I367" s="36" t="s">
        <v>3106</v>
      </c>
      <c r="J367" s="6" t="s">
        <v>34</v>
      </c>
      <c r="K367" s="6" t="s">
        <v>298</v>
      </c>
      <c r="L367" s="7" t="s">
        <v>3107</v>
      </c>
      <c r="M367" s="7" t="s">
        <v>17</v>
      </c>
      <c r="N367" s="7" t="s">
        <v>3108</v>
      </c>
      <c r="O367" s="7" t="s">
        <v>17</v>
      </c>
      <c r="P367" s="7" t="s">
        <v>17</v>
      </c>
      <c r="Q367" s="7" t="s">
        <v>17</v>
      </c>
      <c r="R367" s="6" t="s">
        <v>17</v>
      </c>
      <c r="S367" s="7" t="s">
        <v>17</v>
      </c>
      <c r="T367" s="32" t="s">
        <v>83</v>
      </c>
      <c r="U367" s="33" t="s">
        <v>17</v>
      </c>
      <c r="V367" s="32" t="s">
        <v>17</v>
      </c>
      <c r="W367" s="37" t="s">
        <v>17</v>
      </c>
      <c r="X367" s="33" t="s">
        <v>17</v>
      </c>
      <c r="Y367" s="32" t="s">
        <v>17</v>
      </c>
      <c r="Z367" s="44" t="s">
        <v>3109</v>
      </c>
      <c r="AA367" s="44" t="s">
        <v>17</v>
      </c>
      <c r="AB367" s="35" t="s">
        <v>3110</v>
      </c>
      <c r="AC367" s="45" t="s">
        <v>3111</v>
      </c>
      <c r="AD367" s="10" t="s">
        <v>82</v>
      </c>
      <c r="AE367" s="10" t="s">
        <v>17</v>
      </c>
      <c r="AF367" s="10" t="s">
        <v>493</v>
      </c>
    </row>
    <row r="368" spans="1:32" ht="27.75" customHeight="1" x14ac:dyDescent="0.3">
      <c r="A368" s="43">
        <v>682046</v>
      </c>
      <c r="B368" s="43" t="s">
        <v>31</v>
      </c>
      <c r="C368" s="25" t="s">
        <v>3112</v>
      </c>
      <c r="D368" s="6" t="s">
        <v>36</v>
      </c>
      <c r="E368" s="25" t="s">
        <v>3113</v>
      </c>
      <c r="F368" s="25" t="s">
        <v>2939</v>
      </c>
      <c r="G368" s="16" t="s">
        <v>39</v>
      </c>
      <c r="H368" s="36" t="s">
        <v>3114</v>
      </c>
      <c r="I368" s="36" t="s">
        <v>3115</v>
      </c>
      <c r="J368" s="6" t="s">
        <v>34</v>
      </c>
      <c r="K368" s="6" t="s">
        <v>298</v>
      </c>
      <c r="L368" s="6" t="s">
        <v>3116</v>
      </c>
      <c r="M368" s="22" t="s">
        <v>17</v>
      </c>
      <c r="N368" s="7" t="s">
        <v>3117</v>
      </c>
      <c r="O368" s="47" t="s">
        <v>23</v>
      </c>
      <c r="P368" s="10" t="s">
        <v>17</v>
      </c>
      <c r="Q368" s="10" t="s">
        <v>17</v>
      </c>
      <c r="R368" s="48" t="s">
        <v>17</v>
      </c>
      <c r="S368" s="25" t="s">
        <v>17</v>
      </c>
      <c r="T368" s="48" t="s">
        <v>41</v>
      </c>
      <c r="U368" s="41" t="s">
        <v>17</v>
      </c>
      <c r="V368" s="40" t="s">
        <v>17</v>
      </c>
      <c r="W368" s="41" t="s">
        <v>17</v>
      </c>
      <c r="X368" s="41" t="s">
        <v>17</v>
      </c>
      <c r="Y368" s="41" t="s">
        <v>17</v>
      </c>
      <c r="Z368" s="41" t="s">
        <v>17</v>
      </c>
      <c r="AA368" s="49" t="s">
        <v>17</v>
      </c>
      <c r="AB368" s="42" t="s">
        <v>1521</v>
      </c>
      <c r="AC368" s="42" t="s">
        <v>3118</v>
      </c>
      <c r="AD368" s="6" t="s">
        <v>22</v>
      </c>
      <c r="AE368" s="32" t="s">
        <v>439</v>
      </c>
      <c r="AF368" s="7" t="s">
        <v>3119</v>
      </c>
    </row>
    <row r="369" spans="1:32" ht="27.75" customHeight="1" x14ac:dyDescent="0.3">
      <c r="A369" s="7">
        <v>625101</v>
      </c>
      <c r="B369" s="7" t="s">
        <v>31</v>
      </c>
      <c r="C369" s="25" t="s">
        <v>3120</v>
      </c>
      <c r="D369" s="7" t="s">
        <v>36</v>
      </c>
      <c r="E369" s="30">
        <v>44452</v>
      </c>
      <c r="F369" s="25" t="s">
        <v>3121</v>
      </c>
      <c r="G369" s="16" t="s">
        <v>39</v>
      </c>
      <c r="H369" s="7" t="s">
        <v>3122</v>
      </c>
      <c r="I369" s="7" t="s">
        <v>3123</v>
      </c>
      <c r="J369" s="7" t="s">
        <v>34</v>
      </c>
      <c r="K369" s="7" t="s">
        <v>298</v>
      </c>
      <c r="L369" s="7" t="s">
        <v>3124</v>
      </c>
      <c r="M369" s="7" t="s">
        <v>17</v>
      </c>
      <c r="N369" s="7" t="s">
        <v>3125</v>
      </c>
      <c r="O369" s="7" t="s">
        <v>23</v>
      </c>
      <c r="P369" s="32" t="s">
        <v>23</v>
      </c>
      <c r="Q369" s="32" t="s">
        <v>23</v>
      </c>
      <c r="R369" s="6" t="s">
        <v>17</v>
      </c>
      <c r="S369" s="35" t="s">
        <v>23</v>
      </c>
      <c r="T369" s="32" t="s">
        <v>57</v>
      </c>
      <c r="U369" s="33" t="s">
        <v>23</v>
      </c>
      <c r="V369" s="32" t="s">
        <v>23</v>
      </c>
      <c r="W369" s="37" t="s">
        <v>23</v>
      </c>
      <c r="X369" s="33" t="s">
        <v>23</v>
      </c>
      <c r="Y369" s="32" t="s">
        <v>23</v>
      </c>
      <c r="Z369" s="44" t="s">
        <v>23</v>
      </c>
      <c r="AA369" s="44" t="s">
        <v>23</v>
      </c>
      <c r="AB369" s="35" t="s">
        <v>23</v>
      </c>
      <c r="AC369" s="35" t="s">
        <v>3126</v>
      </c>
      <c r="AD369" s="10" t="s">
        <v>82</v>
      </c>
      <c r="AE369" s="10" t="s">
        <v>17</v>
      </c>
      <c r="AF369" s="7"/>
    </row>
    <row r="370" spans="1:32" ht="27.75" customHeight="1" x14ac:dyDescent="0.3">
      <c r="A370" s="7">
        <v>683323</v>
      </c>
      <c r="B370" s="7" t="s">
        <v>31</v>
      </c>
      <c r="C370" s="7" t="s">
        <v>3127</v>
      </c>
      <c r="D370" s="7" t="s">
        <v>36</v>
      </c>
      <c r="E370" s="30">
        <v>44469</v>
      </c>
      <c r="F370" s="7" t="s">
        <v>3128</v>
      </c>
      <c r="G370" s="9" t="s">
        <v>33</v>
      </c>
      <c r="H370" s="7" t="s">
        <v>3129</v>
      </c>
      <c r="I370" s="36" t="s">
        <v>3130</v>
      </c>
      <c r="J370" s="7" t="s">
        <v>34</v>
      </c>
      <c r="K370" s="7" t="s">
        <v>298</v>
      </c>
      <c r="L370" s="7" t="s">
        <v>3131</v>
      </c>
      <c r="M370" s="7" t="s">
        <v>17</v>
      </c>
      <c r="N370" s="3"/>
      <c r="O370" s="32" t="s">
        <v>17</v>
      </c>
      <c r="P370" s="32" t="s">
        <v>17</v>
      </c>
      <c r="Q370" s="32" t="s">
        <v>17</v>
      </c>
      <c r="R370" s="32" t="s">
        <v>3078</v>
      </c>
      <c r="S370" s="32" t="s">
        <v>3132</v>
      </c>
      <c r="T370" s="32" t="s">
        <v>84</v>
      </c>
      <c r="U370" s="32" t="s">
        <v>17</v>
      </c>
      <c r="V370" s="32" t="s">
        <v>17</v>
      </c>
      <c r="W370" s="32" t="s">
        <v>17</v>
      </c>
      <c r="X370" s="32" t="s">
        <v>17</v>
      </c>
      <c r="Y370" s="32" t="s">
        <v>17</v>
      </c>
      <c r="Z370" s="32" t="s">
        <v>17</v>
      </c>
      <c r="AA370" s="32" t="s">
        <v>17</v>
      </c>
      <c r="AB370" s="35" t="s">
        <v>17</v>
      </c>
      <c r="AC370" s="35" t="s">
        <v>3133</v>
      </c>
      <c r="AD370" s="10" t="s">
        <v>82</v>
      </c>
      <c r="AE370" s="6" t="s">
        <v>341</v>
      </c>
      <c r="AF370" s="7" t="s">
        <v>448</v>
      </c>
    </row>
    <row r="371" spans="1:32" ht="27.75" customHeight="1" x14ac:dyDescent="0.3">
      <c r="A371" s="7">
        <v>684351</v>
      </c>
      <c r="B371" s="7" t="s">
        <v>31</v>
      </c>
      <c r="C371" s="7" t="s">
        <v>3134</v>
      </c>
      <c r="D371" s="7" t="s">
        <v>36</v>
      </c>
      <c r="E371" s="30">
        <v>44511</v>
      </c>
      <c r="F371" s="7" t="s">
        <v>3135</v>
      </c>
      <c r="G371" s="9" t="s">
        <v>33</v>
      </c>
      <c r="H371" s="7" t="s">
        <v>3136</v>
      </c>
      <c r="I371" s="7" t="s">
        <v>3137</v>
      </c>
      <c r="J371" s="7" t="s">
        <v>34</v>
      </c>
      <c r="K371" s="7" t="s">
        <v>2710</v>
      </c>
      <c r="L371" s="7" t="s">
        <v>2764</v>
      </c>
      <c r="M371" s="7" t="s">
        <v>17</v>
      </c>
      <c r="N371" s="50" t="s">
        <v>3138</v>
      </c>
      <c r="O371" s="10" t="s">
        <v>3139</v>
      </c>
      <c r="P371" s="41" t="s">
        <v>17</v>
      </c>
      <c r="Q371" s="10" t="s">
        <v>17</v>
      </c>
      <c r="R371" s="41" t="s">
        <v>81</v>
      </c>
      <c r="S371" s="35" t="s">
        <v>3140</v>
      </c>
      <c r="T371" s="32" t="s">
        <v>85</v>
      </c>
      <c r="U371" s="33" t="s">
        <v>17</v>
      </c>
      <c r="V371" s="40" t="s">
        <v>17</v>
      </c>
      <c r="W371" s="40" t="s">
        <v>17</v>
      </c>
      <c r="X371" s="40" t="s">
        <v>17</v>
      </c>
      <c r="Y371" s="40" t="s">
        <v>17</v>
      </c>
      <c r="Z371" s="40" t="s">
        <v>17</v>
      </c>
      <c r="AA371" s="40" t="s">
        <v>17</v>
      </c>
      <c r="AB371" s="51" t="s">
        <v>17</v>
      </c>
      <c r="AC371" s="51" t="s">
        <v>3141</v>
      </c>
      <c r="AD371" s="10" t="s">
        <v>82</v>
      </c>
      <c r="AE371" s="6" t="s">
        <v>341</v>
      </c>
      <c r="AF371" s="40" t="s">
        <v>996</v>
      </c>
    </row>
    <row r="372" spans="1:32" ht="27.75" customHeight="1" x14ac:dyDescent="0.3">
      <c r="A372" s="7">
        <v>676177</v>
      </c>
      <c r="B372" s="7" t="s">
        <v>31</v>
      </c>
      <c r="C372" s="7" t="s">
        <v>3142</v>
      </c>
      <c r="D372" s="7" t="s">
        <v>36</v>
      </c>
      <c r="E372" s="30">
        <v>44350</v>
      </c>
      <c r="F372" s="7" t="s">
        <v>3135</v>
      </c>
      <c r="G372" s="9" t="s">
        <v>33</v>
      </c>
      <c r="H372" s="7" t="s">
        <v>3143</v>
      </c>
      <c r="I372" s="7" t="s">
        <v>3144</v>
      </c>
      <c r="J372" s="7" t="s">
        <v>34</v>
      </c>
      <c r="K372" s="7" t="s">
        <v>2710</v>
      </c>
      <c r="L372" s="7" t="s">
        <v>3145</v>
      </c>
      <c r="M372" s="7" t="s">
        <v>17</v>
      </c>
      <c r="N372" s="7" t="s">
        <v>3146</v>
      </c>
      <c r="O372" s="10" t="s">
        <v>17</v>
      </c>
      <c r="P372" s="41" t="s">
        <v>17</v>
      </c>
      <c r="Q372" s="10" t="s">
        <v>17</v>
      </c>
      <c r="R372" s="41" t="s">
        <v>47</v>
      </c>
      <c r="S372" s="35" t="s">
        <v>3147</v>
      </c>
      <c r="T372" s="10" t="s">
        <v>68</v>
      </c>
      <c r="U372" s="33" t="s">
        <v>17</v>
      </c>
      <c r="V372" s="40" t="s">
        <v>17</v>
      </c>
      <c r="W372" s="40" t="s">
        <v>17</v>
      </c>
      <c r="X372" s="40" t="s">
        <v>17</v>
      </c>
      <c r="Y372" s="40" t="s">
        <v>17</v>
      </c>
      <c r="Z372" s="40" t="s">
        <v>17</v>
      </c>
      <c r="AA372" s="40" t="s">
        <v>17</v>
      </c>
      <c r="AB372" s="51" t="s">
        <v>17</v>
      </c>
      <c r="AC372" s="35" t="s">
        <v>3148</v>
      </c>
      <c r="AD372" s="10" t="s">
        <v>82</v>
      </c>
      <c r="AE372" s="6" t="s">
        <v>341</v>
      </c>
      <c r="AF372" s="7" t="s">
        <v>448</v>
      </c>
    </row>
    <row r="373" spans="1:32" ht="27.75" customHeight="1" x14ac:dyDescent="0.3">
      <c r="A373" s="7">
        <v>672767</v>
      </c>
      <c r="B373" s="7" t="s">
        <v>31</v>
      </c>
      <c r="C373" s="7" t="s">
        <v>3149</v>
      </c>
      <c r="D373" s="7" t="s">
        <v>36</v>
      </c>
      <c r="E373" s="30">
        <v>44329</v>
      </c>
      <c r="F373" s="7" t="s">
        <v>3150</v>
      </c>
      <c r="G373" s="16" t="s">
        <v>39</v>
      </c>
      <c r="H373" s="7" t="s">
        <v>3151</v>
      </c>
      <c r="I373" s="7" t="s">
        <v>3152</v>
      </c>
      <c r="J373" s="7" t="s">
        <v>34</v>
      </c>
      <c r="K373" s="7" t="s">
        <v>3153</v>
      </c>
      <c r="L373" s="7" t="s">
        <v>3154</v>
      </c>
      <c r="M373" s="7" t="s">
        <v>17</v>
      </c>
      <c r="N373" s="52" t="s">
        <v>3155</v>
      </c>
      <c r="O373" s="7" t="s">
        <v>3156</v>
      </c>
      <c r="P373" s="32" t="s">
        <v>17</v>
      </c>
      <c r="Q373" s="32" t="s">
        <v>17</v>
      </c>
      <c r="R373" s="6" t="s">
        <v>96</v>
      </c>
      <c r="S373" s="35" t="s">
        <v>3157</v>
      </c>
      <c r="T373" s="32" t="s">
        <v>38</v>
      </c>
      <c r="U373" s="33" t="s">
        <v>17</v>
      </c>
      <c r="V373" s="40" t="s">
        <v>17</v>
      </c>
      <c r="W373" s="40" t="s">
        <v>17</v>
      </c>
      <c r="X373" s="40" t="s">
        <v>17</v>
      </c>
      <c r="Y373" s="40" t="s">
        <v>17</v>
      </c>
      <c r="Z373" s="40" t="s">
        <v>17</v>
      </c>
      <c r="AA373" s="40" t="s">
        <v>17</v>
      </c>
      <c r="AB373" s="51" t="s">
        <v>17</v>
      </c>
      <c r="AC373" s="35" t="s">
        <v>3158</v>
      </c>
      <c r="AD373" s="10" t="s">
        <v>82</v>
      </c>
      <c r="AE373" s="10" t="s">
        <v>17</v>
      </c>
      <c r="AF373" s="7"/>
    </row>
    <row r="374" spans="1:32" ht="27.75" customHeight="1" x14ac:dyDescent="0.3">
      <c r="A374" s="46">
        <v>595786</v>
      </c>
      <c r="B374" s="27" t="s">
        <v>31</v>
      </c>
      <c r="C374" s="27" t="s">
        <v>3159</v>
      </c>
      <c r="D374" s="27" t="s">
        <v>36</v>
      </c>
      <c r="E374" s="53">
        <v>43528</v>
      </c>
      <c r="F374" s="27" t="s">
        <v>3160</v>
      </c>
      <c r="G374" s="16" t="s">
        <v>39</v>
      </c>
      <c r="H374" s="27" t="s">
        <v>3161</v>
      </c>
      <c r="I374" s="27" t="s">
        <v>3162</v>
      </c>
      <c r="J374" s="27" t="s">
        <v>34</v>
      </c>
      <c r="K374" s="27" t="s">
        <v>298</v>
      </c>
      <c r="L374" s="27" t="s">
        <v>3163</v>
      </c>
      <c r="M374" s="27" t="s">
        <v>17</v>
      </c>
      <c r="N374" s="27" t="s">
        <v>3163</v>
      </c>
      <c r="O374" s="27"/>
      <c r="P374" s="27" t="s">
        <v>87</v>
      </c>
      <c r="Q374" s="27" t="s">
        <v>87</v>
      </c>
      <c r="R374" s="6" t="s">
        <v>17</v>
      </c>
      <c r="S374" s="27" t="s">
        <v>87</v>
      </c>
      <c r="T374" s="164" t="s">
        <v>17</v>
      </c>
      <c r="U374" s="27" t="s">
        <v>87</v>
      </c>
      <c r="V374" s="27" t="s">
        <v>87</v>
      </c>
      <c r="W374" s="27" t="s">
        <v>17</v>
      </c>
      <c r="X374" s="27" t="s">
        <v>87</v>
      </c>
      <c r="Y374" s="27" t="s">
        <v>87</v>
      </c>
      <c r="Z374" s="27" t="s">
        <v>17</v>
      </c>
      <c r="AA374" s="27" t="s">
        <v>17</v>
      </c>
      <c r="AB374" s="54" t="s">
        <v>87</v>
      </c>
      <c r="AC374" s="26" t="s">
        <v>3164</v>
      </c>
      <c r="AD374" s="10" t="s">
        <v>82</v>
      </c>
      <c r="AE374" s="10" t="s">
        <v>17</v>
      </c>
      <c r="AF374" s="27" t="s">
        <v>3165</v>
      </c>
    </row>
    <row r="375" spans="1:32" ht="27.75" customHeight="1" x14ac:dyDescent="0.3">
      <c r="A375" s="6">
        <v>456972</v>
      </c>
      <c r="B375" s="6" t="s">
        <v>31</v>
      </c>
      <c r="C375" s="6" t="s">
        <v>3166</v>
      </c>
      <c r="D375" s="6" t="s">
        <v>36</v>
      </c>
      <c r="E375" s="55">
        <v>41799</v>
      </c>
      <c r="F375" s="6" t="s">
        <v>3167</v>
      </c>
      <c r="G375" s="16" t="s">
        <v>39</v>
      </c>
      <c r="H375" s="6" t="s">
        <v>3168</v>
      </c>
      <c r="I375" s="6" t="s">
        <v>3169</v>
      </c>
      <c r="J375" s="6" t="s">
        <v>34</v>
      </c>
      <c r="K375" s="6" t="s">
        <v>327</v>
      </c>
      <c r="L375" s="6" t="s">
        <v>3170</v>
      </c>
      <c r="M375" s="6" t="s">
        <v>23</v>
      </c>
      <c r="N375" s="56" t="s">
        <v>3171</v>
      </c>
      <c r="O375" s="6" t="s">
        <v>17</v>
      </c>
      <c r="P375" s="10" t="s">
        <v>23</v>
      </c>
      <c r="Q375" s="10" t="s">
        <v>23</v>
      </c>
      <c r="R375" s="10" t="s">
        <v>88</v>
      </c>
      <c r="S375" s="15" t="s">
        <v>17</v>
      </c>
      <c r="T375" s="10" t="s">
        <v>41</v>
      </c>
      <c r="U375" s="12" t="s">
        <v>17</v>
      </c>
      <c r="V375" s="10" t="s">
        <v>23</v>
      </c>
      <c r="W375" s="10" t="s">
        <v>23</v>
      </c>
      <c r="X375" s="10" t="s">
        <v>23</v>
      </c>
      <c r="Y375" s="10" t="s">
        <v>23</v>
      </c>
      <c r="Z375" s="57" t="s">
        <v>17</v>
      </c>
      <c r="AA375" s="57" t="s">
        <v>17</v>
      </c>
      <c r="AB375" s="58" t="s">
        <v>17</v>
      </c>
      <c r="AC375" s="11" t="s">
        <v>3172</v>
      </c>
      <c r="AD375" s="6" t="s">
        <v>22</v>
      </c>
      <c r="AE375" s="6" t="s">
        <v>341</v>
      </c>
      <c r="AF375" s="6" t="s">
        <v>3173</v>
      </c>
    </row>
    <row r="376" spans="1:32" ht="39" customHeight="1" x14ac:dyDescent="0.3">
      <c r="A376" s="6">
        <v>419829</v>
      </c>
      <c r="B376" s="6" t="s">
        <v>31</v>
      </c>
      <c r="C376" s="6" t="s">
        <v>3174</v>
      </c>
      <c r="D376" s="6" t="s">
        <v>36</v>
      </c>
      <c r="E376" s="8">
        <v>41337</v>
      </c>
      <c r="F376" s="6" t="s">
        <v>3175</v>
      </c>
      <c r="G376" s="9" t="s">
        <v>33</v>
      </c>
      <c r="H376" s="6" t="s">
        <v>3176</v>
      </c>
      <c r="I376" s="6" t="s">
        <v>3177</v>
      </c>
      <c r="J376" s="6" t="s">
        <v>34</v>
      </c>
      <c r="K376" s="6" t="s">
        <v>298</v>
      </c>
      <c r="L376" s="6" t="s">
        <v>2798</v>
      </c>
      <c r="M376" s="6" t="s">
        <v>17</v>
      </c>
      <c r="N376" s="6" t="s">
        <v>3178</v>
      </c>
      <c r="O376" s="6" t="s">
        <v>17</v>
      </c>
      <c r="P376" s="6" t="s">
        <v>87</v>
      </c>
      <c r="Q376" s="6" t="s">
        <v>87</v>
      </c>
      <c r="R376" s="6" t="s">
        <v>3078</v>
      </c>
      <c r="S376" s="6" t="s">
        <v>87</v>
      </c>
      <c r="T376" s="6" t="s">
        <v>38</v>
      </c>
      <c r="U376" s="6" t="s">
        <v>89</v>
      </c>
      <c r="V376" s="6" t="s">
        <v>87</v>
      </c>
      <c r="W376" s="6" t="s">
        <v>87</v>
      </c>
      <c r="X376" s="6" t="s">
        <v>87</v>
      </c>
      <c r="Y376" s="6" t="s">
        <v>87</v>
      </c>
      <c r="Z376" s="6" t="s">
        <v>3179</v>
      </c>
      <c r="AA376" s="6" t="s">
        <v>3180</v>
      </c>
      <c r="AB376" s="25" t="s">
        <v>3181</v>
      </c>
      <c r="AC376" s="25" t="s">
        <v>3182</v>
      </c>
      <c r="AD376" s="6" t="s">
        <v>22</v>
      </c>
      <c r="AE376" s="6" t="s">
        <v>341</v>
      </c>
      <c r="AF376" s="60" t="s">
        <v>3183</v>
      </c>
    </row>
    <row r="377" spans="1:32" ht="27.75" customHeight="1" x14ac:dyDescent="0.3">
      <c r="A377" s="7">
        <v>582434</v>
      </c>
      <c r="B377" s="7" t="s">
        <v>31</v>
      </c>
      <c r="C377" s="7" t="s">
        <v>3184</v>
      </c>
      <c r="D377" s="61" t="s">
        <v>36</v>
      </c>
      <c r="E377" s="62">
        <v>43357</v>
      </c>
      <c r="F377" s="63" t="s">
        <v>3185</v>
      </c>
      <c r="G377" s="16" t="s">
        <v>39</v>
      </c>
      <c r="H377" s="7" t="s">
        <v>3186</v>
      </c>
      <c r="I377" s="6" t="s">
        <v>3187</v>
      </c>
      <c r="J377" s="7" t="s">
        <v>34</v>
      </c>
      <c r="K377" s="64" t="s">
        <v>298</v>
      </c>
      <c r="L377" s="7" t="s">
        <v>3188</v>
      </c>
      <c r="M377" s="7" t="s">
        <v>17</v>
      </c>
      <c r="N377" s="7" t="s">
        <v>3189</v>
      </c>
      <c r="O377" s="7" t="s">
        <v>3190</v>
      </c>
      <c r="P377" s="32" t="s">
        <v>17</v>
      </c>
      <c r="Q377" s="32" t="s">
        <v>17</v>
      </c>
      <c r="R377" s="32" t="s">
        <v>73</v>
      </c>
      <c r="S377" s="32" t="s">
        <v>17</v>
      </c>
      <c r="T377" s="32" t="s">
        <v>38</v>
      </c>
      <c r="U377" s="33" t="s">
        <v>17</v>
      </c>
      <c r="V377" s="33" t="s">
        <v>17</v>
      </c>
      <c r="W377" s="33" t="s">
        <v>17</v>
      </c>
      <c r="X377" s="33" t="s">
        <v>17</v>
      </c>
      <c r="Y377" s="33" t="s">
        <v>17</v>
      </c>
      <c r="Z377" s="33" t="s">
        <v>17</v>
      </c>
      <c r="AA377" s="33" t="s">
        <v>17</v>
      </c>
      <c r="AB377" s="34" t="s">
        <v>17</v>
      </c>
      <c r="AC377" s="36" t="s">
        <v>3191</v>
      </c>
      <c r="AD377" s="10" t="s">
        <v>82</v>
      </c>
      <c r="AE377" s="6" t="s">
        <v>341</v>
      </c>
      <c r="AF377" s="7" t="s">
        <v>3192</v>
      </c>
    </row>
    <row r="378" spans="1:32" ht="27.75" customHeight="1" x14ac:dyDescent="0.3">
      <c r="A378" s="7">
        <v>591702</v>
      </c>
      <c r="B378" s="7" t="s">
        <v>31</v>
      </c>
      <c r="C378" s="7" t="s">
        <v>3193</v>
      </c>
      <c r="D378" s="61" t="s">
        <v>36</v>
      </c>
      <c r="E378" s="62">
        <v>43510</v>
      </c>
      <c r="F378" s="65" t="s">
        <v>3194</v>
      </c>
      <c r="G378" s="16" t="s">
        <v>52</v>
      </c>
      <c r="H378" s="66" t="s">
        <v>3195</v>
      </c>
      <c r="I378" s="66" t="s">
        <v>3196</v>
      </c>
      <c r="J378" s="66" t="s">
        <v>34</v>
      </c>
      <c r="K378" s="7" t="s">
        <v>298</v>
      </c>
      <c r="L378" s="66" t="s">
        <v>3197</v>
      </c>
      <c r="M378" s="67" t="s">
        <v>17</v>
      </c>
      <c r="N378" s="66" t="s">
        <v>3198</v>
      </c>
      <c r="O378" s="7" t="s">
        <v>17</v>
      </c>
      <c r="P378" s="7" t="s">
        <v>17</v>
      </c>
      <c r="Q378" s="7" t="s">
        <v>17</v>
      </c>
      <c r="R378" s="7" t="s">
        <v>90</v>
      </c>
      <c r="S378" s="32" t="s">
        <v>17</v>
      </c>
      <c r="T378" s="6" t="s">
        <v>157</v>
      </c>
      <c r="U378" s="32" t="s">
        <v>17</v>
      </c>
      <c r="V378" s="32" t="s">
        <v>17</v>
      </c>
      <c r="W378" s="32" t="s">
        <v>17</v>
      </c>
      <c r="X378" s="32" t="s">
        <v>17</v>
      </c>
      <c r="Y378" s="32" t="s">
        <v>17</v>
      </c>
      <c r="Z378" s="44">
        <v>44807</v>
      </c>
      <c r="AA378" s="32" t="s">
        <v>17</v>
      </c>
      <c r="AB378" s="35" t="s">
        <v>17</v>
      </c>
      <c r="AC378" s="11" t="s">
        <v>3199</v>
      </c>
      <c r="AD378" s="10" t="s">
        <v>82</v>
      </c>
      <c r="AE378" s="6" t="s">
        <v>341</v>
      </c>
      <c r="AF378" s="7" t="s">
        <v>2897</v>
      </c>
    </row>
    <row r="379" spans="1:32" ht="27.75" customHeight="1" x14ac:dyDescent="0.3">
      <c r="A379" s="7">
        <v>594447</v>
      </c>
      <c r="B379" s="7" t="s">
        <v>31</v>
      </c>
      <c r="C379" s="7" t="s">
        <v>3200</v>
      </c>
      <c r="D379" s="61" t="s">
        <v>36</v>
      </c>
      <c r="E379" s="62">
        <v>43543</v>
      </c>
      <c r="F379" s="65" t="s">
        <v>3201</v>
      </c>
      <c r="G379" s="9" t="s">
        <v>33</v>
      </c>
      <c r="H379" s="66" t="s">
        <v>3202</v>
      </c>
      <c r="I379" s="66" t="s">
        <v>3203</v>
      </c>
      <c r="J379" s="66" t="s">
        <v>34</v>
      </c>
      <c r="K379" s="7" t="s">
        <v>298</v>
      </c>
      <c r="L379" s="66" t="s">
        <v>3204</v>
      </c>
      <c r="M379" s="67" t="s">
        <v>17</v>
      </c>
      <c r="N379" s="68" t="s">
        <v>3205</v>
      </c>
      <c r="O379" s="10" t="s">
        <v>3206</v>
      </c>
      <c r="P379" s="10" t="s">
        <v>17</v>
      </c>
      <c r="Q379" s="10" t="s">
        <v>17</v>
      </c>
      <c r="R379" s="10" t="s">
        <v>17</v>
      </c>
      <c r="S379" s="69" t="s">
        <v>3207</v>
      </c>
      <c r="T379" s="6" t="s">
        <v>157</v>
      </c>
      <c r="U379" s="10">
        <v>3534.41</v>
      </c>
      <c r="V379" s="10" t="s">
        <v>17</v>
      </c>
      <c r="W379" s="10" t="s">
        <v>17</v>
      </c>
      <c r="X379" s="10" t="s">
        <v>17</v>
      </c>
      <c r="Y379" s="10" t="s">
        <v>17</v>
      </c>
      <c r="Z379" s="10" t="s">
        <v>3208</v>
      </c>
      <c r="AA379" s="10" t="s">
        <v>17</v>
      </c>
      <c r="AB379" s="11" t="s">
        <v>17</v>
      </c>
      <c r="AC379" s="11" t="s">
        <v>3209</v>
      </c>
      <c r="AD379" s="10" t="s">
        <v>82</v>
      </c>
      <c r="AE379" s="10" t="s">
        <v>439</v>
      </c>
      <c r="AF379" s="10" t="s">
        <v>2897</v>
      </c>
    </row>
    <row r="380" spans="1:32" ht="27.75" customHeight="1" x14ac:dyDescent="0.3">
      <c r="A380" s="7">
        <v>576515</v>
      </c>
      <c r="B380" s="7" t="s">
        <v>31</v>
      </c>
      <c r="C380" s="7" t="s">
        <v>3210</v>
      </c>
      <c r="D380" s="61" t="s">
        <v>78</v>
      </c>
      <c r="E380" s="62">
        <v>43276</v>
      </c>
      <c r="F380" s="63" t="s">
        <v>3211</v>
      </c>
      <c r="G380" s="9" t="s">
        <v>33</v>
      </c>
      <c r="H380" s="7" t="s">
        <v>3212</v>
      </c>
      <c r="I380" s="6" t="s">
        <v>3213</v>
      </c>
      <c r="J380" s="7" t="s">
        <v>34</v>
      </c>
      <c r="K380" s="64" t="s">
        <v>298</v>
      </c>
      <c r="L380" s="7" t="s">
        <v>3214</v>
      </c>
      <c r="M380" s="7" t="s">
        <v>17</v>
      </c>
      <c r="N380" s="7" t="s">
        <v>3215</v>
      </c>
      <c r="O380" s="7" t="s">
        <v>3216</v>
      </c>
      <c r="P380" s="32" t="s">
        <v>23</v>
      </c>
      <c r="Q380" s="32" t="s">
        <v>23</v>
      </c>
      <c r="R380" s="32" t="s">
        <v>17</v>
      </c>
      <c r="S380" s="35" t="s">
        <v>17</v>
      </c>
      <c r="T380" s="32" t="s">
        <v>57</v>
      </c>
      <c r="U380" s="33" t="s">
        <v>17</v>
      </c>
      <c r="V380" s="33" t="s">
        <v>23</v>
      </c>
      <c r="W380" s="33" t="s">
        <v>23</v>
      </c>
      <c r="X380" s="33" t="s">
        <v>23</v>
      </c>
      <c r="Y380" s="33" t="s">
        <v>23</v>
      </c>
      <c r="Z380" s="33" t="s">
        <v>17</v>
      </c>
      <c r="AA380" s="33" t="s">
        <v>17</v>
      </c>
      <c r="AB380" s="34" t="s">
        <v>17</v>
      </c>
      <c r="AC380" s="35" t="s">
        <v>3217</v>
      </c>
      <c r="AD380" s="6" t="s">
        <v>22</v>
      </c>
      <c r="AE380" s="6" t="s">
        <v>341</v>
      </c>
      <c r="AF380" s="7" t="s">
        <v>2735</v>
      </c>
    </row>
    <row r="381" spans="1:32" ht="27.75" customHeight="1" x14ac:dyDescent="0.3">
      <c r="A381" s="7">
        <v>591624</v>
      </c>
      <c r="B381" s="7" t="s">
        <v>31</v>
      </c>
      <c r="C381" s="7" t="s">
        <v>3218</v>
      </c>
      <c r="D381" s="61" t="s">
        <v>36</v>
      </c>
      <c r="E381" s="62">
        <v>43595</v>
      </c>
      <c r="F381" s="65" t="s">
        <v>3219</v>
      </c>
      <c r="G381" s="16" t="s">
        <v>39</v>
      </c>
      <c r="H381" s="66" t="s">
        <v>3220</v>
      </c>
      <c r="I381" s="66" t="s">
        <v>3221</v>
      </c>
      <c r="J381" s="66" t="s">
        <v>34</v>
      </c>
      <c r="K381" s="7" t="s">
        <v>327</v>
      </c>
      <c r="L381" s="66" t="s">
        <v>3222</v>
      </c>
      <c r="M381" s="67" t="s">
        <v>17</v>
      </c>
      <c r="N381" s="66" t="s">
        <v>3223</v>
      </c>
      <c r="O381" s="7" t="s">
        <v>3224</v>
      </c>
      <c r="P381" s="32" t="s">
        <v>17</v>
      </c>
      <c r="Q381" s="32" t="s">
        <v>17</v>
      </c>
      <c r="R381" s="32" t="s">
        <v>81</v>
      </c>
      <c r="S381" s="70">
        <v>3082</v>
      </c>
      <c r="T381" s="32" t="s">
        <v>38</v>
      </c>
      <c r="U381" s="33" t="s">
        <v>17</v>
      </c>
      <c r="V381" s="33" t="s">
        <v>17</v>
      </c>
      <c r="W381" s="33" t="s">
        <v>17</v>
      </c>
      <c r="X381" s="33" t="s">
        <v>17</v>
      </c>
      <c r="Y381" s="32" t="s">
        <v>17</v>
      </c>
      <c r="Z381" s="71" t="s">
        <v>3225</v>
      </c>
      <c r="AA381" s="27" t="s">
        <v>87</v>
      </c>
      <c r="AB381" s="54" t="s">
        <v>87</v>
      </c>
      <c r="AC381" s="72" t="s">
        <v>3226</v>
      </c>
      <c r="AD381" s="10" t="s">
        <v>82</v>
      </c>
      <c r="AE381" s="73" t="s">
        <v>439</v>
      </c>
      <c r="AF381" s="27" t="s">
        <v>3227</v>
      </c>
    </row>
    <row r="382" spans="1:32" ht="27.75" customHeight="1" x14ac:dyDescent="0.3">
      <c r="A382" s="7">
        <v>601973</v>
      </c>
      <c r="B382" s="7" t="s">
        <v>31</v>
      </c>
      <c r="C382" s="7" t="s">
        <v>3228</v>
      </c>
      <c r="D382" s="7" t="s">
        <v>36</v>
      </c>
      <c r="E382" s="30">
        <v>43658</v>
      </c>
      <c r="F382" s="7" t="s">
        <v>3229</v>
      </c>
      <c r="G382" s="16" t="s">
        <v>39</v>
      </c>
      <c r="H382" s="7" t="s">
        <v>3230</v>
      </c>
      <c r="I382" s="7" t="s">
        <v>3231</v>
      </c>
      <c r="J382" s="7" t="s">
        <v>34</v>
      </c>
      <c r="K382" s="7" t="s">
        <v>298</v>
      </c>
      <c r="L382" s="7" t="s">
        <v>3232</v>
      </c>
      <c r="M382" s="7" t="s">
        <v>17</v>
      </c>
      <c r="N382" s="7" t="s">
        <v>3233</v>
      </c>
      <c r="O382" s="7" t="s">
        <v>3234</v>
      </c>
      <c r="P382" s="32" t="s">
        <v>17</v>
      </c>
      <c r="Q382" s="32" t="s">
        <v>17</v>
      </c>
      <c r="R382" s="32" t="s">
        <v>17</v>
      </c>
      <c r="S382" s="35" t="s">
        <v>3235</v>
      </c>
      <c r="T382" s="10" t="s">
        <v>68</v>
      </c>
      <c r="U382" s="32" t="s">
        <v>17</v>
      </c>
      <c r="V382" s="32" t="s">
        <v>17</v>
      </c>
      <c r="W382" s="37" t="s">
        <v>17</v>
      </c>
      <c r="X382" s="33" t="s">
        <v>17</v>
      </c>
      <c r="Y382" s="32" t="s">
        <v>17</v>
      </c>
      <c r="Z382" s="44" t="s">
        <v>17</v>
      </c>
      <c r="AA382" s="44" t="s">
        <v>17</v>
      </c>
      <c r="AB382" s="35" t="s">
        <v>17</v>
      </c>
      <c r="AC382" s="36" t="s">
        <v>3236</v>
      </c>
      <c r="AD382" s="10" t="s">
        <v>82</v>
      </c>
      <c r="AE382" s="6" t="s">
        <v>341</v>
      </c>
      <c r="AF382" s="7" t="s">
        <v>2333</v>
      </c>
    </row>
    <row r="383" spans="1:32" ht="27.75" customHeight="1" x14ac:dyDescent="0.3">
      <c r="A383" s="7">
        <v>602979</v>
      </c>
      <c r="B383" s="7" t="s">
        <v>31</v>
      </c>
      <c r="C383" s="7" t="s">
        <v>3237</v>
      </c>
      <c r="D383" s="7" t="s">
        <v>36</v>
      </c>
      <c r="E383" s="30">
        <v>43668</v>
      </c>
      <c r="F383" s="7" t="s">
        <v>3238</v>
      </c>
      <c r="G383" s="16" t="s">
        <v>39</v>
      </c>
      <c r="H383" s="7" t="s">
        <v>3239</v>
      </c>
      <c r="I383" s="7" t="s">
        <v>3240</v>
      </c>
      <c r="J383" s="7" t="s">
        <v>34</v>
      </c>
      <c r="K383" s="7" t="s">
        <v>298</v>
      </c>
      <c r="L383" s="7" t="s">
        <v>3241</v>
      </c>
      <c r="M383" s="7" t="s">
        <v>17</v>
      </c>
      <c r="N383" s="7" t="s">
        <v>3242</v>
      </c>
      <c r="O383" s="7" t="s">
        <v>17</v>
      </c>
      <c r="P383" s="32" t="s">
        <v>17</v>
      </c>
      <c r="Q383" s="32" t="s">
        <v>17</v>
      </c>
      <c r="R383" s="32" t="s">
        <v>81</v>
      </c>
      <c r="S383" s="35" t="s">
        <v>3243</v>
      </c>
      <c r="T383" s="32" t="s">
        <v>41</v>
      </c>
      <c r="U383" s="33" t="s">
        <v>17</v>
      </c>
      <c r="V383" s="32" t="s">
        <v>17</v>
      </c>
      <c r="W383" s="37" t="s">
        <v>17</v>
      </c>
      <c r="X383" s="33" t="s">
        <v>17</v>
      </c>
      <c r="Y383" s="32" t="s">
        <v>17</v>
      </c>
      <c r="Z383" s="44" t="s">
        <v>17</v>
      </c>
      <c r="AA383" s="44" t="s">
        <v>17</v>
      </c>
      <c r="AB383" s="35" t="s">
        <v>17</v>
      </c>
      <c r="AC383" s="35" t="s">
        <v>3244</v>
      </c>
      <c r="AD383" s="6" t="s">
        <v>22</v>
      </c>
      <c r="AE383" s="6" t="s">
        <v>341</v>
      </c>
      <c r="AF383" s="7" t="s">
        <v>918</v>
      </c>
    </row>
    <row r="384" spans="1:32" ht="27.75" customHeight="1" x14ac:dyDescent="0.3">
      <c r="A384" s="7">
        <v>613075</v>
      </c>
      <c r="B384" s="7" t="s">
        <v>31</v>
      </c>
      <c r="C384" s="7" t="s">
        <v>3245</v>
      </c>
      <c r="D384" s="7" t="s">
        <v>36</v>
      </c>
      <c r="E384" s="30">
        <v>43739</v>
      </c>
      <c r="F384" s="7" t="s">
        <v>3160</v>
      </c>
      <c r="G384" s="16" t="s">
        <v>52</v>
      </c>
      <c r="H384" s="7" t="s">
        <v>3246</v>
      </c>
      <c r="I384" s="7" t="s">
        <v>3247</v>
      </c>
      <c r="J384" s="7" t="s">
        <v>34</v>
      </c>
      <c r="K384" s="7" t="s">
        <v>298</v>
      </c>
      <c r="L384" s="7" t="s">
        <v>3248</v>
      </c>
      <c r="M384" s="7" t="s">
        <v>17</v>
      </c>
      <c r="N384" s="7" t="s">
        <v>3249</v>
      </c>
      <c r="O384" s="7" t="s">
        <v>17</v>
      </c>
      <c r="P384" s="32" t="s">
        <v>17</v>
      </c>
      <c r="Q384" s="32" t="s">
        <v>17</v>
      </c>
      <c r="R384" s="32" t="s">
        <v>73</v>
      </c>
      <c r="S384" s="35" t="s">
        <v>17</v>
      </c>
      <c r="T384" s="32" t="s">
        <v>91</v>
      </c>
      <c r="U384" s="33" t="s">
        <v>17</v>
      </c>
      <c r="V384" s="32" t="s">
        <v>17</v>
      </c>
      <c r="W384" s="37" t="s">
        <v>17</v>
      </c>
      <c r="X384" s="33" t="s">
        <v>17</v>
      </c>
      <c r="Y384" s="32" t="s">
        <v>17</v>
      </c>
      <c r="Z384" s="44" t="s">
        <v>17</v>
      </c>
      <c r="AA384" s="44" t="s">
        <v>17</v>
      </c>
      <c r="AB384" s="35" t="s">
        <v>17</v>
      </c>
      <c r="AC384" s="35" t="s">
        <v>3250</v>
      </c>
      <c r="AD384" s="10" t="s">
        <v>82</v>
      </c>
      <c r="AE384" s="6" t="s">
        <v>341</v>
      </c>
      <c r="AF384" s="7" t="s">
        <v>3251</v>
      </c>
    </row>
    <row r="385" spans="1:32" ht="27.75" customHeight="1" x14ac:dyDescent="0.3">
      <c r="A385" s="7">
        <v>613904</v>
      </c>
      <c r="B385" s="7" t="s">
        <v>31</v>
      </c>
      <c r="C385" s="7" t="s">
        <v>3252</v>
      </c>
      <c r="D385" s="7" t="s">
        <v>36</v>
      </c>
      <c r="E385" s="30">
        <v>43746</v>
      </c>
      <c r="F385" s="7" t="s">
        <v>3253</v>
      </c>
      <c r="G385" s="16" t="s">
        <v>39</v>
      </c>
      <c r="H385" s="7" t="s">
        <v>3254</v>
      </c>
      <c r="I385" s="7" t="s">
        <v>3255</v>
      </c>
      <c r="J385" s="7" t="s">
        <v>34</v>
      </c>
      <c r="K385" s="7" t="s">
        <v>298</v>
      </c>
      <c r="L385" s="7" t="s">
        <v>3256</v>
      </c>
      <c r="M385" s="7" t="s">
        <v>17</v>
      </c>
      <c r="N385" s="7" t="s">
        <v>3257</v>
      </c>
      <c r="O385" s="7" t="s">
        <v>3258</v>
      </c>
      <c r="P385" s="32" t="s">
        <v>17</v>
      </c>
      <c r="Q385" s="32" t="s">
        <v>17</v>
      </c>
      <c r="R385" s="32" t="s">
        <v>92</v>
      </c>
      <c r="S385" s="35" t="s">
        <v>3259</v>
      </c>
      <c r="T385" s="10" t="s">
        <v>68</v>
      </c>
      <c r="U385" s="33" t="s">
        <v>93</v>
      </c>
      <c r="V385" s="32" t="s">
        <v>17</v>
      </c>
      <c r="W385" s="37" t="s">
        <v>17</v>
      </c>
      <c r="X385" s="33" t="s">
        <v>17</v>
      </c>
      <c r="Y385" s="32" t="s">
        <v>17</v>
      </c>
      <c r="Z385" s="30">
        <v>44540</v>
      </c>
      <c r="AA385" s="7" t="s">
        <v>17</v>
      </c>
      <c r="AB385" s="36" t="s">
        <v>3260</v>
      </c>
      <c r="AC385" s="35" t="s">
        <v>3261</v>
      </c>
      <c r="AD385" s="6" t="s">
        <v>22</v>
      </c>
      <c r="AE385" s="6" t="s">
        <v>341</v>
      </c>
      <c r="AF385" s="7" t="s">
        <v>3262</v>
      </c>
    </row>
    <row r="386" spans="1:32" ht="27.75" customHeight="1" x14ac:dyDescent="0.3">
      <c r="A386" s="7">
        <v>625110</v>
      </c>
      <c r="B386" s="7" t="s">
        <v>31</v>
      </c>
      <c r="C386" s="7" t="s">
        <v>3263</v>
      </c>
      <c r="D386" s="7" t="s">
        <v>36</v>
      </c>
      <c r="E386" s="30">
        <v>43857</v>
      </c>
      <c r="F386" s="7" t="s">
        <v>3264</v>
      </c>
      <c r="G386" s="16" t="s">
        <v>39</v>
      </c>
      <c r="H386" s="7" t="s">
        <v>3265</v>
      </c>
      <c r="I386" s="7" t="s">
        <v>3266</v>
      </c>
      <c r="J386" s="7" t="s">
        <v>34</v>
      </c>
      <c r="K386" s="7" t="s">
        <v>298</v>
      </c>
      <c r="L386" s="7" t="s">
        <v>3267</v>
      </c>
      <c r="M386" s="7" t="s">
        <v>17</v>
      </c>
      <c r="N386" s="7" t="s">
        <v>3268</v>
      </c>
      <c r="O386" s="7" t="s">
        <v>3269</v>
      </c>
      <c r="P386" s="32" t="s">
        <v>17</v>
      </c>
      <c r="Q386" s="32" t="s">
        <v>17</v>
      </c>
      <c r="R386" s="10" t="s">
        <v>163</v>
      </c>
      <c r="S386" s="35" t="s">
        <v>3259</v>
      </c>
      <c r="T386" s="10" t="s">
        <v>59</v>
      </c>
      <c r="U386" s="33" t="s">
        <v>17</v>
      </c>
      <c r="V386" s="32" t="s">
        <v>17</v>
      </c>
      <c r="W386" s="37" t="s">
        <v>17</v>
      </c>
      <c r="X386" s="33" t="s">
        <v>17</v>
      </c>
      <c r="Y386" s="32" t="s">
        <v>17</v>
      </c>
      <c r="Z386" s="44" t="s">
        <v>17</v>
      </c>
      <c r="AA386" s="44" t="s">
        <v>17</v>
      </c>
      <c r="AB386" s="35" t="s">
        <v>17</v>
      </c>
      <c r="AC386" s="35" t="s">
        <v>3270</v>
      </c>
      <c r="AD386" s="10" t="s">
        <v>82</v>
      </c>
      <c r="AE386" s="10" t="s">
        <v>17</v>
      </c>
      <c r="AF386" s="7" t="s">
        <v>448</v>
      </c>
    </row>
    <row r="387" spans="1:32" ht="27.75" customHeight="1" x14ac:dyDescent="0.3">
      <c r="A387" s="7">
        <v>702817</v>
      </c>
      <c r="B387" s="7" t="s">
        <v>31</v>
      </c>
      <c r="C387" s="7" t="s">
        <v>3271</v>
      </c>
      <c r="D387" s="7" t="s">
        <v>36</v>
      </c>
      <c r="E387" s="30" t="s">
        <v>3272</v>
      </c>
      <c r="F387" s="7" t="s">
        <v>3273</v>
      </c>
      <c r="G387" s="9" t="s">
        <v>33</v>
      </c>
      <c r="H387" s="7" t="s">
        <v>3274</v>
      </c>
      <c r="I387" s="7" t="s">
        <v>3275</v>
      </c>
      <c r="J387" s="7" t="s">
        <v>34</v>
      </c>
      <c r="K387" s="7" t="s">
        <v>298</v>
      </c>
      <c r="L387" s="7" t="s">
        <v>3276</v>
      </c>
      <c r="M387" s="7" t="s">
        <v>17</v>
      </c>
      <c r="N387" s="7" t="s">
        <v>3277</v>
      </c>
      <c r="O387" s="7" t="s">
        <v>91</v>
      </c>
      <c r="P387" s="32" t="s">
        <v>17</v>
      </c>
      <c r="Q387" s="32" t="s">
        <v>17</v>
      </c>
      <c r="R387" s="10" t="s">
        <v>163</v>
      </c>
      <c r="S387" s="35" t="s">
        <v>3278</v>
      </c>
      <c r="T387" s="32" t="s">
        <v>91</v>
      </c>
      <c r="U387" s="12" t="s">
        <v>23</v>
      </c>
      <c r="V387" s="10" t="s">
        <v>23</v>
      </c>
      <c r="W387" s="10" t="s">
        <v>23</v>
      </c>
      <c r="X387" s="10" t="s">
        <v>23</v>
      </c>
      <c r="Y387" s="10" t="s">
        <v>23</v>
      </c>
      <c r="Z387" s="10" t="s">
        <v>23</v>
      </c>
      <c r="AA387" s="10" t="s">
        <v>23</v>
      </c>
      <c r="AB387" s="11" t="s">
        <v>23</v>
      </c>
      <c r="AC387" s="35" t="s">
        <v>3279</v>
      </c>
      <c r="AD387" s="10" t="s">
        <v>82</v>
      </c>
      <c r="AE387" s="10" t="s">
        <v>17</v>
      </c>
      <c r="AF387" s="7" t="s">
        <v>448</v>
      </c>
    </row>
    <row r="388" spans="1:32" ht="27.75" customHeight="1" x14ac:dyDescent="0.3">
      <c r="A388" s="7">
        <v>433318</v>
      </c>
      <c r="B388" s="7" t="s">
        <v>31</v>
      </c>
      <c r="C388" s="7" t="s">
        <v>3280</v>
      </c>
      <c r="D388" s="7" t="s">
        <v>36</v>
      </c>
      <c r="E388" s="30" t="s">
        <v>3281</v>
      </c>
      <c r="F388" s="7" t="s">
        <v>3282</v>
      </c>
      <c r="G388" s="9" t="s">
        <v>33</v>
      </c>
      <c r="H388" s="7" t="s">
        <v>3283</v>
      </c>
      <c r="I388" s="7" t="s">
        <v>3284</v>
      </c>
      <c r="J388" s="7" t="s">
        <v>34</v>
      </c>
      <c r="K388" s="7" t="s">
        <v>781</v>
      </c>
      <c r="L388" s="7" t="s">
        <v>2798</v>
      </c>
      <c r="M388" s="7" t="s">
        <v>17</v>
      </c>
      <c r="N388" s="7" t="s">
        <v>3285</v>
      </c>
      <c r="O388" s="7" t="s">
        <v>3286</v>
      </c>
      <c r="P388" s="32" t="s">
        <v>17</v>
      </c>
      <c r="Q388" s="32" t="s">
        <v>17</v>
      </c>
      <c r="R388" s="32" t="s">
        <v>35</v>
      </c>
      <c r="S388" s="35" t="s">
        <v>3287</v>
      </c>
      <c r="T388" s="32" t="s">
        <v>41</v>
      </c>
      <c r="U388" s="12" t="s">
        <v>23</v>
      </c>
      <c r="V388" s="10" t="s">
        <v>23</v>
      </c>
      <c r="W388" s="10" t="s">
        <v>23</v>
      </c>
      <c r="X388" s="10" t="s">
        <v>23</v>
      </c>
      <c r="Y388" s="10" t="s">
        <v>23</v>
      </c>
      <c r="Z388" s="44" t="s">
        <v>3288</v>
      </c>
      <c r="AA388" s="10" t="s">
        <v>23</v>
      </c>
      <c r="AB388" s="11" t="s">
        <v>23</v>
      </c>
      <c r="AC388" s="35" t="s">
        <v>3289</v>
      </c>
      <c r="AD388" s="6" t="s">
        <v>22</v>
      </c>
      <c r="AE388" s="32" t="s">
        <v>439</v>
      </c>
      <c r="AF388" s="7" t="s">
        <v>2735</v>
      </c>
    </row>
    <row r="389" spans="1:32" ht="27.75" customHeight="1" x14ac:dyDescent="0.3">
      <c r="A389" s="6">
        <v>681092</v>
      </c>
      <c r="B389" s="6" t="s">
        <v>31</v>
      </c>
      <c r="C389" s="6" t="s">
        <v>3290</v>
      </c>
      <c r="D389" s="7" t="s">
        <v>78</v>
      </c>
      <c r="E389" s="8">
        <v>44236</v>
      </c>
      <c r="F389" s="6" t="s">
        <v>3291</v>
      </c>
      <c r="G389" s="16" t="s">
        <v>39</v>
      </c>
      <c r="H389" s="6" t="s">
        <v>3292</v>
      </c>
      <c r="I389" s="6" t="s">
        <v>3293</v>
      </c>
      <c r="J389" s="6" t="s">
        <v>34</v>
      </c>
      <c r="K389" s="6" t="s">
        <v>298</v>
      </c>
      <c r="L389" s="7" t="s">
        <v>3294</v>
      </c>
      <c r="M389" s="6" t="s">
        <v>23</v>
      </c>
      <c r="N389" s="74" t="s">
        <v>3295</v>
      </c>
      <c r="O389" s="10" t="s">
        <v>23</v>
      </c>
      <c r="P389" s="10" t="s">
        <v>23</v>
      </c>
      <c r="Q389" s="10" t="s">
        <v>23</v>
      </c>
      <c r="R389" s="10" t="s">
        <v>163</v>
      </c>
      <c r="S389" s="10" t="s">
        <v>17</v>
      </c>
      <c r="T389" s="10" t="s">
        <v>41</v>
      </c>
      <c r="U389" s="12" t="s">
        <v>17</v>
      </c>
      <c r="V389" s="10" t="s">
        <v>23</v>
      </c>
      <c r="W389" s="10" t="s">
        <v>23</v>
      </c>
      <c r="X389" s="10" t="s">
        <v>23</v>
      </c>
      <c r="Y389" s="10" t="s">
        <v>23</v>
      </c>
      <c r="Z389" s="10" t="s">
        <v>23</v>
      </c>
      <c r="AA389" s="13"/>
      <c r="AB389" s="11"/>
      <c r="AC389" s="11" t="s">
        <v>3296</v>
      </c>
      <c r="AD389" s="10" t="s">
        <v>82</v>
      </c>
      <c r="AE389" s="10" t="s">
        <v>17</v>
      </c>
      <c r="AF389" s="6"/>
    </row>
    <row r="390" spans="1:32" ht="27.75" customHeight="1" x14ac:dyDescent="0.3">
      <c r="A390" s="75">
        <v>598792</v>
      </c>
      <c r="B390" s="75" t="s">
        <v>31</v>
      </c>
      <c r="C390" s="75" t="s">
        <v>3297</v>
      </c>
      <c r="D390" s="76" t="s">
        <v>36</v>
      </c>
      <c r="E390" s="77" t="s">
        <v>3298</v>
      </c>
      <c r="F390" s="78" t="s">
        <v>3299</v>
      </c>
      <c r="G390" s="16" t="s">
        <v>52</v>
      </c>
      <c r="H390" s="76" t="s">
        <v>3300</v>
      </c>
      <c r="I390" s="76" t="s">
        <v>3301</v>
      </c>
      <c r="J390" s="76" t="s">
        <v>34</v>
      </c>
      <c r="K390" s="75" t="s">
        <v>298</v>
      </c>
      <c r="L390" s="76" t="s">
        <v>3302</v>
      </c>
      <c r="M390" s="79" t="s">
        <v>17</v>
      </c>
      <c r="N390" s="74" t="s">
        <v>3303</v>
      </c>
      <c r="O390" s="80" t="s">
        <v>3304</v>
      </c>
      <c r="P390" s="81" t="s">
        <v>87</v>
      </c>
      <c r="Q390" s="81" t="s">
        <v>87</v>
      </c>
      <c r="R390" s="6" t="s">
        <v>17</v>
      </c>
      <c r="S390" s="82" t="s">
        <v>3259</v>
      </c>
      <c r="T390" s="81" t="s">
        <v>61</v>
      </c>
      <c r="U390" s="83" t="s">
        <v>94</v>
      </c>
      <c r="V390" s="83" t="s">
        <v>87</v>
      </c>
      <c r="W390" s="83" t="s">
        <v>87</v>
      </c>
      <c r="X390" s="83" t="s">
        <v>87</v>
      </c>
      <c r="Y390" s="81" t="s">
        <v>87</v>
      </c>
      <c r="Z390" s="83" t="s">
        <v>87</v>
      </c>
      <c r="AA390" s="83" t="s">
        <v>87</v>
      </c>
      <c r="AB390" s="84" t="s">
        <v>87</v>
      </c>
      <c r="AC390" s="84" t="s">
        <v>3305</v>
      </c>
      <c r="AD390" s="10" t="s">
        <v>82</v>
      </c>
      <c r="AE390" s="10" t="s">
        <v>17</v>
      </c>
      <c r="AF390" s="75" t="s">
        <v>3306</v>
      </c>
    </row>
    <row r="391" spans="1:32" ht="27.75" customHeight="1" x14ac:dyDescent="0.3">
      <c r="A391" s="75">
        <v>598870</v>
      </c>
      <c r="B391" s="75" t="s">
        <v>31</v>
      </c>
      <c r="C391" s="75" t="s">
        <v>3307</v>
      </c>
      <c r="D391" s="76" t="s">
        <v>36</v>
      </c>
      <c r="E391" s="77" t="s">
        <v>3308</v>
      </c>
      <c r="F391" s="78" t="s">
        <v>3309</v>
      </c>
      <c r="G391" s="16" t="s">
        <v>52</v>
      </c>
      <c r="H391" s="76" t="s">
        <v>3310</v>
      </c>
      <c r="I391" s="76" t="s">
        <v>3311</v>
      </c>
      <c r="J391" s="76" t="s">
        <v>34</v>
      </c>
      <c r="K391" s="75" t="s">
        <v>298</v>
      </c>
      <c r="L391" s="76" t="s">
        <v>3312</v>
      </c>
      <c r="M391" s="79" t="s">
        <v>17</v>
      </c>
      <c r="N391" s="86" t="s">
        <v>3313</v>
      </c>
      <c r="O391" s="80" t="s">
        <v>17</v>
      </c>
      <c r="P391" s="81" t="s">
        <v>17</v>
      </c>
      <c r="Q391" s="81" t="s">
        <v>17</v>
      </c>
      <c r="R391" s="81" t="s">
        <v>73</v>
      </c>
      <c r="S391" s="82" t="s">
        <v>17</v>
      </c>
      <c r="T391" s="81" t="s">
        <v>95</v>
      </c>
      <c r="U391" s="83" t="s">
        <v>17</v>
      </c>
      <c r="V391" s="83" t="s">
        <v>17</v>
      </c>
      <c r="W391" s="83" t="s">
        <v>17</v>
      </c>
      <c r="X391" s="83" t="s">
        <v>17</v>
      </c>
      <c r="Y391" s="81" t="s">
        <v>17</v>
      </c>
      <c r="Z391" s="87">
        <v>44481</v>
      </c>
      <c r="AA391" s="88" t="s">
        <v>3314</v>
      </c>
      <c r="AB391" s="89" t="s">
        <v>3315</v>
      </c>
      <c r="AC391" s="84" t="s">
        <v>3316</v>
      </c>
      <c r="AD391" s="6" t="s">
        <v>22</v>
      </c>
      <c r="AE391" s="6" t="s">
        <v>341</v>
      </c>
      <c r="AF391" s="75" t="s">
        <v>3317</v>
      </c>
    </row>
    <row r="392" spans="1:32" ht="27.75" customHeight="1" x14ac:dyDescent="0.3">
      <c r="A392" s="75">
        <v>626104</v>
      </c>
      <c r="B392" s="75" t="s">
        <v>137</v>
      </c>
      <c r="C392" s="75" t="s">
        <v>3318</v>
      </c>
      <c r="D392" s="75" t="s">
        <v>139</v>
      </c>
      <c r="E392" s="77">
        <v>44014</v>
      </c>
      <c r="F392" s="75" t="s">
        <v>3319</v>
      </c>
      <c r="G392" s="16" t="s">
        <v>52</v>
      </c>
      <c r="H392" s="75" t="s">
        <v>3320</v>
      </c>
      <c r="I392" s="75" t="s">
        <v>3321</v>
      </c>
      <c r="J392" s="75" t="s">
        <v>34</v>
      </c>
      <c r="K392" s="75" t="s">
        <v>298</v>
      </c>
      <c r="L392" s="75" t="s">
        <v>3322</v>
      </c>
      <c r="M392" s="75" t="s">
        <v>17</v>
      </c>
      <c r="N392" s="76" t="s">
        <v>3323</v>
      </c>
      <c r="O392" s="75" t="s">
        <v>17</v>
      </c>
      <c r="P392" s="81" t="s">
        <v>87</v>
      </c>
      <c r="Q392" s="81" t="s">
        <v>87</v>
      </c>
      <c r="R392" s="6" t="s">
        <v>17</v>
      </c>
      <c r="S392" s="90" t="s">
        <v>17</v>
      </c>
      <c r="T392" s="81" t="s">
        <v>87</v>
      </c>
      <c r="U392" s="81" t="s">
        <v>87</v>
      </c>
      <c r="V392" s="81" t="s">
        <v>87</v>
      </c>
      <c r="W392" s="81" t="s">
        <v>87</v>
      </c>
      <c r="X392" s="81" t="s">
        <v>87</v>
      </c>
      <c r="Y392" s="81" t="s">
        <v>87</v>
      </c>
      <c r="Z392" s="81" t="s">
        <v>87</v>
      </c>
      <c r="AA392" s="81" t="s">
        <v>87</v>
      </c>
      <c r="AB392" s="90" t="s">
        <v>87</v>
      </c>
      <c r="AC392" s="90" t="s">
        <v>3324</v>
      </c>
      <c r="AD392" s="81" t="s">
        <v>82</v>
      </c>
      <c r="AE392" s="10" t="s">
        <v>17</v>
      </c>
      <c r="AF392" s="75" t="s">
        <v>3325</v>
      </c>
    </row>
    <row r="393" spans="1:32" ht="27.75" customHeight="1" x14ac:dyDescent="0.3">
      <c r="A393" s="91">
        <v>707444</v>
      </c>
      <c r="B393" s="91" t="s">
        <v>31</v>
      </c>
      <c r="C393" s="75" t="s">
        <v>3326</v>
      </c>
      <c r="D393" s="76" t="s">
        <v>36</v>
      </c>
      <c r="E393" s="77" t="s">
        <v>3327</v>
      </c>
      <c r="F393" s="75" t="s">
        <v>3328</v>
      </c>
      <c r="G393" s="16" t="s">
        <v>39</v>
      </c>
      <c r="H393" s="75" t="s">
        <v>3329</v>
      </c>
      <c r="I393" s="75" t="s">
        <v>3330</v>
      </c>
      <c r="J393" s="75" t="s">
        <v>34</v>
      </c>
      <c r="K393" s="75" t="s">
        <v>2710</v>
      </c>
      <c r="L393" s="75" t="s">
        <v>3276</v>
      </c>
      <c r="M393" s="75" t="s">
        <v>17</v>
      </c>
      <c r="N393" s="75" t="s">
        <v>3331</v>
      </c>
      <c r="O393" s="92" t="s">
        <v>17</v>
      </c>
      <c r="P393" s="92" t="s">
        <v>17</v>
      </c>
      <c r="Q393" s="92" t="s">
        <v>17</v>
      </c>
      <c r="R393" s="6" t="s">
        <v>96</v>
      </c>
      <c r="S393" s="92" t="s">
        <v>3332</v>
      </c>
      <c r="T393" s="32" t="s">
        <v>38</v>
      </c>
      <c r="U393" s="92" t="s">
        <v>17</v>
      </c>
      <c r="V393" s="92" t="s">
        <v>17</v>
      </c>
      <c r="W393" s="92" t="s">
        <v>17</v>
      </c>
      <c r="X393" s="92" t="s">
        <v>17</v>
      </c>
      <c r="Y393" s="92" t="s">
        <v>17</v>
      </c>
      <c r="Z393" s="92" t="s">
        <v>17</v>
      </c>
      <c r="AA393" s="92" t="s">
        <v>17</v>
      </c>
      <c r="AB393" s="93" t="s">
        <v>17</v>
      </c>
      <c r="AC393" s="3"/>
      <c r="AD393" s="10" t="s">
        <v>82</v>
      </c>
      <c r="AE393" s="10" t="s">
        <v>17</v>
      </c>
      <c r="AF393" s="75" t="s">
        <v>918</v>
      </c>
    </row>
    <row r="394" spans="1:32" ht="27.75" customHeight="1" x14ac:dyDescent="0.3">
      <c r="A394" s="7">
        <v>569362</v>
      </c>
      <c r="B394" s="7" t="s">
        <v>31</v>
      </c>
      <c r="C394" s="7" t="s">
        <v>3333</v>
      </c>
      <c r="D394" s="94" t="s">
        <v>36</v>
      </c>
      <c r="E394" s="95">
        <v>43166</v>
      </c>
      <c r="F394" s="94" t="s">
        <v>3167</v>
      </c>
      <c r="G394" s="16" t="s">
        <v>39</v>
      </c>
      <c r="H394" s="7" t="s">
        <v>3334</v>
      </c>
      <c r="I394" s="6" t="s">
        <v>3335</v>
      </c>
      <c r="J394" s="7" t="s">
        <v>34</v>
      </c>
      <c r="K394" s="64" t="s">
        <v>327</v>
      </c>
      <c r="L394" s="7" t="s">
        <v>3336</v>
      </c>
      <c r="M394" s="6" t="s">
        <v>17</v>
      </c>
      <c r="N394" s="7" t="s">
        <v>2223</v>
      </c>
      <c r="O394" s="6" t="s">
        <v>3337</v>
      </c>
      <c r="P394" s="6" t="s">
        <v>17</v>
      </c>
      <c r="Q394" s="6" t="s">
        <v>17</v>
      </c>
      <c r="R394" s="6" t="s">
        <v>96</v>
      </c>
      <c r="S394" s="6">
        <v>3345</v>
      </c>
      <c r="T394" s="6" t="s">
        <v>157</v>
      </c>
      <c r="U394" s="6">
        <v>91560</v>
      </c>
      <c r="V394" s="6" t="s">
        <v>17</v>
      </c>
      <c r="W394" s="6" t="s">
        <v>17</v>
      </c>
      <c r="X394" s="6" t="s">
        <v>17</v>
      </c>
      <c r="Y394" s="6" t="s">
        <v>17</v>
      </c>
      <c r="Z394" s="6" t="s">
        <v>17</v>
      </c>
      <c r="AA394" s="6" t="s">
        <v>17</v>
      </c>
      <c r="AB394" s="25" t="s">
        <v>17</v>
      </c>
      <c r="AC394" s="36" t="s">
        <v>3338</v>
      </c>
      <c r="AD394" s="10" t="s">
        <v>82</v>
      </c>
      <c r="AE394" s="10" t="s">
        <v>17</v>
      </c>
      <c r="AF394" s="7" t="s">
        <v>2333</v>
      </c>
    </row>
    <row r="395" spans="1:32" ht="27.75" customHeight="1" x14ac:dyDescent="0.3">
      <c r="A395" s="7">
        <v>587856</v>
      </c>
      <c r="B395" s="7" t="s">
        <v>31</v>
      </c>
      <c r="C395" s="7" t="s">
        <v>3339</v>
      </c>
      <c r="D395" s="61" t="s">
        <v>36</v>
      </c>
      <c r="E395" s="62">
        <v>43431</v>
      </c>
      <c r="F395" s="65" t="s">
        <v>3309</v>
      </c>
      <c r="G395" s="16" t="s">
        <v>39</v>
      </c>
      <c r="H395" s="66" t="s">
        <v>3340</v>
      </c>
      <c r="I395" s="66" t="s">
        <v>3341</v>
      </c>
      <c r="J395" s="66" t="s">
        <v>34</v>
      </c>
      <c r="K395" s="7" t="s">
        <v>327</v>
      </c>
      <c r="L395" s="66" t="s">
        <v>3342</v>
      </c>
      <c r="M395" s="67" t="s">
        <v>17</v>
      </c>
      <c r="N395" s="66" t="s">
        <v>3343</v>
      </c>
      <c r="O395" s="7" t="s">
        <v>3344</v>
      </c>
      <c r="P395" s="32" t="s">
        <v>17</v>
      </c>
      <c r="Q395" s="32" t="s">
        <v>17</v>
      </c>
      <c r="R395" s="10" t="s">
        <v>163</v>
      </c>
      <c r="S395" s="32" t="s">
        <v>17</v>
      </c>
      <c r="T395" s="32" t="s">
        <v>41</v>
      </c>
      <c r="U395" s="32" t="s">
        <v>17</v>
      </c>
      <c r="V395" s="32" t="s">
        <v>17</v>
      </c>
      <c r="W395" s="32" t="s">
        <v>17</v>
      </c>
      <c r="X395" s="32" t="s">
        <v>17</v>
      </c>
      <c r="Y395" s="32" t="s">
        <v>17</v>
      </c>
      <c r="Z395" s="32" t="s">
        <v>17</v>
      </c>
      <c r="AA395" s="32" t="s">
        <v>17</v>
      </c>
      <c r="AB395" s="35" t="s">
        <v>17</v>
      </c>
      <c r="AC395" s="96" t="s">
        <v>3345</v>
      </c>
      <c r="AD395" s="10" t="s">
        <v>82</v>
      </c>
      <c r="AE395" s="10" t="s">
        <v>17</v>
      </c>
      <c r="AF395" s="7" t="s">
        <v>918</v>
      </c>
    </row>
    <row r="396" spans="1:32" ht="27.75" customHeight="1" x14ac:dyDescent="0.3">
      <c r="A396" s="7">
        <v>559514</v>
      </c>
      <c r="B396" s="7" t="s">
        <v>31</v>
      </c>
      <c r="C396" s="7" t="s">
        <v>3346</v>
      </c>
      <c r="D396" s="61" t="s">
        <v>36</v>
      </c>
      <c r="E396" s="97">
        <v>42940</v>
      </c>
      <c r="F396" s="65" t="s">
        <v>3309</v>
      </c>
      <c r="G396" s="16" t="s">
        <v>39</v>
      </c>
      <c r="H396" s="66" t="s">
        <v>3347</v>
      </c>
      <c r="I396" s="66" t="s">
        <v>3348</v>
      </c>
      <c r="J396" s="66" t="s">
        <v>34</v>
      </c>
      <c r="K396" s="7" t="s">
        <v>298</v>
      </c>
      <c r="L396" s="66" t="s">
        <v>3349</v>
      </c>
      <c r="M396" s="67" t="s">
        <v>17</v>
      </c>
      <c r="N396" s="98" t="s">
        <v>3350</v>
      </c>
      <c r="O396" s="7" t="s">
        <v>3351</v>
      </c>
      <c r="P396" s="32" t="s">
        <v>17</v>
      </c>
      <c r="Q396" s="32" t="s">
        <v>17</v>
      </c>
      <c r="R396" s="60" t="s">
        <v>148</v>
      </c>
      <c r="S396" s="70">
        <v>3610</v>
      </c>
      <c r="T396" s="32" t="s">
        <v>41</v>
      </c>
      <c r="U396" s="99" t="s">
        <v>23</v>
      </c>
      <c r="V396" s="32" t="s">
        <v>17</v>
      </c>
      <c r="W396" s="32" t="s">
        <v>17</v>
      </c>
      <c r="X396" s="32" t="s">
        <v>17</v>
      </c>
      <c r="Y396" s="32" t="s">
        <v>17</v>
      </c>
      <c r="Z396" s="32" t="s">
        <v>17</v>
      </c>
      <c r="AA396" s="32" t="s">
        <v>17</v>
      </c>
      <c r="AB396" s="35" t="s">
        <v>17</v>
      </c>
      <c r="AC396" s="34" t="s">
        <v>3352</v>
      </c>
      <c r="AD396" s="10" t="s">
        <v>82</v>
      </c>
      <c r="AE396" s="10" t="s">
        <v>17</v>
      </c>
      <c r="AF396" s="7" t="s">
        <v>3353</v>
      </c>
    </row>
    <row r="397" spans="1:32" ht="27.75" customHeight="1" x14ac:dyDescent="0.3">
      <c r="A397" s="7">
        <v>559514</v>
      </c>
      <c r="B397" s="7" t="s">
        <v>31</v>
      </c>
      <c r="C397" s="7" t="s">
        <v>3346</v>
      </c>
      <c r="D397" s="7" t="s">
        <v>36</v>
      </c>
      <c r="E397" s="97">
        <v>42940</v>
      </c>
      <c r="F397" s="7" t="s">
        <v>3354</v>
      </c>
      <c r="G397" s="16" t="s">
        <v>39</v>
      </c>
      <c r="H397" s="7" t="s">
        <v>3355</v>
      </c>
      <c r="I397" s="7" t="s">
        <v>3356</v>
      </c>
      <c r="J397" s="7" t="s">
        <v>34</v>
      </c>
      <c r="K397" s="7" t="s">
        <v>2710</v>
      </c>
      <c r="L397" s="7" t="s">
        <v>3357</v>
      </c>
      <c r="M397" s="7" t="s">
        <v>17</v>
      </c>
      <c r="N397" s="7" t="s">
        <v>3358</v>
      </c>
      <c r="O397" s="7" t="s">
        <v>3359</v>
      </c>
      <c r="P397" s="32" t="s">
        <v>17</v>
      </c>
      <c r="Q397" s="32"/>
      <c r="R397" s="6" t="s">
        <v>17</v>
      </c>
      <c r="S397" s="35"/>
      <c r="T397" s="32" t="s">
        <v>41</v>
      </c>
      <c r="U397" s="33"/>
      <c r="V397" s="32" t="s">
        <v>17</v>
      </c>
      <c r="W397" s="37" t="s">
        <v>17</v>
      </c>
      <c r="X397" s="33" t="s">
        <v>17</v>
      </c>
      <c r="Y397" s="32" t="s">
        <v>17</v>
      </c>
      <c r="Z397" s="44" t="s">
        <v>17</v>
      </c>
      <c r="AA397" s="44" t="s">
        <v>17</v>
      </c>
      <c r="AB397" s="35" t="s">
        <v>17</v>
      </c>
      <c r="AC397" s="35" t="s">
        <v>3360</v>
      </c>
      <c r="AD397" s="10" t="s">
        <v>82</v>
      </c>
      <c r="AE397" s="10" t="s">
        <v>17</v>
      </c>
      <c r="AF397" s="7" t="s">
        <v>1925</v>
      </c>
    </row>
    <row r="398" spans="1:32" ht="27.75" customHeight="1" x14ac:dyDescent="0.3">
      <c r="A398" s="91">
        <v>601973</v>
      </c>
      <c r="B398" s="100" t="s">
        <v>31</v>
      </c>
      <c r="C398" s="100" t="s">
        <v>3361</v>
      </c>
      <c r="D398" s="61" t="s">
        <v>36</v>
      </c>
      <c r="E398" s="97">
        <v>43654</v>
      </c>
      <c r="F398" s="100" t="s">
        <v>3362</v>
      </c>
      <c r="G398" s="16" t="s">
        <v>39</v>
      </c>
      <c r="H398" s="100" t="s">
        <v>3363</v>
      </c>
      <c r="I398" s="100" t="s">
        <v>3364</v>
      </c>
      <c r="J398" s="100" t="s">
        <v>71</v>
      </c>
      <c r="K398" s="100" t="s">
        <v>298</v>
      </c>
      <c r="L398" s="75" t="s">
        <v>3365</v>
      </c>
      <c r="M398" s="101" t="s">
        <v>17</v>
      </c>
      <c r="N398" s="101" t="s">
        <v>3366</v>
      </c>
      <c r="O398" s="100" t="s">
        <v>3367</v>
      </c>
      <c r="P398" s="92" t="s">
        <v>17</v>
      </c>
      <c r="Q398" s="92" t="s">
        <v>17</v>
      </c>
      <c r="R398" s="6" t="s">
        <v>96</v>
      </c>
      <c r="S398" s="92" t="s">
        <v>3368</v>
      </c>
      <c r="T398" s="10" t="s">
        <v>68</v>
      </c>
      <c r="U398" s="92" t="s">
        <v>17</v>
      </c>
      <c r="V398" s="92" t="s">
        <v>17</v>
      </c>
      <c r="W398" s="92" t="s">
        <v>17</v>
      </c>
      <c r="X398" s="92" t="s">
        <v>17</v>
      </c>
      <c r="Y398" s="92" t="s">
        <v>17</v>
      </c>
      <c r="Z398" s="92" t="s">
        <v>17</v>
      </c>
      <c r="AA398" s="92" t="s">
        <v>17</v>
      </c>
      <c r="AB398" s="92" t="s">
        <v>17</v>
      </c>
      <c r="AC398" s="102" t="s">
        <v>3369</v>
      </c>
      <c r="AD398" s="10" t="s">
        <v>82</v>
      </c>
      <c r="AE398" s="10" t="s">
        <v>17</v>
      </c>
      <c r="AF398" s="100" t="s">
        <v>3370</v>
      </c>
    </row>
    <row r="399" spans="1:32" ht="27.75" customHeight="1" x14ac:dyDescent="0.3">
      <c r="A399" s="103" t="s">
        <v>99</v>
      </c>
      <c r="B399" s="100" t="s">
        <v>31</v>
      </c>
      <c r="C399" s="100" t="s">
        <v>3371</v>
      </c>
      <c r="D399" s="100" t="s">
        <v>78</v>
      </c>
      <c r="E399" s="100" t="s">
        <v>3372</v>
      </c>
      <c r="F399" s="100" t="s">
        <v>3373</v>
      </c>
      <c r="G399" s="16" t="s">
        <v>39</v>
      </c>
      <c r="H399" s="100" t="s">
        <v>3374</v>
      </c>
      <c r="I399" s="100" t="s">
        <v>3375</v>
      </c>
      <c r="J399" s="100" t="s">
        <v>34</v>
      </c>
      <c r="K399" s="100" t="s">
        <v>298</v>
      </c>
      <c r="L399" s="75" t="s">
        <v>3276</v>
      </c>
      <c r="M399" s="104" t="s">
        <v>17</v>
      </c>
      <c r="N399" s="101" t="s">
        <v>3376</v>
      </c>
      <c r="O399" s="100" t="s">
        <v>17</v>
      </c>
      <c r="P399" s="92" t="s">
        <v>17</v>
      </c>
      <c r="Q399" s="92" t="s">
        <v>17</v>
      </c>
      <c r="R399" s="6" t="s">
        <v>96</v>
      </c>
      <c r="S399" s="92" t="s">
        <v>3377</v>
      </c>
      <c r="T399" s="6" t="s">
        <v>157</v>
      </c>
      <c r="U399" s="92" t="s">
        <v>17</v>
      </c>
      <c r="V399" s="92" t="s">
        <v>17</v>
      </c>
      <c r="W399" s="92" t="s">
        <v>17</v>
      </c>
      <c r="X399" s="92" t="s">
        <v>17</v>
      </c>
      <c r="Y399" s="92" t="s">
        <v>17</v>
      </c>
      <c r="Z399" s="92" t="s">
        <v>17</v>
      </c>
      <c r="AA399" s="92" t="s">
        <v>17</v>
      </c>
      <c r="AB399" s="93" t="s">
        <v>17</v>
      </c>
      <c r="AC399" s="102" t="s">
        <v>3378</v>
      </c>
      <c r="AD399" s="10" t="s">
        <v>82</v>
      </c>
      <c r="AE399" s="10" t="s">
        <v>17</v>
      </c>
      <c r="AF399" s="100" t="s">
        <v>2333</v>
      </c>
    </row>
    <row r="400" spans="1:32" ht="27.75" customHeight="1" x14ac:dyDescent="0.3">
      <c r="A400" s="105" t="s">
        <v>100</v>
      </c>
      <c r="B400" s="106" t="s">
        <v>31</v>
      </c>
      <c r="C400" s="105" t="s">
        <v>3379</v>
      </c>
      <c r="D400" s="16" t="s">
        <v>66</v>
      </c>
      <c r="E400" s="97" t="s">
        <v>3380</v>
      </c>
      <c r="F400" s="100" t="s">
        <v>3381</v>
      </c>
      <c r="G400" s="16" t="s">
        <v>39</v>
      </c>
      <c r="H400" s="100" t="s">
        <v>3382</v>
      </c>
      <c r="I400" s="100" t="s">
        <v>3383</v>
      </c>
      <c r="J400" s="100" t="s">
        <v>16</v>
      </c>
      <c r="K400" s="100" t="s">
        <v>298</v>
      </c>
      <c r="L400" s="100" t="s">
        <v>3384</v>
      </c>
      <c r="M400" s="107"/>
      <c r="N400" s="108" t="s">
        <v>3385</v>
      </c>
      <c r="O400" s="107"/>
      <c r="P400" s="109" t="s">
        <v>17</v>
      </c>
      <c r="Q400" s="109" t="s">
        <v>17</v>
      </c>
      <c r="R400" s="6" t="s">
        <v>17</v>
      </c>
      <c r="S400" s="109" t="s">
        <v>17</v>
      </c>
      <c r="T400" s="10" t="s">
        <v>68</v>
      </c>
      <c r="U400" s="110" t="s">
        <v>17</v>
      </c>
      <c r="V400" s="110" t="s">
        <v>17</v>
      </c>
      <c r="W400" s="110" t="s">
        <v>17</v>
      </c>
      <c r="X400" s="110" t="s">
        <v>17</v>
      </c>
      <c r="Y400" s="107"/>
      <c r="Z400" s="107"/>
      <c r="AA400" s="107"/>
      <c r="AB400" s="107"/>
      <c r="AC400" s="11" t="s">
        <v>3386</v>
      </c>
      <c r="AD400" s="10" t="s">
        <v>82</v>
      </c>
      <c r="AE400" s="10" t="s">
        <v>17</v>
      </c>
      <c r="AF400" s="7" t="s">
        <v>2333</v>
      </c>
    </row>
    <row r="401" spans="1:32" ht="27.75" customHeight="1" x14ac:dyDescent="0.3">
      <c r="A401" s="91">
        <v>712778</v>
      </c>
      <c r="B401" s="100" t="s">
        <v>31</v>
      </c>
      <c r="C401" s="100" t="s">
        <v>3387</v>
      </c>
      <c r="D401" s="100" t="s">
        <v>36</v>
      </c>
      <c r="E401" s="100" t="s">
        <v>3380</v>
      </c>
      <c r="F401" s="100" t="s">
        <v>3388</v>
      </c>
      <c r="G401" s="9" t="s">
        <v>33</v>
      </c>
      <c r="H401" s="100" t="s">
        <v>3389</v>
      </c>
      <c r="I401" s="100" t="s">
        <v>3390</v>
      </c>
      <c r="J401" s="100" t="s">
        <v>34</v>
      </c>
      <c r="K401" s="100" t="s">
        <v>298</v>
      </c>
      <c r="L401" s="75" t="s">
        <v>3391</v>
      </c>
      <c r="M401" s="104" t="s">
        <v>17</v>
      </c>
      <c r="N401" s="111" t="s">
        <v>3392</v>
      </c>
      <c r="O401" s="100" t="s">
        <v>3393</v>
      </c>
      <c r="P401" s="92" t="s">
        <v>17</v>
      </c>
      <c r="Q401" s="92" t="s">
        <v>17</v>
      </c>
      <c r="R401" s="92" t="s">
        <v>98</v>
      </c>
      <c r="S401" s="92">
        <v>773</v>
      </c>
      <c r="T401" s="100" t="s">
        <v>41</v>
      </c>
      <c r="U401" s="92" t="s">
        <v>17</v>
      </c>
      <c r="V401" s="92" t="s">
        <v>17</v>
      </c>
      <c r="W401" s="92" t="s">
        <v>17</v>
      </c>
      <c r="X401" s="92" t="s">
        <v>17</v>
      </c>
      <c r="Y401" s="92" t="s">
        <v>17</v>
      </c>
      <c r="Z401" s="92" t="s">
        <v>17</v>
      </c>
      <c r="AA401" s="92" t="s">
        <v>17</v>
      </c>
      <c r="AB401" s="93" t="s">
        <v>17</v>
      </c>
      <c r="AC401" s="102" t="s">
        <v>3394</v>
      </c>
      <c r="AD401" s="10" t="s">
        <v>82</v>
      </c>
      <c r="AE401" s="6" t="s">
        <v>341</v>
      </c>
      <c r="AF401" s="100" t="s">
        <v>448</v>
      </c>
    </row>
    <row r="402" spans="1:32" ht="27.75" customHeight="1" x14ac:dyDescent="0.3">
      <c r="A402" s="91">
        <v>708755</v>
      </c>
      <c r="B402" s="100" t="s">
        <v>31</v>
      </c>
      <c r="C402" s="100" t="s">
        <v>3395</v>
      </c>
      <c r="D402" s="100" t="s">
        <v>36</v>
      </c>
      <c r="E402" s="100" t="s">
        <v>3396</v>
      </c>
      <c r="F402" s="100" t="s">
        <v>3397</v>
      </c>
      <c r="G402" s="100" t="s">
        <v>52</v>
      </c>
      <c r="H402" s="100" t="s">
        <v>3398</v>
      </c>
      <c r="I402" s="100" t="s">
        <v>3399</v>
      </c>
      <c r="J402" s="100" t="s">
        <v>34</v>
      </c>
      <c r="K402" s="100" t="s">
        <v>298</v>
      </c>
      <c r="L402" s="75" t="s">
        <v>3276</v>
      </c>
      <c r="M402" s="104" t="s">
        <v>17</v>
      </c>
      <c r="N402" s="101" t="s">
        <v>3400</v>
      </c>
      <c r="O402" s="100" t="s">
        <v>3401</v>
      </c>
      <c r="P402" s="92" t="s">
        <v>17</v>
      </c>
      <c r="Q402" s="92" t="s">
        <v>17</v>
      </c>
      <c r="R402" s="92" t="s">
        <v>17</v>
      </c>
      <c r="S402" s="92" t="s">
        <v>17</v>
      </c>
      <c r="T402" s="100" t="s">
        <v>41</v>
      </c>
      <c r="U402" s="92" t="s">
        <v>17</v>
      </c>
      <c r="V402" s="92" t="s">
        <v>17</v>
      </c>
      <c r="W402" s="92" t="s">
        <v>17</v>
      </c>
      <c r="X402" s="92" t="s">
        <v>17</v>
      </c>
      <c r="Y402" s="92" t="s">
        <v>17</v>
      </c>
      <c r="Z402" s="92" t="s">
        <v>3402</v>
      </c>
      <c r="AA402" s="112">
        <v>45293</v>
      </c>
      <c r="AB402" s="18" t="s">
        <v>3403</v>
      </c>
      <c r="AC402" s="113" t="s">
        <v>3404</v>
      </c>
      <c r="AD402" s="6" t="s">
        <v>22</v>
      </c>
      <c r="AE402" s="100" t="s">
        <v>439</v>
      </c>
      <c r="AF402" s="100" t="s">
        <v>3317</v>
      </c>
    </row>
    <row r="403" spans="1:32" ht="27.75" customHeight="1" x14ac:dyDescent="0.3">
      <c r="A403" s="91">
        <v>799523</v>
      </c>
      <c r="B403" s="100" t="s">
        <v>31</v>
      </c>
      <c r="C403" s="100" t="s">
        <v>3405</v>
      </c>
      <c r="D403" s="100" t="s">
        <v>36</v>
      </c>
      <c r="E403" s="100" t="s">
        <v>3406</v>
      </c>
      <c r="F403" s="114" t="s">
        <v>3407</v>
      </c>
      <c r="G403" s="115" t="s">
        <v>39</v>
      </c>
      <c r="H403" s="100" t="s">
        <v>3408</v>
      </c>
      <c r="I403" s="100" t="s">
        <v>3409</v>
      </c>
      <c r="J403" s="100" t="s">
        <v>71</v>
      </c>
      <c r="K403" s="100" t="s">
        <v>298</v>
      </c>
      <c r="L403" s="75" t="s">
        <v>3410</v>
      </c>
      <c r="M403" s="104" t="s">
        <v>17</v>
      </c>
      <c r="N403" s="101" t="s">
        <v>3411</v>
      </c>
      <c r="O403" s="100" t="s">
        <v>3412</v>
      </c>
      <c r="P403" s="92" t="s">
        <v>17</v>
      </c>
      <c r="Q403" s="92" t="s">
        <v>17</v>
      </c>
      <c r="R403" s="6" t="s">
        <v>17</v>
      </c>
      <c r="S403" s="92" t="s">
        <v>17</v>
      </c>
      <c r="T403" s="10" t="s">
        <v>51</v>
      </c>
      <c r="U403" s="92" t="s">
        <v>17</v>
      </c>
      <c r="V403" s="92" t="s">
        <v>17</v>
      </c>
      <c r="W403" s="92" t="s">
        <v>17</v>
      </c>
      <c r="X403" s="92" t="s">
        <v>17</v>
      </c>
      <c r="Y403" s="92" t="s">
        <v>17</v>
      </c>
      <c r="Z403" s="92" t="s">
        <v>17</v>
      </c>
      <c r="AA403" s="92" t="s">
        <v>17</v>
      </c>
      <c r="AB403" s="93" t="s">
        <v>17</v>
      </c>
      <c r="AC403" s="102" t="s">
        <v>3413</v>
      </c>
      <c r="AD403" s="10" t="s">
        <v>82</v>
      </c>
      <c r="AE403" s="10" t="s">
        <v>17</v>
      </c>
      <c r="AF403" s="100"/>
    </row>
    <row r="404" spans="1:32" ht="27.75" customHeight="1" x14ac:dyDescent="0.3">
      <c r="A404" s="91">
        <v>750444</v>
      </c>
      <c r="B404" s="100" t="s">
        <v>31</v>
      </c>
      <c r="C404" s="100" t="s">
        <v>3414</v>
      </c>
      <c r="D404" s="100" t="s">
        <v>36</v>
      </c>
      <c r="E404" s="100" t="s">
        <v>3415</v>
      </c>
      <c r="F404" s="100" t="s">
        <v>3416</v>
      </c>
      <c r="G404" s="9" t="s">
        <v>33</v>
      </c>
      <c r="H404" s="100" t="s">
        <v>3417</v>
      </c>
      <c r="I404" s="100" t="s">
        <v>3418</v>
      </c>
      <c r="J404" s="100" t="s">
        <v>34</v>
      </c>
      <c r="K404" s="100" t="s">
        <v>298</v>
      </c>
      <c r="L404" s="75" t="s">
        <v>3276</v>
      </c>
      <c r="M404" s="104" t="s">
        <v>17</v>
      </c>
      <c r="N404" s="111" t="s">
        <v>3419</v>
      </c>
      <c r="O404" s="100" t="s">
        <v>3420</v>
      </c>
      <c r="P404" s="92" t="s">
        <v>17</v>
      </c>
      <c r="Q404" s="92" t="s">
        <v>17</v>
      </c>
      <c r="R404" s="92" t="s">
        <v>102</v>
      </c>
      <c r="S404" s="92" t="s">
        <v>3421</v>
      </c>
      <c r="T404" s="10" t="s">
        <v>68</v>
      </c>
      <c r="U404" s="92" t="s">
        <v>17</v>
      </c>
      <c r="V404" s="92" t="s">
        <v>17</v>
      </c>
      <c r="W404" s="92" t="s">
        <v>17</v>
      </c>
      <c r="X404" s="92" t="s">
        <v>17</v>
      </c>
      <c r="Y404" s="92" t="s">
        <v>17</v>
      </c>
      <c r="Z404" s="92" t="s">
        <v>17</v>
      </c>
      <c r="AA404" s="92" t="s">
        <v>17</v>
      </c>
      <c r="AB404" s="93" t="s">
        <v>17</v>
      </c>
      <c r="AC404" s="108" t="s">
        <v>3422</v>
      </c>
      <c r="AD404" s="10" t="s">
        <v>82</v>
      </c>
      <c r="AE404" s="100" t="s">
        <v>439</v>
      </c>
      <c r="AF404" s="100" t="s">
        <v>448</v>
      </c>
    </row>
    <row r="405" spans="1:32" ht="27.75" customHeight="1" x14ac:dyDescent="0.3">
      <c r="A405" s="91" t="s">
        <v>103</v>
      </c>
      <c r="B405" s="100" t="s">
        <v>31</v>
      </c>
      <c r="C405" s="108" t="s">
        <v>3423</v>
      </c>
      <c r="D405" s="100" t="s">
        <v>36</v>
      </c>
      <c r="E405" s="100">
        <v>1300</v>
      </c>
      <c r="F405" s="100" t="s">
        <v>3424</v>
      </c>
      <c r="G405" s="16" t="s">
        <v>52</v>
      </c>
      <c r="H405" s="18" t="s">
        <v>3425</v>
      </c>
      <c r="I405" s="113" t="s">
        <v>3426</v>
      </c>
      <c r="J405" s="113" t="s">
        <v>34</v>
      </c>
      <c r="K405" s="113" t="s">
        <v>3427</v>
      </c>
      <c r="L405" s="116" t="s">
        <v>3428</v>
      </c>
      <c r="M405" s="104" t="s">
        <v>17</v>
      </c>
      <c r="N405" s="111" t="s">
        <v>3429</v>
      </c>
      <c r="O405" s="100" t="s">
        <v>3430</v>
      </c>
      <c r="P405" s="100" t="s">
        <v>17</v>
      </c>
      <c r="Q405" s="92" t="s">
        <v>17</v>
      </c>
      <c r="R405" s="6" t="s">
        <v>96</v>
      </c>
      <c r="S405" s="92" t="s">
        <v>3431</v>
      </c>
      <c r="T405" s="100" t="s">
        <v>104</v>
      </c>
      <c r="U405" s="92" t="s">
        <v>17</v>
      </c>
      <c r="V405" s="92" t="s">
        <v>17</v>
      </c>
      <c r="W405" s="92" t="s">
        <v>17</v>
      </c>
      <c r="X405" s="92" t="s">
        <v>17</v>
      </c>
      <c r="Y405" s="92" t="s">
        <v>17</v>
      </c>
      <c r="Z405" s="92" t="s">
        <v>17</v>
      </c>
      <c r="AA405" s="92" t="s">
        <v>17</v>
      </c>
      <c r="AB405" s="93" t="s">
        <v>17</v>
      </c>
      <c r="AC405" s="108" t="s">
        <v>3432</v>
      </c>
      <c r="AD405" s="10" t="s">
        <v>82</v>
      </c>
      <c r="AE405" s="10" t="s">
        <v>17</v>
      </c>
      <c r="AF405" s="100" t="s">
        <v>3353</v>
      </c>
    </row>
    <row r="406" spans="1:32" ht="27.75" customHeight="1" x14ac:dyDescent="0.3">
      <c r="A406" s="91">
        <v>770042</v>
      </c>
      <c r="B406" s="100" t="s">
        <v>31</v>
      </c>
      <c r="C406" s="108" t="s">
        <v>3433</v>
      </c>
      <c r="D406" s="100" t="s">
        <v>36</v>
      </c>
      <c r="E406" s="100" t="s">
        <v>3434</v>
      </c>
      <c r="F406" s="100" t="s">
        <v>3435</v>
      </c>
      <c r="G406" s="16" t="s">
        <v>52</v>
      </c>
      <c r="H406" s="100" t="s">
        <v>3436</v>
      </c>
      <c r="I406" s="18" t="s">
        <v>3437</v>
      </c>
      <c r="J406" s="117" t="s">
        <v>34</v>
      </c>
      <c r="K406" s="117" t="s">
        <v>3427</v>
      </c>
      <c r="L406" s="113" t="s">
        <v>3438</v>
      </c>
      <c r="M406" s="116" t="s">
        <v>89</v>
      </c>
      <c r="N406" s="104" t="s">
        <v>3439</v>
      </c>
      <c r="O406" s="111" t="s">
        <v>3440</v>
      </c>
      <c r="P406" s="100" t="s">
        <v>17</v>
      </c>
      <c r="Q406" s="92" t="s">
        <v>17</v>
      </c>
      <c r="R406" s="10" t="s">
        <v>163</v>
      </c>
      <c r="S406" s="92" t="s">
        <v>17</v>
      </c>
      <c r="T406" s="10" t="s">
        <v>46</v>
      </c>
      <c r="U406" s="92" t="s">
        <v>17</v>
      </c>
      <c r="V406" s="92" t="s">
        <v>17</v>
      </c>
      <c r="W406" s="92" t="s">
        <v>17</v>
      </c>
      <c r="X406" s="92" t="s">
        <v>17</v>
      </c>
      <c r="Y406" s="92" t="s">
        <v>17</v>
      </c>
      <c r="Z406" s="92" t="s">
        <v>3441</v>
      </c>
      <c r="AA406" s="92" t="s">
        <v>17</v>
      </c>
      <c r="AB406" s="93" t="s">
        <v>17</v>
      </c>
      <c r="AC406" s="93" t="s">
        <v>3442</v>
      </c>
      <c r="AD406" s="10" t="s">
        <v>82</v>
      </c>
      <c r="AE406" s="10" t="s">
        <v>17</v>
      </c>
      <c r="AF406" s="100" t="s">
        <v>3443</v>
      </c>
    </row>
    <row r="407" spans="1:32" ht="27.75" customHeight="1" x14ac:dyDescent="0.3">
      <c r="A407" s="91">
        <v>774718</v>
      </c>
      <c r="B407" s="100" t="s">
        <v>31</v>
      </c>
      <c r="C407" s="118" t="s">
        <v>3444</v>
      </c>
      <c r="D407" s="16" t="s">
        <v>36</v>
      </c>
      <c r="E407" s="97">
        <v>45056</v>
      </c>
      <c r="F407" s="100" t="s">
        <v>3445</v>
      </c>
      <c r="G407" s="9" t="s">
        <v>33</v>
      </c>
      <c r="H407" s="16" t="s">
        <v>3446</v>
      </c>
      <c r="I407" s="16" t="s">
        <v>3447</v>
      </c>
      <c r="J407" s="119" t="s">
        <v>34</v>
      </c>
      <c r="K407" s="119" t="s">
        <v>3427</v>
      </c>
      <c r="L407" s="119" t="s">
        <v>3448</v>
      </c>
      <c r="M407" s="120" t="s">
        <v>89</v>
      </c>
      <c r="N407" s="119" t="s">
        <v>3449</v>
      </c>
      <c r="O407" s="121" t="s">
        <v>3450</v>
      </c>
      <c r="P407" s="100" t="s">
        <v>17</v>
      </c>
      <c r="Q407" s="92" t="s">
        <v>17</v>
      </c>
      <c r="R407" s="10" t="s">
        <v>163</v>
      </c>
      <c r="S407" s="92" t="s">
        <v>17</v>
      </c>
      <c r="T407" s="92" t="s">
        <v>38</v>
      </c>
      <c r="U407" s="92" t="s">
        <v>17</v>
      </c>
      <c r="V407" s="92" t="s">
        <v>17</v>
      </c>
      <c r="W407" s="92" t="s">
        <v>17</v>
      </c>
      <c r="X407" s="92" t="s">
        <v>17</v>
      </c>
      <c r="Y407" s="92" t="s">
        <v>17</v>
      </c>
      <c r="Z407" s="92" t="s">
        <v>17</v>
      </c>
      <c r="AA407" s="92" t="s">
        <v>17</v>
      </c>
      <c r="AB407" s="122" t="s">
        <v>17</v>
      </c>
      <c r="AC407" s="122" t="s">
        <v>3451</v>
      </c>
      <c r="AD407" s="10" t="s">
        <v>82</v>
      </c>
      <c r="AE407" s="10" t="s">
        <v>17</v>
      </c>
      <c r="AF407" s="100" t="s">
        <v>2333</v>
      </c>
    </row>
    <row r="408" spans="1:32" ht="27.75" customHeight="1" x14ac:dyDescent="0.3">
      <c r="A408" s="103" t="s">
        <v>99</v>
      </c>
      <c r="B408" s="16" t="s">
        <v>1177</v>
      </c>
      <c r="C408" s="118" t="s">
        <v>3452</v>
      </c>
      <c r="D408" s="16" t="s">
        <v>78</v>
      </c>
      <c r="E408" s="16" t="s">
        <v>3453</v>
      </c>
      <c r="F408" s="16" t="s">
        <v>3454</v>
      </c>
      <c r="G408" s="16" t="s">
        <v>52</v>
      </c>
      <c r="H408" s="16" t="s">
        <v>3455</v>
      </c>
      <c r="I408" s="100" t="s">
        <v>3456</v>
      </c>
      <c r="J408" s="100" t="s">
        <v>34</v>
      </c>
      <c r="K408" s="100" t="s">
        <v>3427</v>
      </c>
      <c r="L408" s="119" t="s">
        <v>3457</v>
      </c>
      <c r="M408" s="123" t="s">
        <v>17</v>
      </c>
      <c r="N408" s="106" t="s">
        <v>3458</v>
      </c>
      <c r="O408" s="121" t="s">
        <v>3459</v>
      </c>
      <c r="P408" s="16" t="s">
        <v>17</v>
      </c>
      <c r="Q408" s="16" t="s">
        <v>17</v>
      </c>
      <c r="R408" s="10" t="s">
        <v>163</v>
      </c>
      <c r="S408" s="125" t="s">
        <v>3460</v>
      </c>
      <c r="T408" s="10" t="s">
        <v>59</v>
      </c>
      <c r="U408" s="126"/>
      <c r="V408" s="126"/>
      <c r="W408" s="126"/>
      <c r="X408" s="126" t="s">
        <v>17</v>
      </c>
      <c r="Y408" s="126" t="s">
        <v>17</v>
      </c>
      <c r="Z408" s="126" t="s">
        <v>17</v>
      </c>
      <c r="AA408" s="126" t="s">
        <v>17</v>
      </c>
      <c r="AB408" s="122" t="s">
        <v>17</v>
      </c>
      <c r="AC408" s="127" t="s">
        <v>3461</v>
      </c>
      <c r="AD408" s="10" t="s">
        <v>82</v>
      </c>
      <c r="AE408" s="10" t="s">
        <v>17</v>
      </c>
      <c r="AF408" s="129" t="s">
        <v>440</v>
      </c>
    </row>
    <row r="409" spans="1:32" ht="27.75" customHeight="1" x14ac:dyDescent="0.3">
      <c r="A409" s="91">
        <v>778590</v>
      </c>
      <c r="B409" s="100" t="s">
        <v>31</v>
      </c>
      <c r="C409" s="118" t="s">
        <v>3462</v>
      </c>
      <c r="D409" s="100" t="s">
        <v>36</v>
      </c>
      <c r="E409" s="97" t="s">
        <v>3463</v>
      </c>
      <c r="F409" s="100" t="s">
        <v>3464</v>
      </c>
      <c r="G409" s="16" t="s">
        <v>39</v>
      </c>
      <c r="H409" s="100" t="s">
        <v>3465</v>
      </c>
      <c r="I409" s="100" t="s">
        <v>3466</v>
      </c>
      <c r="J409" s="100" t="s">
        <v>34</v>
      </c>
      <c r="K409" s="100" t="s">
        <v>3427</v>
      </c>
      <c r="L409" s="130" t="s">
        <v>3438</v>
      </c>
      <c r="M409" s="131" t="s">
        <v>89</v>
      </c>
      <c r="N409" s="130" t="s">
        <v>3467</v>
      </c>
      <c r="O409" s="132" t="s">
        <v>17</v>
      </c>
      <c r="P409" s="100" t="s">
        <v>17</v>
      </c>
      <c r="Q409" s="133" t="s">
        <v>17</v>
      </c>
      <c r="R409" s="10" t="s">
        <v>163</v>
      </c>
      <c r="S409" s="133" t="s">
        <v>17</v>
      </c>
      <c r="T409" s="10" t="s">
        <v>46</v>
      </c>
      <c r="U409" s="133" t="s">
        <v>17</v>
      </c>
      <c r="V409" s="133" t="s">
        <v>17</v>
      </c>
      <c r="W409" s="133" t="s">
        <v>17</v>
      </c>
      <c r="X409" s="133" t="s">
        <v>17</v>
      </c>
      <c r="Y409" s="133" t="s">
        <v>17</v>
      </c>
      <c r="Z409" s="133" t="s">
        <v>17</v>
      </c>
      <c r="AA409" s="133" t="s">
        <v>17</v>
      </c>
      <c r="AB409" s="127" t="s">
        <v>17</v>
      </c>
      <c r="AC409" s="127" t="s">
        <v>3468</v>
      </c>
      <c r="AD409" s="10" t="s">
        <v>82</v>
      </c>
      <c r="AE409" s="10" t="s">
        <v>17</v>
      </c>
      <c r="AF409" s="100" t="s">
        <v>2333</v>
      </c>
    </row>
    <row r="410" spans="1:32" ht="27.75" customHeight="1" x14ac:dyDescent="0.3">
      <c r="A410" s="91">
        <v>774679</v>
      </c>
      <c r="B410" s="100" t="s">
        <v>31</v>
      </c>
      <c r="C410" s="118" t="s">
        <v>3469</v>
      </c>
      <c r="D410" s="100" t="s">
        <v>36</v>
      </c>
      <c r="E410" s="97" t="s">
        <v>3434</v>
      </c>
      <c r="F410" s="100" t="s">
        <v>3470</v>
      </c>
      <c r="G410" s="16" t="s">
        <v>33</v>
      </c>
      <c r="H410" s="100" t="s">
        <v>3471</v>
      </c>
      <c r="I410" s="100" t="s">
        <v>3472</v>
      </c>
      <c r="J410" s="100" t="s">
        <v>71</v>
      </c>
      <c r="K410" s="100" t="s">
        <v>3427</v>
      </c>
      <c r="L410" s="100" t="s">
        <v>3473</v>
      </c>
      <c r="M410" s="134"/>
      <c r="N410" s="100" t="s">
        <v>3474</v>
      </c>
      <c r="O410" s="135" t="s">
        <v>3475</v>
      </c>
      <c r="P410" s="100" t="s">
        <v>17</v>
      </c>
      <c r="Q410" s="133" t="s">
        <v>17</v>
      </c>
      <c r="R410" s="133" t="s">
        <v>17</v>
      </c>
      <c r="S410" s="136" t="s">
        <v>3476</v>
      </c>
      <c r="T410" s="133" t="s">
        <v>57</v>
      </c>
      <c r="U410" s="133" t="s">
        <v>17</v>
      </c>
      <c r="V410" s="133" t="s">
        <v>17</v>
      </c>
      <c r="W410" s="133" t="s">
        <v>17</v>
      </c>
      <c r="X410" s="133" t="s">
        <v>17</v>
      </c>
      <c r="Y410" s="133" t="s">
        <v>17</v>
      </c>
      <c r="Z410" s="133" t="s">
        <v>17</v>
      </c>
      <c r="AA410" s="133" t="s">
        <v>17</v>
      </c>
      <c r="AB410" s="127" t="s">
        <v>17</v>
      </c>
      <c r="AC410" s="127" t="s">
        <v>3477</v>
      </c>
      <c r="AD410" s="10" t="s">
        <v>82</v>
      </c>
      <c r="AE410" s="100" t="s">
        <v>439</v>
      </c>
      <c r="AF410" s="100" t="s">
        <v>996</v>
      </c>
    </row>
    <row r="411" spans="1:32" ht="27.75" customHeight="1" x14ac:dyDescent="0.3">
      <c r="A411" s="91">
        <v>751037</v>
      </c>
      <c r="B411" s="100" t="s">
        <v>31</v>
      </c>
      <c r="C411" s="118" t="s">
        <v>3478</v>
      </c>
      <c r="D411" s="100" t="s">
        <v>36</v>
      </c>
      <c r="E411" s="97">
        <v>410295</v>
      </c>
      <c r="F411" s="100" t="s">
        <v>3479</v>
      </c>
      <c r="G411" s="16" t="s">
        <v>39</v>
      </c>
      <c r="H411" s="3"/>
      <c r="I411" s="100" t="s">
        <v>3480</v>
      </c>
      <c r="J411" s="130" t="s">
        <v>34</v>
      </c>
      <c r="K411" s="130" t="s">
        <v>3427</v>
      </c>
      <c r="L411" s="130" t="s">
        <v>3438</v>
      </c>
      <c r="M411" s="123" t="s">
        <v>17</v>
      </c>
      <c r="N411" s="130" t="s">
        <v>3481</v>
      </c>
      <c r="O411" s="132" t="s">
        <v>17</v>
      </c>
      <c r="P411" s="100" t="s">
        <v>17</v>
      </c>
      <c r="Q411" s="133" t="s">
        <v>17</v>
      </c>
      <c r="R411" s="6" t="s">
        <v>17</v>
      </c>
      <c r="S411" s="137">
        <v>4807</v>
      </c>
      <c r="T411" s="133" t="s">
        <v>55</v>
      </c>
      <c r="U411" s="133" t="s">
        <v>17</v>
      </c>
      <c r="V411" s="133" t="s">
        <v>17</v>
      </c>
      <c r="W411" s="133" t="s">
        <v>17</v>
      </c>
      <c r="X411" s="133" t="s">
        <v>17</v>
      </c>
      <c r="Y411" s="133" t="s">
        <v>17</v>
      </c>
      <c r="Z411" s="133" t="s">
        <v>17</v>
      </c>
      <c r="AA411" s="133" t="s">
        <v>17</v>
      </c>
      <c r="AB411" s="127" t="s">
        <v>17</v>
      </c>
      <c r="AC411" s="127" t="s">
        <v>3482</v>
      </c>
      <c r="AD411" s="10" t="s">
        <v>82</v>
      </c>
      <c r="AE411" s="10" t="s">
        <v>17</v>
      </c>
      <c r="AF411" s="100" t="s">
        <v>2333</v>
      </c>
    </row>
    <row r="412" spans="1:32" ht="27.75" customHeight="1" x14ac:dyDescent="0.3">
      <c r="A412" s="103">
        <v>783984</v>
      </c>
      <c r="B412" s="138" t="s">
        <v>31</v>
      </c>
      <c r="C412" s="138" t="s">
        <v>3483</v>
      </c>
      <c r="D412" s="138" t="s">
        <v>36</v>
      </c>
      <c r="E412" s="138" t="s">
        <v>3484</v>
      </c>
      <c r="F412" s="138" t="s">
        <v>3485</v>
      </c>
      <c r="G412" s="9" t="s">
        <v>33</v>
      </c>
      <c r="H412" s="100" t="s">
        <v>3486</v>
      </c>
      <c r="I412" s="100" t="s">
        <v>3487</v>
      </c>
      <c r="J412" s="138" t="s">
        <v>34</v>
      </c>
      <c r="K412" s="138" t="s">
        <v>298</v>
      </c>
      <c r="L412" s="104" t="s">
        <v>2798</v>
      </c>
      <c r="M412" s="104" t="s">
        <v>17</v>
      </c>
      <c r="N412" s="139" t="s">
        <v>3488</v>
      </c>
      <c r="O412" s="138" t="s">
        <v>3489</v>
      </c>
      <c r="P412" s="100" t="s">
        <v>17</v>
      </c>
      <c r="Q412" s="100" t="s">
        <v>17</v>
      </c>
      <c r="R412" s="100" t="s">
        <v>107</v>
      </c>
      <c r="S412" s="138" t="s">
        <v>3490</v>
      </c>
      <c r="T412" s="138" t="s">
        <v>41</v>
      </c>
      <c r="U412" s="138" t="s">
        <v>17</v>
      </c>
      <c r="V412" s="138" t="s">
        <v>17</v>
      </c>
      <c r="W412" s="138" t="s">
        <v>17</v>
      </c>
      <c r="X412" s="138" t="s">
        <v>17</v>
      </c>
      <c r="Y412" s="138" t="s">
        <v>17</v>
      </c>
      <c r="Z412" s="100" t="s">
        <v>23</v>
      </c>
      <c r="AA412" s="100" t="s">
        <v>23</v>
      </c>
      <c r="AB412" s="100" t="s">
        <v>23</v>
      </c>
      <c r="AC412" s="138" t="s">
        <v>3491</v>
      </c>
      <c r="AD412" s="10" t="s">
        <v>82</v>
      </c>
      <c r="AE412" s="6" t="s">
        <v>341</v>
      </c>
      <c r="AF412" s="138" t="s">
        <v>448</v>
      </c>
    </row>
    <row r="413" spans="1:32" ht="27.75" customHeight="1" x14ac:dyDescent="0.3">
      <c r="A413" s="103">
        <v>744883</v>
      </c>
      <c r="B413" s="16" t="s">
        <v>31</v>
      </c>
      <c r="C413" s="118" t="s">
        <v>3492</v>
      </c>
      <c r="D413" s="16" t="s">
        <v>36</v>
      </c>
      <c r="E413" s="141" t="s">
        <v>3493</v>
      </c>
      <c r="F413" s="142" t="s">
        <v>3494</v>
      </c>
      <c r="G413" s="16" t="s">
        <v>39</v>
      </c>
      <c r="H413" s="16" t="s">
        <v>3495</v>
      </c>
      <c r="I413" s="16" t="s">
        <v>3496</v>
      </c>
      <c r="J413" s="143" t="s">
        <v>34</v>
      </c>
      <c r="K413" s="143" t="s">
        <v>781</v>
      </c>
      <c r="L413" s="143" t="s">
        <v>3438</v>
      </c>
      <c r="M413" s="144" t="s">
        <v>89</v>
      </c>
      <c r="N413" s="143" t="s">
        <v>3497</v>
      </c>
      <c r="O413" s="145" t="s">
        <v>17</v>
      </c>
      <c r="P413" s="16" t="s">
        <v>17</v>
      </c>
      <c r="Q413" s="146" t="s">
        <v>17</v>
      </c>
      <c r="R413" s="6" t="s">
        <v>17</v>
      </c>
      <c r="S413" s="146" t="s">
        <v>17</v>
      </c>
      <c r="T413" s="146" t="s">
        <v>55</v>
      </c>
      <c r="U413" s="147" t="s">
        <v>17</v>
      </c>
      <c r="V413" s="146" t="s">
        <v>17</v>
      </c>
      <c r="W413" s="146" t="s">
        <v>17</v>
      </c>
      <c r="X413" s="146" t="s">
        <v>17</v>
      </c>
      <c r="Y413" s="146" t="s">
        <v>17</v>
      </c>
      <c r="Z413" s="146" t="s">
        <v>17</v>
      </c>
      <c r="AA413" s="146" t="s">
        <v>17</v>
      </c>
      <c r="AB413" s="127" t="s">
        <v>17</v>
      </c>
      <c r="AC413" s="148" t="s">
        <v>3498</v>
      </c>
      <c r="AD413" s="10" t="s">
        <v>82</v>
      </c>
      <c r="AE413" s="10" t="s">
        <v>17</v>
      </c>
      <c r="AF413" s="114" t="s">
        <v>3499</v>
      </c>
    </row>
    <row r="414" spans="1:32" ht="27.75" customHeight="1" x14ac:dyDescent="0.3">
      <c r="A414" s="150">
        <v>782777</v>
      </c>
      <c r="B414" s="100" t="s">
        <v>31</v>
      </c>
      <c r="C414" s="151" t="s">
        <v>3500</v>
      </c>
      <c r="D414" s="100" t="s">
        <v>36</v>
      </c>
      <c r="E414" s="150" t="s">
        <v>3501</v>
      </c>
      <c r="F414" s="152" t="s">
        <v>3502</v>
      </c>
      <c r="G414" s="9" t="s">
        <v>33</v>
      </c>
      <c r="H414" s="100" t="s">
        <v>3503</v>
      </c>
      <c r="I414" s="100" t="s">
        <v>3504</v>
      </c>
      <c r="J414" s="153" t="s">
        <v>34</v>
      </c>
      <c r="K414" s="152" t="s">
        <v>3427</v>
      </c>
      <c r="L414" s="152" t="s">
        <v>2798</v>
      </c>
      <c r="M414" s="104" t="s">
        <v>17</v>
      </c>
      <c r="N414" s="152" t="s">
        <v>3505</v>
      </c>
      <c r="O414" s="150" t="s">
        <v>1869</v>
      </c>
      <c r="P414" s="100" t="s">
        <v>17</v>
      </c>
      <c r="Q414" s="133" t="s">
        <v>17</v>
      </c>
      <c r="R414" s="154" t="s">
        <v>3506</v>
      </c>
      <c r="S414" s="133" t="s">
        <v>3507</v>
      </c>
      <c r="T414" s="10" t="s">
        <v>60</v>
      </c>
      <c r="U414" s="154" t="s">
        <v>17</v>
      </c>
      <c r="V414" s="154" t="s">
        <v>17</v>
      </c>
      <c r="W414" s="154" t="s">
        <v>17</v>
      </c>
      <c r="X414" s="133" t="s">
        <v>17</v>
      </c>
      <c r="Y414" s="133" t="s">
        <v>17</v>
      </c>
      <c r="Z414" s="133" t="s">
        <v>17</v>
      </c>
      <c r="AA414" s="133" t="s">
        <v>17</v>
      </c>
      <c r="AB414" s="154" t="s">
        <v>17</v>
      </c>
      <c r="AC414" s="139" t="s">
        <v>3508</v>
      </c>
      <c r="AD414" s="10" t="s">
        <v>82</v>
      </c>
      <c r="AE414" s="6" t="s">
        <v>341</v>
      </c>
      <c r="AF414" s="100" t="s">
        <v>660</v>
      </c>
    </row>
    <row r="415" spans="1:32" ht="27.75" customHeight="1" x14ac:dyDescent="0.3">
      <c r="A415" s="150">
        <v>788115</v>
      </c>
      <c r="B415" s="100" t="s">
        <v>31</v>
      </c>
      <c r="C415" s="151" t="s">
        <v>3509</v>
      </c>
      <c r="D415" s="100" t="s">
        <v>36</v>
      </c>
      <c r="E415" s="150" t="s">
        <v>3510</v>
      </c>
      <c r="F415" s="152" t="s">
        <v>3511</v>
      </c>
      <c r="G415" s="16" t="s">
        <v>39</v>
      </c>
      <c r="H415" s="138" t="s">
        <v>3512</v>
      </c>
      <c r="I415" s="100" t="s">
        <v>3513</v>
      </c>
      <c r="J415" s="153" t="s">
        <v>34</v>
      </c>
      <c r="K415" s="152" t="s">
        <v>3427</v>
      </c>
      <c r="L415" s="152" t="s">
        <v>3438</v>
      </c>
      <c r="M415" s="104" t="s">
        <v>17</v>
      </c>
      <c r="N415" s="152" t="s">
        <v>3514</v>
      </c>
      <c r="O415" s="150" t="s">
        <v>3515</v>
      </c>
      <c r="P415" s="100" t="s">
        <v>17</v>
      </c>
      <c r="Q415" s="133" t="s">
        <v>17</v>
      </c>
      <c r="R415" s="6" t="s">
        <v>17</v>
      </c>
      <c r="S415" s="133" t="s">
        <v>17</v>
      </c>
      <c r="T415" s="150" t="s">
        <v>41</v>
      </c>
      <c r="U415" s="154" t="s">
        <v>17</v>
      </c>
      <c r="V415" s="154" t="s">
        <v>17</v>
      </c>
      <c r="W415" s="154" t="s">
        <v>17</v>
      </c>
      <c r="X415" s="133" t="s">
        <v>17</v>
      </c>
      <c r="Y415" s="133" t="s">
        <v>17</v>
      </c>
      <c r="Z415" s="133" t="s">
        <v>17</v>
      </c>
      <c r="AA415" s="133" t="s">
        <v>17</v>
      </c>
      <c r="AB415" s="154" t="s">
        <v>17</v>
      </c>
      <c r="AC415" s="155" t="s">
        <v>3516</v>
      </c>
      <c r="AD415" s="10" t="s">
        <v>82</v>
      </c>
      <c r="AE415" s="10" t="s">
        <v>17</v>
      </c>
      <c r="AF415" s="100" t="s">
        <v>3517</v>
      </c>
    </row>
    <row r="416" spans="1:32" ht="27.75" customHeight="1" x14ac:dyDescent="0.3">
      <c r="A416" s="7">
        <v>413772</v>
      </c>
      <c r="B416" s="7" t="s">
        <v>31</v>
      </c>
      <c r="C416" s="7" t="s">
        <v>3518</v>
      </c>
      <c r="D416" s="156" t="s">
        <v>36</v>
      </c>
      <c r="E416" s="62" t="s">
        <v>3519</v>
      </c>
      <c r="F416" s="156" t="s">
        <v>3229</v>
      </c>
      <c r="G416" s="16" t="s">
        <v>39</v>
      </c>
      <c r="H416" s="7" t="s">
        <v>3520</v>
      </c>
      <c r="I416" s="6" t="s">
        <v>3521</v>
      </c>
      <c r="J416" s="7" t="s">
        <v>34</v>
      </c>
      <c r="K416" s="157" t="s">
        <v>327</v>
      </c>
      <c r="L416" s="7" t="s">
        <v>1930</v>
      </c>
      <c r="M416" s="6" t="s">
        <v>17</v>
      </c>
      <c r="N416" s="36" t="s">
        <v>3522</v>
      </c>
      <c r="O416" s="6" t="s">
        <v>3523</v>
      </c>
      <c r="P416" s="158" t="s">
        <v>65</v>
      </c>
      <c r="Q416" s="158" t="s">
        <v>65</v>
      </c>
      <c r="R416" s="6" t="s">
        <v>96</v>
      </c>
      <c r="S416" s="6" t="s">
        <v>3524</v>
      </c>
      <c r="T416" s="6" t="s">
        <v>85</v>
      </c>
      <c r="U416" s="6" t="s">
        <v>17</v>
      </c>
      <c r="V416" s="6" t="s">
        <v>17</v>
      </c>
      <c r="W416" s="6" t="s">
        <v>17</v>
      </c>
      <c r="X416" s="6" t="s">
        <v>17</v>
      </c>
      <c r="Y416" s="6" t="s">
        <v>17</v>
      </c>
      <c r="Z416" s="6" t="s">
        <v>17</v>
      </c>
      <c r="AA416" s="6" t="s">
        <v>17</v>
      </c>
      <c r="AB416" s="6" t="s">
        <v>17</v>
      </c>
      <c r="AC416" s="7" t="s">
        <v>3525</v>
      </c>
      <c r="AD416" s="10" t="s">
        <v>82</v>
      </c>
      <c r="AE416" s="10" t="s">
        <v>17</v>
      </c>
      <c r="AF416" s="7" t="s">
        <v>2829</v>
      </c>
    </row>
    <row r="417" spans="1:32" ht="27.75" customHeight="1" x14ac:dyDescent="0.3">
      <c r="A417" s="159">
        <v>680724</v>
      </c>
      <c r="B417" s="159" t="s">
        <v>31</v>
      </c>
      <c r="C417" s="159" t="s">
        <v>3081</v>
      </c>
      <c r="D417" s="159" t="s">
        <v>36</v>
      </c>
      <c r="E417" s="160" t="s">
        <v>3082</v>
      </c>
      <c r="F417" s="159" t="s">
        <v>3083</v>
      </c>
      <c r="G417" s="16" t="s">
        <v>39</v>
      </c>
      <c r="H417" s="159" t="s">
        <v>3084</v>
      </c>
      <c r="I417" s="159" t="s">
        <v>3085</v>
      </c>
      <c r="J417" s="161" t="s">
        <v>34</v>
      </c>
      <c r="K417" s="161" t="s">
        <v>298</v>
      </c>
      <c r="L417" s="159" t="s">
        <v>3086</v>
      </c>
      <c r="M417" s="161" t="s">
        <v>17</v>
      </c>
      <c r="N417" s="162" t="s">
        <v>3087</v>
      </c>
      <c r="O417" s="161" t="s">
        <v>17</v>
      </c>
      <c r="P417" s="163" t="s">
        <v>17</v>
      </c>
      <c r="Q417" s="161" t="s">
        <v>17</v>
      </c>
      <c r="R417" s="6" t="s">
        <v>17</v>
      </c>
      <c r="S417" s="164" t="s">
        <v>17</v>
      </c>
      <c r="T417" s="164" t="s">
        <v>17</v>
      </c>
      <c r="U417" s="164" t="s">
        <v>17</v>
      </c>
      <c r="V417" s="164" t="s">
        <v>17</v>
      </c>
      <c r="W417" s="164" t="s">
        <v>17</v>
      </c>
      <c r="X417" s="164" t="s">
        <v>17</v>
      </c>
      <c r="Y417" s="164" t="s">
        <v>17</v>
      </c>
      <c r="Z417" s="165" t="s">
        <v>17</v>
      </c>
      <c r="AA417" s="165" t="s">
        <v>17</v>
      </c>
      <c r="AB417" s="166" t="s">
        <v>87</v>
      </c>
      <c r="AC417" s="159" t="s">
        <v>3526</v>
      </c>
      <c r="AD417" s="10" t="s">
        <v>82</v>
      </c>
      <c r="AE417" s="10" t="s">
        <v>17</v>
      </c>
      <c r="AF417" s="168" t="s">
        <v>787</v>
      </c>
    </row>
    <row r="418" spans="1:32" ht="27.75" customHeight="1" x14ac:dyDescent="0.3">
      <c r="A418" s="169">
        <v>792914</v>
      </c>
      <c r="B418" s="138" t="s">
        <v>31</v>
      </c>
      <c r="C418" s="170" t="s">
        <v>3527</v>
      </c>
      <c r="D418" s="138" t="s">
        <v>36</v>
      </c>
      <c r="E418" s="171">
        <v>45294</v>
      </c>
      <c r="F418" s="138" t="s">
        <v>3528</v>
      </c>
      <c r="G418" s="9" t="s">
        <v>33</v>
      </c>
      <c r="H418" s="100" t="s">
        <v>3529</v>
      </c>
      <c r="I418" s="147" t="s">
        <v>3530</v>
      </c>
      <c r="J418" s="172" t="s">
        <v>71</v>
      </c>
      <c r="K418" s="172" t="s">
        <v>781</v>
      </c>
      <c r="L418" s="173" t="s">
        <v>2798</v>
      </c>
      <c r="M418" s="174" t="s">
        <v>17</v>
      </c>
      <c r="N418" s="175" t="s">
        <v>3531</v>
      </c>
      <c r="O418" s="174" t="s">
        <v>3532</v>
      </c>
      <c r="P418" s="176" t="s">
        <v>17</v>
      </c>
      <c r="Q418" s="177" t="s">
        <v>17</v>
      </c>
      <c r="R418" s="178" t="s">
        <v>98</v>
      </c>
      <c r="S418" s="179" t="s">
        <v>3533</v>
      </c>
      <c r="T418" s="178" t="s">
        <v>38</v>
      </c>
      <c r="U418" s="179" t="s">
        <v>17</v>
      </c>
      <c r="V418" s="179" t="s">
        <v>17</v>
      </c>
      <c r="W418" s="179" t="s">
        <v>17</v>
      </c>
      <c r="X418" s="179" t="s">
        <v>17</v>
      </c>
      <c r="Y418" s="179" t="s">
        <v>17</v>
      </c>
      <c r="Z418" s="180" t="s">
        <v>17</v>
      </c>
      <c r="AA418" s="181" t="s">
        <v>17</v>
      </c>
      <c r="AB418" s="166" t="s">
        <v>87</v>
      </c>
      <c r="AC418" s="182" t="s">
        <v>3534</v>
      </c>
      <c r="AD418" s="10" t="s">
        <v>82</v>
      </c>
      <c r="AE418" s="6" t="s">
        <v>341</v>
      </c>
      <c r="AF418" s="7" t="s">
        <v>660</v>
      </c>
    </row>
    <row r="419" spans="1:32" ht="27.75" customHeight="1" x14ac:dyDescent="0.3">
      <c r="A419" s="7">
        <v>792838</v>
      </c>
      <c r="B419" s="7" t="s">
        <v>31</v>
      </c>
      <c r="C419" s="7" t="s">
        <v>3535</v>
      </c>
      <c r="D419" s="156" t="s">
        <v>36</v>
      </c>
      <c r="E419" s="7" t="s">
        <v>3536</v>
      </c>
      <c r="F419" s="156" t="s">
        <v>3175</v>
      </c>
      <c r="G419" s="9" t="s">
        <v>33</v>
      </c>
      <c r="H419" s="74" t="s">
        <v>3537</v>
      </c>
      <c r="I419" s="74" t="s">
        <v>3538</v>
      </c>
      <c r="J419" s="74" t="s">
        <v>34</v>
      </c>
      <c r="K419" s="184" t="s">
        <v>327</v>
      </c>
      <c r="L419" s="74" t="s">
        <v>3539</v>
      </c>
      <c r="M419" s="185" t="s">
        <v>17</v>
      </c>
      <c r="N419" s="74" t="s">
        <v>3540</v>
      </c>
      <c r="O419" s="185" t="s">
        <v>17</v>
      </c>
      <c r="P419" s="186" t="s">
        <v>65</v>
      </c>
      <c r="Q419" s="186" t="s">
        <v>65</v>
      </c>
      <c r="R419" s="185" t="s">
        <v>109</v>
      </c>
      <c r="S419" s="185" t="s">
        <v>3541</v>
      </c>
      <c r="T419" s="10" t="s">
        <v>68</v>
      </c>
      <c r="U419" s="185" t="s">
        <v>17</v>
      </c>
      <c r="V419" s="185" t="s">
        <v>17</v>
      </c>
      <c r="W419" s="185" t="s">
        <v>17</v>
      </c>
      <c r="X419" s="185" t="s">
        <v>17</v>
      </c>
      <c r="Y419" s="185" t="s">
        <v>17</v>
      </c>
      <c r="Z419" s="185" t="s">
        <v>17</v>
      </c>
      <c r="AA419" s="185" t="s">
        <v>17</v>
      </c>
      <c r="AB419" s="185" t="s">
        <v>17</v>
      </c>
      <c r="AC419" s="74" t="s">
        <v>3542</v>
      </c>
      <c r="AD419" s="10" t="s">
        <v>82</v>
      </c>
      <c r="AE419" s="6" t="s">
        <v>341</v>
      </c>
      <c r="AF419" s="74" t="s">
        <v>996</v>
      </c>
    </row>
    <row r="420" spans="1:32" ht="27.75" customHeight="1" x14ac:dyDescent="0.3">
      <c r="A420" s="188">
        <v>799047</v>
      </c>
      <c r="B420" s="188" t="s">
        <v>31</v>
      </c>
      <c r="C420" s="188" t="s">
        <v>3543</v>
      </c>
      <c r="D420" s="188" t="s">
        <v>36</v>
      </c>
      <c r="E420" s="189">
        <v>45418</v>
      </c>
      <c r="F420" s="188" t="s">
        <v>3092</v>
      </c>
      <c r="G420" s="16" t="s">
        <v>39</v>
      </c>
      <c r="H420" s="188" t="s">
        <v>3544</v>
      </c>
      <c r="I420" s="188" t="s">
        <v>3545</v>
      </c>
      <c r="J420" s="177" t="s">
        <v>34</v>
      </c>
      <c r="K420" s="177" t="s">
        <v>298</v>
      </c>
      <c r="L420" s="188" t="s">
        <v>3546</v>
      </c>
      <c r="M420" s="177" t="s">
        <v>17</v>
      </c>
      <c r="N420" s="190" t="s">
        <v>3547</v>
      </c>
      <c r="O420" s="177" t="s">
        <v>17</v>
      </c>
      <c r="P420" s="176" t="s">
        <v>17</v>
      </c>
      <c r="Q420" s="177" t="s">
        <v>17</v>
      </c>
      <c r="R420" s="179" t="s">
        <v>17</v>
      </c>
      <c r="S420" s="179" t="s">
        <v>17</v>
      </c>
      <c r="T420" s="10" t="s">
        <v>68</v>
      </c>
      <c r="U420" s="179" t="s">
        <v>17</v>
      </c>
      <c r="V420" s="179" t="s">
        <v>17</v>
      </c>
      <c r="W420" s="179" t="s">
        <v>17</v>
      </c>
      <c r="X420" s="179" t="s">
        <v>17</v>
      </c>
      <c r="Y420" s="179" t="s">
        <v>17</v>
      </c>
      <c r="Z420" s="180" t="s">
        <v>17</v>
      </c>
      <c r="AA420" s="180" t="s">
        <v>17</v>
      </c>
      <c r="AB420" s="191" t="s">
        <v>87</v>
      </c>
      <c r="AC420" s="188" t="s">
        <v>3548</v>
      </c>
      <c r="AD420" s="6" t="s">
        <v>22</v>
      </c>
      <c r="AE420" s="452" t="s">
        <v>2475</v>
      </c>
      <c r="AF420" s="74" t="s">
        <v>3549</v>
      </c>
    </row>
    <row r="421" spans="1:32" ht="27.75" customHeight="1" x14ac:dyDescent="0.3">
      <c r="A421" s="188">
        <v>770042</v>
      </c>
      <c r="B421" s="188" t="s">
        <v>31</v>
      </c>
      <c r="C421" s="188" t="s">
        <v>3550</v>
      </c>
      <c r="D421" s="188" t="s">
        <v>36</v>
      </c>
      <c r="E421" s="189" t="s">
        <v>3434</v>
      </c>
      <c r="F421" s="188" t="s">
        <v>3551</v>
      </c>
      <c r="G421" s="16" t="s">
        <v>39</v>
      </c>
      <c r="H421" s="188" t="s">
        <v>3436</v>
      </c>
      <c r="I421" s="188" t="s">
        <v>3552</v>
      </c>
      <c r="J421" s="177" t="s">
        <v>34</v>
      </c>
      <c r="K421" s="177" t="s">
        <v>298</v>
      </c>
      <c r="L421" s="188" t="s">
        <v>3553</v>
      </c>
      <c r="M421" s="177" t="s">
        <v>17</v>
      </c>
      <c r="N421" s="188" t="s">
        <v>3553</v>
      </c>
      <c r="O421" s="177" t="s">
        <v>17</v>
      </c>
      <c r="P421" s="176" t="s">
        <v>17</v>
      </c>
      <c r="Q421" s="177" t="s">
        <v>17</v>
      </c>
      <c r="R421" s="179" t="s">
        <v>73</v>
      </c>
      <c r="S421" s="179" t="s">
        <v>17</v>
      </c>
      <c r="T421" s="10" t="s">
        <v>46</v>
      </c>
      <c r="U421" s="179" t="s">
        <v>17</v>
      </c>
      <c r="V421" s="179" t="s">
        <v>17</v>
      </c>
      <c r="W421" s="179" t="s">
        <v>17</v>
      </c>
      <c r="X421" s="179" t="s">
        <v>17</v>
      </c>
      <c r="Y421" s="179" t="s">
        <v>17</v>
      </c>
      <c r="Z421" s="180" t="s">
        <v>17</v>
      </c>
      <c r="AA421" s="180" t="s">
        <v>17</v>
      </c>
      <c r="AB421" s="191" t="s">
        <v>87</v>
      </c>
      <c r="AC421" s="188" t="s">
        <v>3554</v>
      </c>
      <c r="AD421" s="6" t="s">
        <v>22</v>
      </c>
      <c r="AE421" s="6" t="s">
        <v>341</v>
      </c>
      <c r="AF421" s="104" t="s">
        <v>3555</v>
      </c>
    </row>
    <row r="422" spans="1:32" ht="27.75" customHeight="1" x14ac:dyDescent="0.3">
      <c r="A422" s="159">
        <v>804413</v>
      </c>
      <c r="B422" s="159" t="s">
        <v>31</v>
      </c>
      <c r="C422" s="159" t="s">
        <v>3556</v>
      </c>
      <c r="D422" s="159" t="s">
        <v>36</v>
      </c>
      <c r="E422" s="160" t="s">
        <v>3557</v>
      </c>
      <c r="F422" s="159" t="s">
        <v>3273</v>
      </c>
      <c r="G422" s="16" t="s">
        <v>39</v>
      </c>
      <c r="H422" s="159" t="s">
        <v>3558</v>
      </c>
      <c r="I422" s="159" t="s">
        <v>3559</v>
      </c>
      <c r="J422" s="161" t="s">
        <v>34</v>
      </c>
      <c r="K422" s="161" t="s">
        <v>298</v>
      </c>
      <c r="L422" s="159" t="s">
        <v>3560</v>
      </c>
      <c r="M422" s="161" t="s">
        <v>17</v>
      </c>
      <c r="N422" s="159" t="s">
        <v>3560</v>
      </c>
      <c r="O422" s="161" t="s">
        <v>17</v>
      </c>
      <c r="P422" s="163" t="s">
        <v>17</v>
      </c>
      <c r="Q422" s="161" t="s">
        <v>17</v>
      </c>
      <c r="R422" s="164" t="s">
        <v>73</v>
      </c>
      <c r="S422" s="164" t="s">
        <v>17</v>
      </c>
      <c r="T422" s="164" t="s">
        <v>41</v>
      </c>
      <c r="U422" s="164" t="s">
        <v>17</v>
      </c>
      <c r="V422" s="164" t="s">
        <v>17</v>
      </c>
      <c r="W422" s="164" t="s">
        <v>17</v>
      </c>
      <c r="X422" s="164" t="s">
        <v>17</v>
      </c>
      <c r="Y422" s="164" t="s">
        <v>17</v>
      </c>
      <c r="Z422" s="165" t="s">
        <v>17</v>
      </c>
      <c r="AA422" s="165" t="s">
        <v>17</v>
      </c>
      <c r="AB422" s="166" t="s">
        <v>87</v>
      </c>
      <c r="AC422" s="159" t="s">
        <v>3561</v>
      </c>
      <c r="AD422" s="10" t="s">
        <v>82</v>
      </c>
      <c r="AE422" s="6" t="s">
        <v>341</v>
      </c>
      <c r="AF422" s="106" t="s">
        <v>3562</v>
      </c>
    </row>
    <row r="423" spans="1:32" ht="27.75" customHeight="1" x14ac:dyDescent="0.3">
      <c r="A423" s="188" t="s">
        <v>110</v>
      </c>
      <c r="B423" s="188" t="s">
        <v>31</v>
      </c>
      <c r="C423" s="188" t="s">
        <v>3563</v>
      </c>
      <c r="D423" s="188" t="s">
        <v>36</v>
      </c>
      <c r="E423" s="189">
        <v>45400</v>
      </c>
      <c r="F423" s="188" t="s">
        <v>3299</v>
      </c>
      <c r="G423" s="9" t="s">
        <v>39</v>
      </c>
      <c r="H423" s="188" t="s">
        <v>3564</v>
      </c>
      <c r="I423" s="195" t="s">
        <v>3565</v>
      </c>
      <c r="J423" s="177" t="s">
        <v>34</v>
      </c>
      <c r="K423" s="177" t="s">
        <v>298</v>
      </c>
      <c r="L423" s="159" t="s">
        <v>3566</v>
      </c>
      <c r="M423" s="177" t="s">
        <v>17</v>
      </c>
      <c r="N423" s="196" t="s">
        <v>3481</v>
      </c>
      <c r="O423" s="177" t="s">
        <v>17</v>
      </c>
      <c r="P423" s="176" t="s">
        <v>17</v>
      </c>
      <c r="Q423" s="177" t="s">
        <v>17</v>
      </c>
      <c r="R423" s="179" t="s">
        <v>17</v>
      </c>
      <c r="S423" s="179" t="s">
        <v>17</v>
      </c>
      <c r="T423" s="179" t="s">
        <v>41</v>
      </c>
      <c r="U423" s="179" t="s">
        <v>17</v>
      </c>
      <c r="V423" s="179" t="s">
        <v>17</v>
      </c>
      <c r="W423" s="179" t="s">
        <v>17</v>
      </c>
      <c r="X423" s="179" t="s">
        <v>17</v>
      </c>
      <c r="Y423" s="179" t="s">
        <v>17</v>
      </c>
      <c r="Z423" s="180" t="s">
        <v>17</v>
      </c>
      <c r="AA423" s="180" t="s">
        <v>17</v>
      </c>
      <c r="AB423" s="191" t="s">
        <v>87</v>
      </c>
      <c r="AC423" s="197" t="s">
        <v>3567</v>
      </c>
      <c r="AD423" s="10" t="s">
        <v>82</v>
      </c>
      <c r="AE423" s="6" t="s">
        <v>341</v>
      </c>
      <c r="AF423" s="104" t="s">
        <v>3562</v>
      </c>
    </row>
    <row r="424" spans="1:32" ht="27.75" customHeight="1" x14ac:dyDescent="0.3">
      <c r="A424" s="188">
        <v>355790</v>
      </c>
      <c r="B424" s="188" t="s">
        <v>31</v>
      </c>
      <c r="C424" s="188" t="s">
        <v>3568</v>
      </c>
      <c r="D424" s="188" t="s">
        <v>36</v>
      </c>
      <c r="E424" s="189">
        <v>40715</v>
      </c>
      <c r="F424" s="188" t="s">
        <v>3569</v>
      </c>
      <c r="G424" s="9" t="s">
        <v>39</v>
      </c>
      <c r="H424" s="188" t="s">
        <v>3570</v>
      </c>
      <c r="I424" s="195" t="s">
        <v>3571</v>
      </c>
      <c r="J424" s="177" t="s">
        <v>34</v>
      </c>
      <c r="K424" s="177" t="s">
        <v>298</v>
      </c>
      <c r="L424" s="159" t="s">
        <v>3572</v>
      </c>
      <c r="M424" s="177" t="s">
        <v>17</v>
      </c>
      <c r="N424" s="159" t="s">
        <v>3573</v>
      </c>
      <c r="O424" s="177" t="s">
        <v>17</v>
      </c>
      <c r="P424" s="176" t="s">
        <v>17</v>
      </c>
      <c r="Q424" s="177" t="s">
        <v>17</v>
      </c>
      <c r="R424" s="179" t="s">
        <v>17</v>
      </c>
      <c r="S424" s="179" t="s">
        <v>17</v>
      </c>
      <c r="T424" s="10" t="s">
        <v>60</v>
      </c>
      <c r="U424" s="179" t="s">
        <v>17</v>
      </c>
      <c r="V424" s="179" t="s">
        <v>17</v>
      </c>
      <c r="W424" s="179" t="s">
        <v>17</v>
      </c>
      <c r="X424" s="179" t="s">
        <v>17</v>
      </c>
      <c r="Y424" s="179" t="s">
        <v>17</v>
      </c>
      <c r="Z424" s="180">
        <v>40942</v>
      </c>
      <c r="AA424" s="180" t="s">
        <v>17</v>
      </c>
      <c r="AB424" s="198"/>
      <c r="AC424" s="197" t="s">
        <v>3574</v>
      </c>
      <c r="AD424" s="6" t="s">
        <v>22</v>
      </c>
      <c r="AE424" s="6" t="s">
        <v>341</v>
      </c>
      <c r="AF424" s="104" t="s">
        <v>2735</v>
      </c>
    </row>
    <row r="425" spans="1:32" ht="27.75" customHeight="1" x14ac:dyDescent="0.3">
      <c r="A425" s="199">
        <v>303777</v>
      </c>
      <c r="B425" s="113" t="s">
        <v>31</v>
      </c>
      <c r="C425" s="200" t="s">
        <v>3575</v>
      </c>
      <c r="D425" s="113" t="s">
        <v>36</v>
      </c>
      <c r="E425" s="113" t="s">
        <v>3576</v>
      </c>
      <c r="F425" s="113" t="s">
        <v>3577</v>
      </c>
      <c r="G425" s="16" t="s">
        <v>52</v>
      </c>
      <c r="H425" s="113" t="s">
        <v>3578</v>
      </c>
      <c r="I425" s="113" t="s">
        <v>3579</v>
      </c>
      <c r="J425" s="113" t="s">
        <v>34</v>
      </c>
      <c r="K425" s="113" t="s">
        <v>3427</v>
      </c>
      <c r="L425" s="201" t="s">
        <v>1727</v>
      </c>
      <c r="M425" s="113" t="s">
        <v>17</v>
      </c>
      <c r="N425" s="116" t="s">
        <v>3580</v>
      </c>
      <c r="O425" s="113" t="s">
        <v>3581</v>
      </c>
      <c r="P425" s="113" t="s">
        <v>17</v>
      </c>
      <c r="Q425" s="113" t="s">
        <v>17</v>
      </c>
      <c r="R425" s="113" t="s">
        <v>1727</v>
      </c>
      <c r="S425" s="113" t="s">
        <v>89</v>
      </c>
      <c r="T425" s="10" t="s">
        <v>60</v>
      </c>
      <c r="U425" s="113" t="s">
        <v>89</v>
      </c>
      <c r="V425" s="113" t="s">
        <v>17</v>
      </c>
      <c r="W425" s="113" t="s">
        <v>17</v>
      </c>
      <c r="X425" s="113" t="s">
        <v>17</v>
      </c>
      <c r="Y425" s="113" t="s">
        <v>17</v>
      </c>
      <c r="Z425" s="113" t="s">
        <v>89</v>
      </c>
      <c r="AA425" s="113" t="s">
        <v>89</v>
      </c>
      <c r="AB425" s="113" t="s">
        <v>89</v>
      </c>
      <c r="AC425" s="113" t="s">
        <v>3582</v>
      </c>
      <c r="AD425" s="113" t="s">
        <v>19</v>
      </c>
      <c r="AE425" s="6" t="s">
        <v>341</v>
      </c>
      <c r="AF425" s="113" t="s">
        <v>3583</v>
      </c>
    </row>
    <row r="426" spans="1:32" ht="27.75" customHeight="1" x14ac:dyDescent="0.3">
      <c r="A426" s="117" t="s">
        <v>111</v>
      </c>
      <c r="B426" s="117" t="s">
        <v>31</v>
      </c>
      <c r="C426" s="117" t="s">
        <v>3584</v>
      </c>
      <c r="D426" s="117" t="s">
        <v>36</v>
      </c>
      <c r="E426" s="117" t="s">
        <v>3585</v>
      </c>
      <c r="F426" s="117" t="s">
        <v>3586</v>
      </c>
      <c r="G426" s="16" t="s">
        <v>52</v>
      </c>
      <c r="H426" s="119" t="s">
        <v>3587</v>
      </c>
      <c r="I426" s="113" t="s">
        <v>3588</v>
      </c>
      <c r="J426" s="113" t="s">
        <v>34</v>
      </c>
      <c r="K426" s="113" t="s">
        <v>3427</v>
      </c>
      <c r="L426" s="201" t="s">
        <v>1727</v>
      </c>
      <c r="M426" s="113" t="s">
        <v>17</v>
      </c>
      <c r="N426" s="116" t="s">
        <v>3589</v>
      </c>
      <c r="O426" s="113" t="s">
        <v>3590</v>
      </c>
      <c r="P426" s="113" t="s">
        <v>17</v>
      </c>
      <c r="Q426" s="113" t="s">
        <v>17</v>
      </c>
      <c r="R426" s="113" t="s">
        <v>1727</v>
      </c>
      <c r="S426" s="113" t="s">
        <v>3591</v>
      </c>
      <c r="T426" s="10" t="s">
        <v>46</v>
      </c>
      <c r="U426" s="113" t="s">
        <v>89</v>
      </c>
      <c r="V426" s="113" t="s">
        <v>17</v>
      </c>
      <c r="W426" s="113" t="s">
        <v>17</v>
      </c>
      <c r="X426" s="113" t="s">
        <v>17</v>
      </c>
      <c r="Y426" s="113" t="s">
        <v>17</v>
      </c>
      <c r="Z426" s="113" t="s">
        <v>17</v>
      </c>
      <c r="AA426" s="113" t="s">
        <v>17</v>
      </c>
      <c r="AB426" s="113" t="s">
        <v>17</v>
      </c>
      <c r="AC426" s="113" t="s">
        <v>3592</v>
      </c>
      <c r="AD426" s="10" t="s">
        <v>82</v>
      </c>
      <c r="AE426" s="6" t="s">
        <v>341</v>
      </c>
      <c r="AF426" s="113" t="s">
        <v>3593</v>
      </c>
    </row>
    <row r="427" spans="1:32" ht="27.75" customHeight="1" x14ac:dyDescent="0.3">
      <c r="A427" s="199">
        <v>815956</v>
      </c>
      <c r="B427" s="117" t="s">
        <v>31</v>
      </c>
      <c r="C427" s="117" t="s">
        <v>3594</v>
      </c>
      <c r="D427" s="117" t="s">
        <v>36</v>
      </c>
      <c r="E427" s="117" t="s">
        <v>3595</v>
      </c>
      <c r="F427" s="202" t="s">
        <v>3596</v>
      </c>
      <c r="G427" s="100" t="s">
        <v>33</v>
      </c>
      <c r="H427" s="182" t="s">
        <v>3597</v>
      </c>
      <c r="I427" s="113" t="s">
        <v>3598</v>
      </c>
      <c r="J427" s="203" t="s">
        <v>34</v>
      </c>
      <c r="K427" s="203" t="s">
        <v>3427</v>
      </c>
      <c r="L427" s="204" t="s">
        <v>1727</v>
      </c>
      <c r="M427" s="203" t="s">
        <v>17</v>
      </c>
      <c r="N427" s="205" t="s">
        <v>3599</v>
      </c>
      <c r="O427" s="203" t="s">
        <v>17</v>
      </c>
      <c r="P427" s="203" t="s">
        <v>17</v>
      </c>
      <c r="Q427" s="203" t="s">
        <v>17</v>
      </c>
      <c r="R427" s="203" t="s">
        <v>1727</v>
      </c>
      <c r="S427" s="117" t="s">
        <v>3600</v>
      </c>
      <c r="T427" s="117" t="s">
        <v>112</v>
      </c>
      <c r="U427" s="117" t="s">
        <v>17</v>
      </c>
      <c r="V427" s="117" t="s">
        <v>17</v>
      </c>
      <c r="W427" s="117" t="s">
        <v>17</v>
      </c>
      <c r="X427" s="117" t="s">
        <v>17</v>
      </c>
      <c r="Y427" s="117" t="s">
        <v>17</v>
      </c>
      <c r="Z427" s="117" t="s">
        <v>17</v>
      </c>
      <c r="AA427" s="117" t="s">
        <v>17</v>
      </c>
      <c r="AB427" s="117" t="s">
        <v>17</v>
      </c>
      <c r="AC427" s="117" t="s">
        <v>3601</v>
      </c>
      <c r="AD427" s="10" t="s">
        <v>82</v>
      </c>
      <c r="AE427" s="6" t="s">
        <v>341</v>
      </c>
      <c r="AF427" s="117" t="s">
        <v>660</v>
      </c>
    </row>
    <row r="428" spans="1:32" ht="27.75" customHeight="1" x14ac:dyDescent="0.3">
      <c r="A428" s="188">
        <v>815997</v>
      </c>
      <c r="B428" s="188" t="s">
        <v>31</v>
      </c>
      <c r="C428" s="188" t="s">
        <v>3602</v>
      </c>
      <c r="D428" s="188" t="s">
        <v>36</v>
      </c>
      <c r="E428" s="189" t="s">
        <v>3603</v>
      </c>
      <c r="F428" s="188" t="s">
        <v>3604</v>
      </c>
      <c r="G428" s="9" t="s">
        <v>39</v>
      </c>
      <c r="H428" s="188" t="s">
        <v>3605</v>
      </c>
      <c r="I428" s="195" t="s">
        <v>3606</v>
      </c>
      <c r="J428" s="177" t="s">
        <v>34</v>
      </c>
      <c r="K428" s="177" t="s">
        <v>298</v>
      </c>
      <c r="L428" s="159" t="s">
        <v>3607</v>
      </c>
      <c r="M428" s="177" t="s">
        <v>17</v>
      </c>
      <c r="N428" s="196" t="s">
        <v>3608</v>
      </c>
      <c r="O428" s="177" t="s">
        <v>17</v>
      </c>
      <c r="P428" s="176" t="s">
        <v>17</v>
      </c>
      <c r="Q428" s="177" t="s">
        <v>17</v>
      </c>
      <c r="R428" s="6" t="s">
        <v>17</v>
      </c>
      <c r="S428" s="179" t="s">
        <v>17</v>
      </c>
      <c r="T428" s="179" t="s">
        <v>43</v>
      </c>
      <c r="U428" s="179" t="s">
        <v>17</v>
      </c>
      <c r="V428" s="179" t="s">
        <v>17</v>
      </c>
      <c r="W428" s="179" t="s">
        <v>17</v>
      </c>
      <c r="X428" s="179" t="s">
        <v>17</v>
      </c>
      <c r="Y428" s="179" t="s">
        <v>17</v>
      </c>
      <c r="Z428" s="180" t="s">
        <v>17</v>
      </c>
      <c r="AA428" s="180" t="s">
        <v>17</v>
      </c>
      <c r="AB428" s="191" t="s">
        <v>87</v>
      </c>
      <c r="AC428" s="197" t="s">
        <v>3609</v>
      </c>
      <c r="AD428" s="10" t="s">
        <v>82</v>
      </c>
      <c r="AE428" s="10" t="s">
        <v>17</v>
      </c>
      <c r="AF428" s="104" t="s">
        <v>3562</v>
      </c>
    </row>
    <row r="429" spans="1:32" ht="27.75" customHeight="1" x14ac:dyDescent="0.3">
      <c r="A429" s="206">
        <v>816895</v>
      </c>
      <c r="B429" s="192" t="s">
        <v>31</v>
      </c>
      <c r="C429" s="192" t="s">
        <v>3610</v>
      </c>
      <c r="D429" s="192" t="s">
        <v>36</v>
      </c>
      <c r="E429" s="192" t="s">
        <v>3611</v>
      </c>
      <c r="F429" s="192" t="s">
        <v>3612</v>
      </c>
      <c r="G429" s="192" t="s">
        <v>39</v>
      </c>
      <c r="H429" s="192" t="s">
        <v>3597</v>
      </c>
      <c r="I429" s="192" t="s">
        <v>3588</v>
      </c>
      <c r="J429" s="192" t="s">
        <v>34</v>
      </c>
      <c r="K429" s="192" t="s">
        <v>3427</v>
      </c>
      <c r="L429" s="192" t="s">
        <v>1727</v>
      </c>
      <c r="M429" s="192" t="s">
        <v>17</v>
      </c>
      <c r="N429" s="192" t="s">
        <v>3613</v>
      </c>
      <c r="O429" s="192" t="s">
        <v>17</v>
      </c>
      <c r="P429" s="192" t="s">
        <v>17</v>
      </c>
      <c r="Q429" s="192" t="s">
        <v>17</v>
      </c>
      <c r="R429" s="192" t="s">
        <v>1727</v>
      </c>
      <c r="S429" s="167" t="s">
        <v>3614</v>
      </c>
      <c r="T429" s="10" t="s">
        <v>51</v>
      </c>
      <c r="U429" s="192" t="s">
        <v>89</v>
      </c>
      <c r="V429" s="192" t="s">
        <v>17</v>
      </c>
      <c r="W429" s="192" t="s">
        <v>17</v>
      </c>
      <c r="X429" s="192" t="s">
        <v>17</v>
      </c>
      <c r="Y429" s="192" t="s">
        <v>17</v>
      </c>
      <c r="Z429" s="192" t="s">
        <v>17</v>
      </c>
      <c r="AA429" s="192" t="s">
        <v>17</v>
      </c>
      <c r="AB429" s="192" t="s">
        <v>17</v>
      </c>
      <c r="AC429" s="192" t="s">
        <v>3615</v>
      </c>
      <c r="AD429" s="10" t="s">
        <v>82</v>
      </c>
      <c r="AE429" s="6" t="s">
        <v>341</v>
      </c>
      <c r="AF429" s="104" t="s">
        <v>2270</v>
      </c>
    </row>
    <row r="430" spans="1:32" ht="27.75" customHeight="1" x14ac:dyDescent="0.3">
      <c r="A430" s="192" t="s">
        <v>3616</v>
      </c>
      <c r="B430" s="192" t="s">
        <v>31</v>
      </c>
      <c r="C430" s="207" t="s">
        <v>3617</v>
      </c>
      <c r="D430" s="192" t="s">
        <v>36</v>
      </c>
      <c r="E430" s="192" t="s">
        <v>3618</v>
      </c>
      <c r="F430" s="192" t="s">
        <v>3619</v>
      </c>
      <c r="G430" s="100" t="s">
        <v>33</v>
      </c>
      <c r="H430" s="192" t="s">
        <v>3620</v>
      </c>
      <c r="I430" s="192" t="s">
        <v>3621</v>
      </c>
      <c r="J430" s="192" t="s">
        <v>34</v>
      </c>
      <c r="K430" s="192" t="s">
        <v>781</v>
      </c>
      <c r="L430" s="192" t="s">
        <v>3622</v>
      </c>
      <c r="M430" s="192" t="s">
        <v>17</v>
      </c>
      <c r="N430" s="192" t="s">
        <v>3623</v>
      </c>
      <c r="O430" s="192" t="s">
        <v>3624</v>
      </c>
      <c r="P430" s="192" t="s">
        <v>17</v>
      </c>
      <c r="Q430" s="192" t="s">
        <v>17</v>
      </c>
      <c r="R430" s="193" t="s">
        <v>17</v>
      </c>
      <c r="S430" s="150" t="s">
        <v>3625</v>
      </c>
      <c r="T430" s="10" t="s">
        <v>59</v>
      </c>
      <c r="U430" s="192" t="s">
        <v>17</v>
      </c>
      <c r="V430" s="192" t="s">
        <v>17</v>
      </c>
      <c r="W430" s="192" t="s">
        <v>17</v>
      </c>
      <c r="X430" s="192" t="s">
        <v>17</v>
      </c>
      <c r="Y430" s="192" t="s">
        <v>17</v>
      </c>
      <c r="Z430" s="192" t="s">
        <v>17</v>
      </c>
      <c r="AA430" s="192" t="s">
        <v>17</v>
      </c>
      <c r="AB430" s="192" t="s">
        <v>17</v>
      </c>
      <c r="AC430" s="192" t="s">
        <v>3626</v>
      </c>
      <c r="AD430" s="10" t="s">
        <v>82</v>
      </c>
      <c r="AE430" s="6" t="s">
        <v>341</v>
      </c>
      <c r="AF430" s="192" t="s">
        <v>3627</v>
      </c>
    </row>
    <row r="431" spans="1:32" ht="27.75" customHeight="1" x14ac:dyDescent="0.3">
      <c r="A431" s="209">
        <v>827064</v>
      </c>
      <c r="B431" s="192" t="s">
        <v>31</v>
      </c>
      <c r="C431" s="192" t="s">
        <v>3628</v>
      </c>
      <c r="D431" s="192" t="s">
        <v>36</v>
      </c>
      <c r="E431" s="210">
        <v>45577</v>
      </c>
      <c r="F431" s="192" t="s">
        <v>3629</v>
      </c>
      <c r="G431" s="100" t="s">
        <v>33</v>
      </c>
      <c r="H431" s="192" t="s">
        <v>3630</v>
      </c>
      <c r="I431" s="192" t="s">
        <v>3631</v>
      </c>
      <c r="J431" s="192" t="s">
        <v>34</v>
      </c>
      <c r="K431" s="192" t="s">
        <v>781</v>
      </c>
      <c r="L431" s="192" t="s">
        <v>1727</v>
      </c>
      <c r="M431" s="192" t="s">
        <v>17</v>
      </c>
      <c r="N431" s="192" t="s">
        <v>3632</v>
      </c>
      <c r="O431" s="192" t="s">
        <v>3633</v>
      </c>
      <c r="P431" s="192" t="s">
        <v>17</v>
      </c>
      <c r="Q431" s="192" t="s">
        <v>17</v>
      </c>
      <c r="R431" s="192" t="s">
        <v>98</v>
      </c>
      <c r="S431" s="211" t="s">
        <v>3634</v>
      </c>
      <c r="T431" s="192" t="s">
        <v>55</v>
      </c>
      <c r="U431" s="192" t="s">
        <v>17</v>
      </c>
      <c r="V431" s="192" t="s">
        <v>17</v>
      </c>
      <c r="W431" s="192" t="s">
        <v>17</v>
      </c>
      <c r="X431" s="192" t="s">
        <v>17</v>
      </c>
      <c r="Y431" s="192" t="s">
        <v>17</v>
      </c>
      <c r="Z431" s="192" t="s">
        <v>17</v>
      </c>
      <c r="AA431" s="192" t="s">
        <v>17</v>
      </c>
      <c r="AB431" s="192" t="s">
        <v>17</v>
      </c>
      <c r="AC431" s="192" t="s">
        <v>3635</v>
      </c>
      <c r="AD431" s="10" t="s">
        <v>82</v>
      </c>
      <c r="AE431" s="6" t="s">
        <v>341</v>
      </c>
      <c r="AF431" s="192" t="s">
        <v>3627</v>
      </c>
    </row>
    <row r="432" spans="1:32" ht="27.75" customHeight="1" x14ac:dyDescent="0.3">
      <c r="A432" s="209" t="s">
        <v>115</v>
      </c>
      <c r="B432" s="192" t="s">
        <v>31</v>
      </c>
      <c r="C432" s="192" t="s">
        <v>3636</v>
      </c>
      <c r="D432" s="192" t="s">
        <v>36</v>
      </c>
      <c r="E432" s="210" t="s">
        <v>3637</v>
      </c>
      <c r="F432" s="192" t="s">
        <v>3638</v>
      </c>
      <c r="G432" s="100" t="s">
        <v>33</v>
      </c>
      <c r="H432" s="192" t="s">
        <v>3639</v>
      </c>
      <c r="I432" s="192" t="s">
        <v>3640</v>
      </c>
      <c r="J432" s="192" t="s">
        <v>34</v>
      </c>
      <c r="K432" s="192" t="s">
        <v>781</v>
      </c>
      <c r="L432" s="192" t="s">
        <v>3641</v>
      </c>
      <c r="M432" s="192" t="s">
        <v>17</v>
      </c>
      <c r="N432" s="209" t="s">
        <v>3642</v>
      </c>
      <c r="O432" s="192" t="s">
        <v>3643</v>
      </c>
      <c r="P432" s="192" t="s">
        <v>17</v>
      </c>
      <c r="Q432" s="192" t="s">
        <v>17</v>
      </c>
      <c r="R432" s="193" t="s">
        <v>81</v>
      </c>
      <c r="S432" s="150">
        <v>1816</v>
      </c>
      <c r="T432" s="10" t="s">
        <v>68</v>
      </c>
      <c r="U432" s="192" t="s">
        <v>17</v>
      </c>
      <c r="V432" s="192" t="s">
        <v>17</v>
      </c>
      <c r="W432" s="192" t="s">
        <v>17</v>
      </c>
      <c r="X432" s="192" t="s">
        <v>17</v>
      </c>
      <c r="Y432" s="192" t="s">
        <v>17</v>
      </c>
      <c r="Z432" s="192" t="s">
        <v>17</v>
      </c>
      <c r="AA432" s="192" t="s">
        <v>17</v>
      </c>
      <c r="AB432" s="192" t="s">
        <v>17</v>
      </c>
      <c r="AC432" s="212" t="s">
        <v>3644</v>
      </c>
      <c r="AD432" s="10" t="s">
        <v>82</v>
      </c>
      <c r="AE432" s="6" t="s">
        <v>341</v>
      </c>
      <c r="AF432" s="192" t="s">
        <v>2333</v>
      </c>
    </row>
    <row r="433" spans="1:32" ht="27.75" customHeight="1" x14ac:dyDescent="0.3">
      <c r="A433" s="7">
        <v>791193</v>
      </c>
      <c r="B433" s="7" t="s">
        <v>31</v>
      </c>
      <c r="C433" s="7" t="s">
        <v>3645</v>
      </c>
      <c r="D433" s="7" t="s">
        <v>36</v>
      </c>
      <c r="E433" s="30">
        <v>43781</v>
      </c>
      <c r="F433" s="7" t="s">
        <v>3646</v>
      </c>
      <c r="G433" s="16" t="s">
        <v>39</v>
      </c>
      <c r="H433" s="7" t="s">
        <v>3647</v>
      </c>
      <c r="I433" s="7" t="s">
        <v>3648</v>
      </c>
      <c r="J433" s="46" t="s">
        <v>3649</v>
      </c>
      <c r="K433" s="7" t="s">
        <v>327</v>
      </c>
      <c r="L433" s="7" t="s">
        <v>3650</v>
      </c>
      <c r="M433" s="7" t="s">
        <v>17</v>
      </c>
      <c r="N433" s="36" t="s">
        <v>3651</v>
      </c>
      <c r="O433" s="7" t="s">
        <v>3652</v>
      </c>
      <c r="P433" s="32" t="s">
        <v>17</v>
      </c>
      <c r="Q433" s="32" t="s">
        <v>17</v>
      </c>
      <c r="R433" s="32" t="s">
        <v>17</v>
      </c>
      <c r="S433" s="213" t="s">
        <v>339</v>
      </c>
      <c r="T433" s="6" t="s">
        <v>157</v>
      </c>
      <c r="U433" s="33" t="s">
        <v>17</v>
      </c>
      <c r="V433" s="32" t="s">
        <v>17</v>
      </c>
      <c r="W433" s="37" t="s">
        <v>17</v>
      </c>
      <c r="X433" s="33" t="s">
        <v>17</v>
      </c>
      <c r="Y433" s="32" t="s">
        <v>17</v>
      </c>
      <c r="Z433" s="44" t="s">
        <v>17</v>
      </c>
      <c r="AA433" s="44" t="s">
        <v>17</v>
      </c>
      <c r="AB433" s="32" t="s">
        <v>17</v>
      </c>
      <c r="AC433" s="35" t="s">
        <v>3653</v>
      </c>
      <c r="AD433" s="10" t="s">
        <v>82</v>
      </c>
      <c r="AE433" s="10" t="s">
        <v>439</v>
      </c>
      <c r="AF433" s="46" t="s">
        <v>2333</v>
      </c>
    </row>
    <row r="434" spans="1:32" ht="27.75" customHeight="1" x14ac:dyDescent="0.3">
      <c r="A434" s="23">
        <v>729523</v>
      </c>
      <c r="B434" s="23" t="s">
        <v>31</v>
      </c>
      <c r="C434" s="23" t="s">
        <v>3405</v>
      </c>
      <c r="D434" s="23" t="s">
        <v>36</v>
      </c>
      <c r="E434" s="23" t="s">
        <v>3406</v>
      </c>
      <c r="F434" s="23" t="s">
        <v>3654</v>
      </c>
      <c r="G434" s="16" t="s">
        <v>39</v>
      </c>
      <c r="H434" s="6" t="s">
        <v>904</v>
      </c>
      <c r="I434" s="23" t="s">
        <v>3655</v>
      </c>
      <c r="J434" s="23" t="s">
        <v>116</v>
      </c>
      <c r="K434" s="23" t="s">
        <v>3656</v>
      </c>
      <c r="L434" s="214" t="s">
        <v>35</v>
      </c>
      <c r="M434" s="7" t="s">
        <v>17</v>
      </c>
      <c r="N434" s="39" t="s">
        <v>3657</v>
      </c>
      <c r="O434" s="23" t="s">
        <v>3658</v>
      </c>
      <c r="P434" s="6" t="s">
        <v>17</v>
      </c>
      <c r="Q434" s="6" t="s">
        <v>17</v>
      </c>
      <c r="R434" s="6" t="s">
        <v>35</v>
      </c>
      <c r="S434" s="35" t="s">
        <v>339</v>
      </c>
      <c r="T434" s="10" t="s">
        <v>51</v>
      </c>
      <c r="U434" s="23" t="s">
        <v>17</v>
      </c>
      <c r="V434" s="23" t="s">
        <v>17</v>
      </c>
      <c r="W434" s="23" t="s">
        <v>17</v>
      </c>
      <c r="X434" s="23" t="s">
        <v>17</v>
      </c>
      <c r="Y434" s="23" t="s">
        <v>17</v>
      </c>
      <c r="Z434" s="32" t="s">
        <v>17</v>
      </c>
      <c r="AA434" s="32" t="s">
        <v>17</v>
      </c>
      <c r="AB434" s="32" t="s">
        <v>17</v>
      </c>
      <c r="AC434" s="23" t="s">
        <v>3659</v>
      </c>
      <c r="AD434" s="10" t="s">
        <v>82</v>
      </c>
      <c r="AE434" s="23" t="s">
        <v>439</v>
      </c>
      <c r="AF434" s="23" t="s">
        <v>2333</v>
      </c>
    </row>
    <row r="435" spans="1:32" ht="27.75" customHeight="1" x14ac:dyDescent="0.3">
      <c r="A435" s="7">
        <v>271268</v>
      </c>
      <c r="B435" s="7" t="s">
        <v>31</v>
      </c>
      <c r="C435" s="7" t="s">
        <v>2821</v>
      </c>
      <c r="D435" s="61" t="s">
        <v>36</v>
      </c>
      <c r="E435" s="62">
        <v>39902</v>
      </c>
      <c r="F435" s="65" t="s">
        <v>2891</v>
      </c>
      <c r="G435" s="9" t="s">
        <v>39</v>
      </c>
      <c r="H435" s="66" t="s">
        <v>3660</v>
      </c>
      <c r="I435" s="66" t="s">
        <v>3661</v>
      </c>
      <c r="J435" s="66" t="s">
        <v>34</v>
      </c>
      <c r="K435" s="7" t="s">
        <v>298</v>
      </c>
      <c r="L435" s="66" t="s">
        <v>81</v>
      </c>
      <c r="M435" s="67" t="s">
        <v>17</v>
      </c>
      <c r="N435" s="68" t="s">
        <v>3662</v>
      </c>
      <c r="O435" s="10" t="s">
        <v>2827</v>
      </c>
      <c r="P435" s="10" t="s">
        <v>17</v>
      </c>
      <c r="Q435" s="10" t="s">
        <v>17</v>
      </c>
      <c r="R435" s="10" t="s">
        <v>17</v>
      </c>
      <c r="S435" s="69" t="s">
        <v>3663</v>
      </c>
      <c r="T435" s="10" t="s">
        <v>41</v>
      </c>
      <c r="U435" s="69" t="s">
        <v>117</v>
      </c>
      <c r="V435" s="10" t="s">
        <v>17</v>
      </c>
      <c r="W435" s="10" t="s">
        <v>17</v>
      </c>
      <c r="X435" s="10" t="s">
        <v>17</v>
      </c>
      <c r="Y435" s="10" t="s">
        <v>17</v>
      </c>
      <c r="Z435" s="180">
        <v>43689</v>
      </c>
      <c r="AA435" s="10" t="s">
        <v>3664</v>
      </c>
      <c r="AB435" s="11" t="s">
        <v>17</v>
      </c>
      <c r="AC435" s="11" t="s">
        <v>3665</v>
      </c>
      <c r="AD435" s="10" t="s">
        <v>82</v>
      </c>
      <c r="AE435" s="10" t="s">
        <v>439</v>
      </c>
      <c r="AF435" s="10" t="s">
        <v>546</v>
      </c>
    </row>
    <row r="436" spans="1:32" ht="27.75" customHeight="1" x14ac:dyDescent="0.3">
      <c r="A436" s="7">
        <v>707444</v>
      </c>
      <c r="B436" s="7" t="s">
        <v>31</v>
      </c>
      <c r="C436" s="7" t="s">
        <v>3666</v>
      </c>
      <c r="D436" s="61" t="s">
        <v>36</v>
      </c>
      <c r="E436" s="62">
        <v>39902</v>
      </c>
      <c r="F436" s="65" t="s">
        <v>3667</v>
      </c>
      <c r="G436" s="9" t="s">
        <v>39</v>
      </c>
      <c r="H436" s="66" t="s">
        <v>3668</v>
      </c>
      <c r="I436" s="66" t="s">
        <v>3669</v>
      </c>
      <c r="J436" s="66" t="s">
        <v>34</v>
      </c>
      <c r="K436" s="7" t="s">
        <v>298</v>
      </c>
      <c r="L436" s="66" t="s">
        <v>81</v>
      </c>
      <c r="M436" s="67" t="s">
        <v>17</v>
      </c>
      <c r="N436" s="68" t="s">
        <v>3670</v>
      </c>
      <c r="O436" s="10" t="s">
        <v>3671</v>
      </c>
      <c r="P436" s="10" t="s">
        <v>17</v>
      </c>
      <c r="Q436" s="10" t="s">
        <v>17</v>
      </c>
      <c r="R436" s="10" t="s">
        <v>17</v>
      </c>
      <c r="S436" s="69" t="s">
        <v>3332</v>
      </c>
      <c r="T436" s="10" t="s">
        <v>41</v>
      </c>
      <c r="U436" s="33" t="s">
        <v>17</v>
      </c>
      <c r="V436" s="33" t="s">
        <v>17</v>
      </c>
      <c r="W436" s="10" t="s">
        <v>17</v>
      </c>
      <c r="X436" s="10" t="s">
        <v>17</v>
      </c>
      <c r="Y436" s="10" t="s">
        <v>17</v>
      </c>
      <c r="Z436" s="69" t="s">
        <v>3672</v>
      </c>
      <c r="AA436" s="10" t="s">
        <v>3673</v>
      </c>
      <c r="AB436" s="11" t="s">
        <v>17</v>
      </c>
      <c r="AC436" s="11" t="s">
        <v>3665</v>
      </c>
      <c r="AD436" s="10" t="s">
        <v>82</v>
      </c>
      <c r="AE436" s="6" t="s">
        <v>341</v>
      </c>
      <c r="AF436" s="10" t="s">
        <v>546</v>
      </c>
    </row>
  </sheetData>
  <autoFilter ref="B1:AF436" xr:uid="{2A7762BD-A9ED-4BA3-8E1B-5FDD837B28CC}"/>
  <sortState ref="A2:AH281">
    <sortCondition ref="S2:S281"/>
  </sortState>
  <dataValidations count="3">
    <dataValidation type="list" allowBlank="1" showInputMessage="1" showErrorMessage="1" sqref="D115" xr:uid="{8341491E-BA0E-4983-86E2-8E7EC9E28B93}">
      <formula1>$E$65239:$E$65265</formula1>
    </dataValidation>
    <dataValidation type="list" allowBlank="1" showInputMessage="1" showErrorMessage="1" sqref="G2" xr:uid="{75315464-B028-6248-B5B5-4F2F1892EBCB}">
      <formula1>$G$2:$G$320</formula1>
    </dataValidation>
    <dataValidation type="list" allowBlank="1" showInputMessage="1" showErrorMessage="1" sqref="J2:J3" xr:uid="{BFD3AC65-C7F7-2F47-B8FE-160FB86F7B83}">
      <formula1>$J$3:$J$320</formula1>
    </dataValidation>
  </dataValidations>
  <hyperlinks>
    <hyperlink ref="A132" r:id="rId1" tooltip="ver detalle del Proceso No. 2019-00369" display="javascript:abrirVentana('../procesos/detalle_proceso.jsp?idProceso=600630&amp;noProceso=2019-00369&amp;despacho=JUZGADO%2013%20CIVIL%20DEL%20CIRCUITO%20%20DE%20ORALIDAD%20DE%20BOGOT%C3%81&amp;fecha=2018-08-13&amp;instancia=1');" xr:uid="{989B9566-8FFF-44A3-9853-FE584747936E}"/>
  </hyperlinks>
  <pageMargins left="0.25" right="0.25" top="0.75" bottom="0.75" header="0.3" footer="0.3"/>
  <pageSetup paperSize="9" fitToWidth="0" fitToHeight="0"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520BDC9C-9359-DF49-8451-6F950CE4E850}">
          <x14:formula1>
            <xm:f>Tablas!#REF!</xm:f>
          </x14:formula1>
          <xm:sqref>K1:K1048576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3B3D-A15D-43BE-BAEF-8D4B88D09BCB}">
  <sheetPr codeName="Hoja5"/>
  <dimension ref="A1:AJ121"/>
  <sheetViews>
    <sheetView topLeftCell="A5" zoomScale="70" zoomScaleNormal="70" workbookViewId="0">
      <selection activeCell="G9" sqref="G9"/>
    </sheetView>
  </sheetViews>
  <sheetFormatPr baseColWidth="10" defaultColWidth="11.42578125" defaultRowHeight="14.25" x14ac:dyDescent="0.3"/>
  <cols>
    <col min="1" max="1" width="15.140625" style="103" customWidth="1"/>
    <col min="2" max="2" width="18.28515625" style="3" customWidth="1"/>
    <col min="3" max="3" width="29.28515625" style="3" customWidth="1"/>
    <col min="4" max="4" width="21" style="3" customWidth="1"/>
    <col min="5" max="5" width="28.42578125" style="3" customWidth="1"/>
    <col min="6" max="6" width="39.28515625" style="3" customWidth="1"/>
    <col min="7" max="7" width="29.140625" style="3" customWidth="1"/>
    <col min="8" max="8" width="28.42578125" style="3" customWidth="1"/>
    <col min="9" max="9" width="48" style="3" customWidth="1"/>
    <col min="10" max="10" width="20.42578125" style="3" customWidth="1"/>
    <col min="11" max="11" width="21.85546875" style="3" customWidth="1"/>
    <col min="12" max="12" width="39.28515625" style="3" customWidth="1"/>
    <col min="13" max="13" width="17.42578125" style="3" customWidth="1"/>
    <col min="14" max="14" width="76" style="3" customWidth="1"/>
    <col min="15" max="15" width="22.42578125" style="3" customWidth="1"/>
    <col min="16" max="16" width="20.28515625" style="3" customWidth="1"/>
    <col min="17" max="17" width="18.42578125" style="3" customWidth="1"/>
    <col min="18" max="18" width="19.85546875" style="3" customWidth="1"/>
    <col min="19" max="19" width="25.85546875" style="3" customWidth="1"/>
    <col min="20" max="20" width="21.85546875" style="3" customWidth="1"/>
    <col min="21" max="21" width="16.7109375" style="3" customWidth="1"/>
    <col min="22" max="22" width="20.85546875" style="3" customWidth="1"/>
    <col min="23" max="23" width="22.42578125" style="3" customWidth="1"/>
    <col min="24" max="24" width="19.7109375" style="3" customWidth="1"/>
    <col min="25" max="25" width="18.42578125" style="3" customWidth="1"/>
    <col min="26" max="26" width="20.140625" style="3" customWidth="1"/>
    <col min="27" max="27" width="20.28515625" style="3" customWidth="1"/>
    <col min="28" max="28" width="24.140625" style="216" customWidth="1"/>
    <col min="29" max="29" width="104.42578125" style="216" customWidth="1"/>
    <col min="30" max="31" width="19.7109375" style="3" customWidth="1"/>
    <col min="32" max="32" width="38" style="3" customWidth="1"/>
    <col min="33" max="16384" width="11.42578125" style="3"/>
  </cols>
  <sheetData>
    <row r="1" spans="1:33" hidden="1" x14ac:dyDescent="0.3">
      <c r="A1" s="895" t="s">
        <v>3674</v>
      </c>
      <c r="B1" s="896"/>
      <c r="C1" s="896"/>
      <c r="D1" s="896"/>
      <c r="E1" s="896"/>
      <c r="F1" s="896"/>
      <c r="G1" s="896"/>
      <c r="H1" s="896"/>
      <c r="I1" s="896"/>
      <c r="J1" s="896"/>
      <c r="K1" s="896"/>
      <c r="L1" s="896"/>
      <c r="M1" s="896"/>
      <c r="N1" s="896"/>
      <c r="O1" s="896"/>
      <c r="P1" s="896"/>
      <c r="Q1" s="896"/>
      <c r="R1" s="896"/>
      <c r="S1" s="896"/>
      <c r="T1" s="896"/>
      <c r="U1" s="896"/>
      <c r="V1" s="896"/>
      <c r="W1" s="896"/>
      <c r="X1" s="896"/>
      <c r="Y1" s="896"/>
      <c r="Z1" s="896"/>
      <c r="AA1" s="896"/>
      <c r="AB1" s="896"/>
      <c r="AC1" s="896"/>
      <c r="AD1" s="896"/>
      <c r="AE1" s="896"/>
      <c r="AF1" s="897"/>
    </row>
    <row r="2" spans="1:33" hidden="1" x14ac:dyDescent="0.3">
      <c r="A2" s="898" t="s">
        <v>3675</v>
      </c>
      <c r="B2" s="898"/>
      <c r="C2" s="898"/>
      <c r="D2" s="898"/>
      <c r="E2" s="898"/>
      <c r="F2" s="898"/>
      <c r="G2" s="898"/>
      <c r="H2" s="898"/>
      <c r="I2" s="898"/>
      <c r="J2" s="898"/>
      <c r="K2" s="898"/>
      <c r="L2" s="898"/>
      <c r="M2" s="898"/>
      <c r="N2" s="898"/>
      <c r="O2" s="898"/>
      <c r="P2" s="898"/>
      <c r="Q2" s="898"/>
      <c r="R2" s="898"/>
      <c r="S2" s="898"/>
      <c r="T2" s="898"/>
      <c r="U2" s="898"/>
      <c r="V2" s="898"/>
      <c r="W2" s="898"/>
      <c r="X2" s="898"/>
      <c r="Y2" s="898"/>
      <c r="Z2" s="898"/>
      <c r="AA2" s="898"/>
      <c r="AB2" s="898"/>
      <c r="AC2" s="898"/>
      <c r="AD2" s="898"/>
      <c r="AE2" s="898"/>
      <c r="AF2" s="898"/>
      <c r="AG2" s="4"/>
    </row>
    <row r="3" spans="1:33" hidden="1" x14ac:dyDescent="0.3">
      <c r="A3" s="898" t="s">
        <v>3676</v>
      </c>
      <c r="B3" s="898"/>
      <c r="C3" s="898"/>
      <c r="D3" s="898"/>
      <c r="E3" s="898"/>
      <c r="F3" s="898"/>
      <c r="G3" s="898"/>
      <c r="H3" s="898"/>
      <c r="I3" s="898"/>
      <c r="J3" s="898"/>
      <c r="K3" s="898"/>
      <c r="L3" s="898"/>
      <c r="M3" s="898"/>
      <c r="N3" s="898"/>
      <c r="O3" s="898"/>
      <c r="P3" s="898"/>
      <c r="Q3" s="898"/>
      <c r="R3" s="898"/>
      <c r="S3" s="898"/>
      <c r="T3" s="898"/>
      <c r="U3" s="898"/>
      <c r="V3" s="898"/>
      <c r="W3" s="898"/>
      <c r="X3" s="898"/>
      <c r="Y3" s="898"/>
      <c r="Z3" s="898"/>
      <c r="AA3" s="898"/>
      <c r="AB3" s="898"/>
      <c r="AC3" s="898"/>
      <c r="AD3" s="898"/>
      <c r="AE3" s="898"/>
      <c r="AF3" s="898"/>
      <c r="AG3" s="5"/>
    </row>
    <row r="4" spans="1:33" hidden="1" x14ac:dyDescent="0.3">
      <c r="A4" s="898" t="s">
        <v>3677</v>
      </c>
      <c r="B4" s="898"/>
      <c r="C4" s="898"/>
      <c r="D4" s="898"/>
      <c r="E4" s="898"/>
      <c r="F4" s="898"/>
      <c r="G4" s="898"/>
      <c r="H4" s="898"/>
      <c r="I4" s="898"/>
      <c r="J4" s="898"/>
      <c r="K4" s="898"/>
      <c r="L4" s="898"/>
      <c r="M4" s="898"/>
      <c r="N4" s="898"/>
      <c r="O4" s="898"/>
      <c r="P4" s="898"/>
      <c r="Q4" s="898"/>
      <c r="R4" s="898"/>
      <c r="S4" s="898"/>
      <c r="T4" s="898"/>
      <c r="U4" s="898"/>
      <c r="V4" s="898"/>
      <c r="W4" s="898"/>
      <c r="X4" s="898"/>
      <c r="Y4" s="898"/>
      <c r="Z4" s="898"/>
      <c r="AA4" s="898"/>
      <c r="AB4" s="898"/>
      <c r="AC4" s="898"/>
      <c r="AD4" s="898"/>
      <c r="AE4" s="898"/>
      <c r="AF4" s="898"/>
      <c r="AG4" s="5"/>
    </row>
    <row r="5" spans="1:33" s="666" customFormat="1" ht="81" x14ac:dyDescent="0.3">
      <c r="A5" s="657" t="s">
        <v>3678</v>
      </c>
      <c r="B5" s="657" t="s">
        <v>262</v>
      </c>
      <c r="C5" s="657" t="s">
        <v>3679</v>
      </c>
      <c r="D5" s="657" t="s">
        <v>264</v>
      </c>
      <c r="E5" s="657" t="s">
        <v>3680</v>
      </c>
      <c r="F5" s="657" t="s">
        <v>266</v>
      </c>
      <c r="G5" s="657" t="s">
        <v>267</v>
      </c>
      <c r="H5" s="657" t="s">
        <v>268</v>
      </c>
      <c r="I5" s="657" t="s">
        <v>269</v>
      </c>
      <c r="J5" s="657" t="s">
        <v>270</v>
      </c>
      <c r="K5" s="657" t="s">
        <v>271</v>
      </c>
      <c r="L5" s="658" t="s">
        <v>272</v>
      </c>
      <c r="M5" s="657" t="s">
        <v>273</v>
      </c>
      <c r="N5" s="657" t="s">
        <v>274</v>
      </c>
      <c r="O5" s="657" t="s">
        <v>275</v>
      </c>
      <c r="P5" s="659" t="s">
        <v>276</v>
      </c>
      <c r="Q5" s="659" t="s">
        <v>277</v>
      </c>
      <c r="R5" s="659" t="s">
        <v>278</v>
      </c>
      <c r="S5" s="660" t="s">
        <v>279</v>
      </c>
      <c r="T5" s="659" t="s">
        <v>280</v>
      </c>
      <c r="U5" s="661" t="s">
        <v>281</v>
      </c>
      <c r="V5" s="659" t="s">
        <v>282</v>
      </c>
      <c r="W5" s="662" t="s">
        <v>283</v>
      </c>
      <c r="X5" s="661" t="s">
        <v>284</v>
      </c>
      <c r="Y5" s="659" t="s">
        <v>285</v>
      </c>
      <c r="Z5" s="663" t="s">
        <v>286</v>
      </c>
      <c r="AA5" s="663" t="s">
        <v>287</v>
      </c>
      <c r="AB5" s="664" t="s">
        <v>288</v>
      </c>
      <c r="AC5" s="664" t="s">
        <v>289</v>
      </c>
      <c r="AD5" s="659" t="s">
        <v>290</v>
      </c>
      <c r="AE5" s="659" t="s">
        <v>291</v>
      </c>
      <c r="AF5" s="657" t="s">
        <v>292</v>
      </c>
      <c r="AG5" s="665"/>
    </row>
    <row r="6" spans="1:33" ht="156.75" x14ac:dyDescent="0.3">
      <c r="A6" s="6">
        <v>31038</v>
      </c>
      <c r="B6" s="6" t="s">
        <v>31</v>
      </c>
      <c r="C6" s="6" t="s">
        <v>2706</v>
      </c>
      <c r="D6" s="7" t="s">
        <v>32</v>
      </c>
      <c r="E6" s="8">
        <v>37222</v>
      </c>
      <c r="F6" s="6" t="s">
        <v>2707</v>
      </c>
      <c r="G6" s="9" t="s">
        <v>33</v>
      </c>
      <c r="H6" s="6" t="s">
        <v>2708</v>
      </c>
      <c r="I6" s="6" t="s">
        <v>2709</v>
      </c>
      <c r="J6" s="6" t="s">
        <v>34</v>
      </c>
      <c r="K6" s="6" t="s">
        <v>2710</v>
      </c>
      <c r="L6" s="6" t="s">
        <v>2711</v>
      </c>
      <c r="M6" s="6" t="s">
        <v>23</v>
      </c>
      <c r="N6" s="6" t="s">
        <v>2712</v>
      </c>
      <c r="O6" s="6" t="s">
        <v>2713</v>
      </c>
      <c r="P6" s="10" t="s">
        <v>23</v>
      </c>
      <c r="Q6" s="10" t="s">
        <v>23</v>
      </c>
      <c r="R6" s="10" t="s">
        <v>45</v>
      </c>
      <c r="S6" s="11" t="s">
        <v>2714</v>
      </c>
      <c r="T6" s="10" t="s">
        <v>18</v>
      </c>
      <c r="U6" s="12">
        <v>10445</v>
      </c>
      <c r="V6" s="10" t="s">
        <v>23</v>
      </c>
      <c r="W6" s="10" t="s">
        <v>23</v>
      </c>
      <c r="X6" s="10" t="s">
        <v>23</v>
      </c>
      <c r="Y6" s="10" t="s">
        <v>23</v>
      </c>
      <c r="Z6" s="13">
        <v>38058</v>
      </c>
      <c r="AA6" s="13">
        <v>39383</v>
      </c>
      <c r="AB6" s="11" t="s">
        <v>2715</v>
      </c>
      <c r="AC6" s="11" t="s">
        <v>2716</v>
      </c>
      <c r="AD6" s="10" t="s">
        <v>22</v>
      </c>
      <c r="AE6" s="10" t="s">
        <v>2717</v>
      </c>
      <c r="AF6" s="6" t="s">
        <v>546</v>
      </c>
      <c r="AG6" s="14"/>
    </row>
    <row r="7" spans="1:33" ht="128.25" x14ac:dyDescent="0.3">
      <c r="A7" s="6">
        <v>167094</v>
      </c>
      <c r="B7" s="6" t="s">
        <v>31</v>
      </c>
      <c r="C7" s="6" t="s">
        <v>2718</v>
      </c>
      <c r="D7" s="7" t="s">
        <v>36</v>
      </c>
      <c r="E7" s="8">
        <v>37193</v>
      </c>
      <c r="F7" s="6" t="s">
        <v>2719</v>
      </c>
      <c r="G7" s="9" t="s">
        <v>33</v>
      </c>
      <c r="H7" s="6" t="s">
        <v>2720</v>
      </c>
      <c r="I7" s="6" t="s">
        <v>2721</v>
      </c>
      <c r="J7" s="6" t="s">
        <v>34</v>
      </c>
      <c r="K7" s="6" t="s">
        <v>2722</v>
      </c>
      <c r="L7" s="6" t="s">
        <v>2711</v>
      </c>
      <c r="M7" s="6" t="s">
        <v>23</v>
      </c>
      <c r="N7" s="6" t="s">
        <v>2723</v>
      </c>
      <c r="O7" s="6" t="s">
        <v>2724</v>
      </c>
      <c r="P7" s="10" t="s">
        <v>23</v>
      </c>
      <c r="Q7" s="10" t="s">
        <v>23</v>
      </c>
      <c r="R7" s="10" t="s">
        <v>37</v>
      </c>
      <c r="S7" s="15">
        <v>3296</v>
      </c>
      <c r="T7" s="10" t="s">
        <v>38</v>
      </c>
      <c r="U7" s="12">
        <v>2739</v>
      </c>
      <c r="V7" s="10" t="s">
        <v>23</v>
      </c>
      <c r="W7" s="10" t="s">
        <v>23</v>
      </c>
      <c r="X7" s="10" t="s">
        <v>23</v>
      </c>
      <c r="Y7" s="10" t="s">
        <v>23</v>
      </c>
      <c r="Z7" s="13">
        <v>37379</v>
      </c>
      <c r="AA7" s="13">
        <v>37463</v>
      </c>
      <c r="AB7" s="11" t="s">
        <v>2725</v>
      </c>
      <c r="AC7" s="11" t="s">
        <v>2726</v>
      </c>
      <c r="AD7" s="10" t="s">
        <v>22</v>
      </c>
      <c r="AE7" s="10" t="s">
        <v>341</v>
      </c>
      <c r="AF7" s="6" t="s">
        <v>600</v>
      </c>
      <c r="AG7" s="5"/>
    </row>
    <row r="8" spans="1:33" ht="159" customHeight="1" x14ac:dyDescent="0.3">
      <c r="A8" s="6">
        <v>10886</v>
      </c>
      <c r="B8" s="6" t="s">
        <v>31</v>
      </c>
      <c r="C8" s="6" t="s">
        <v>2727</v>
      </c>
      <c r="D8" s="7" t="s">
        <v>36</v>
      </c>
      <c r="E8" s="8">
        <v>37245</v>
      </c>
      <c r="F8" s="6" t="s">
        <v>295</v>
      </c>
      <c r="G8" s="16" t="s">
        <v>39</v>
      </c>
      <c r="H8" s="6" t="s">
        <v>2728</v>
      </c>
      <c r="I8" s="6" t="s">
        <v>2729</v>
      </c>
      <c r="J8" s="6" t="s">
        <v>34</v>
      </c>
      <c r="K8" s="6" t="s">
        <v>2722</v>
      </c>
      <c r="L8" s="6" t="s">
        <v>2730</v>
      </c>
      <c r="M8" s="6" t="s">
        <v>23</v>
      </c>
      <c r="N8" s="6" t="s">
        <v>2731</v>
      </c>
      <c r="O8" s="6" t="s">
        <v>2732</v>
      </c>
      <c r="P8" s="10" t="s">
        <v>862</v>
      </c>
      <c r="Q8" s="10" t="s">
        <v>23</v>
      </c>
      <c r="R8" s="10" t="s">
        <v>40</v>
      </c>
      <c r="S8" s="15" t="s">
        <v>2733</v>
      </c>
      <c r="T8" s="10" t="s">
        <v>41</v>
      </c>
      <c r="U8" s="12" t="s">
        <v>23</v>
      </c>
      <c r="V8" s="10" t="s">
        <v>23</v>
      </c>
      <c r="W8" s="10" t="s">
        <v>23</v>
      </c>
      <c r="X8" s="10" t="s">
        <v>23</v>
      </c>
      <c r="Y8" s="10" t="s">
        <v>23</v>
      </c>
      <c r="Z8" s="13">
        <v>37971</v>
      </c>
      <c r="AA8" s="13">
        <v>38883</v>
      </c>
      <c r="AB8" s="11" t="s">
        <v>2725</v>
      </c>
      <c r="AC8" s="11" t="s">
        <v>2734</v>
      </c>
      <c r="AD8" s="10" t="s">
        <v>22</v>
      </c>
      <c r="AE8" s="10" t="s">
        <v>439</v>
      </c>
      <c r="AF8" s="6" t="s">
        <v>2735</v>
      </c>
      <c r="AG8" s="14"/>
    </row>
    <row r="9" spans="1:33" ht="128.25" x14ac:dyDescent="0.3">
      <c r="A9" s="6">
        <v>12622</v>
      </c>
      <c r="B9" s="6" t="s">
        <v>31</v>
      </c>
      <c r="C9" s="6" t="s">
        <v>2736</v>
      </c>
      <c r="D9" s="7" t="s">
        <v>36</v>
      </c>
      <c r="E9" s="8">
        <v>37672</v>
      </c>
      <c r="F9" s="6" t="s">
        <v>2737</v>
      </c>
      <c r="G9" s="9" t="s">
        <v>33</v>
      </c>
      <c r="H9" s="6" t="s">
        <v>2738</v>
      </c>
      <c r="I9" s="6" t="s">
        <v>2739</v>
      </c>
      <c r="J9" s="6" t="s">
        <v>34</v>
      </c>
      <c r="K9" s="6" t="s">
        <v>2722</v>
      </c>
      <c r="L9" s="6" t="s">
        <v>2740</v>
      </c>
      <c r="M9" s="6" t="s">
        <v>23</v>
      </c>
      <c r="N9" s="6" t="s">
        <v>2741</v>
      </c>
      <c r="O9" s="6" t="s">
        <v>2742</v>
      </c>
      <c r="P9" s="10" t="s">
        <v>23</v>
      </c>
      <c r="Q9" s="10" t="s">
        <v>23</v>
      </c>
      <c r="R9" s="10" t="s">
        <v>42</v>
      </c>
      <c r="S9" s="15">
        <v>2925</v>
      </c>
      <c r="T9" s="10" t="s">
        <v>43</v>
      </c>
      <c r="U9" s="12">
        <v>10465</v>
      </c>
      <c r="V9" s="10" t="s">
        <v>23</v>
      </c>
      <c r="W9" s="10" t="s">
        <v>23</v>
      </c>
      <c r="X9" s="10" t="s">
        <v>23</v>
      </c>
      <c r="Y9" s="10" t="s">
        <v>23</v>
      </c>
      <c r="Z9" s="13">
        <v>38408</v>
      </c>
      <c r="AA9" s="13">
        <v>40143</v>
      </c>
      <c r="AB9" s="11" t="s">
        <v>2743</v>
      </c>
      <c r="AC9" s="11" t="s">
        <v>2744</v>
      </c>
      <c r="AD9" s="10" t="s">
        <v>22</v>
      </c>
      <c r="AE9" s="10" t="s">
        <v>439</v>
      </c>
      <c r="AF9" s="6" t="s">
        <v>600</v>
      </c>
      <c r="AG9" s="5"/>
    </row>
    <row r="10" spans="1:33" ht="25.5" customHeight="1" x14ac:dyDescent="0.3">
      <c r="A10" s="6">
        <v>54949</v>
      </c>
      <c r="B10" s="6" t="s">
        <v>31</v>
      </c>
      <c r="C10" s="6" t="s">
        <v>2745</v>
      </c>
      <c r="D10" s="7" t="s">
        <v>36</v>
      </c>
      <c r="E10" s="8">
        <v>37930</v>
      </c>
      <c r="F10" s="6" t="s">
        <v>2746</v>
      </c>
      <c r="G10" s="16" t="s">
        <v>39</v>
      </c>
      <c r="H10" s="6" t="s">
        <v>2747</v>
      </c>
      <c r="I10" s="6" t="s">
        <v>2748</v>
      </c>
      <c r="J10" s="6" t="s">
        <v>34</v>
      </c>
      <c r="K10" s="6" t="s">
        <v>298</v>
      </c>
      <c r="L10" s="6" t="s">
        <v>2749</v>
      </c>
      <c r="M10" s="6" t="s">
        <v>23</v>
      </c>
      <c r="N10" s="6" t="s">
        <v>2750</v>
      </c>
      <c r="O10" s="6" t="s">
        <v>2751</v>
      </c>
      <c r="P10" s="10" t="s">
        <v>23</v>
      </c>
      <c r="Q10" s="10" t="s">
        <v>23</v>
      </c>
      <c r="R10" s="10" t="s">
        <v>44</v>
      </c>
      <c r="S10" s="15">
        <v>3363</v>
      </c>
      <c r="T10" s="10" t="s">
        <v>41</v>
      </c>
      <c r="U10" s="12">
        <v>544.55999999999995</v>
      </c>
      <c r="V10" s="10" t="s">
        <v>23</v>
      </c>
      <c r="W10" s="10" t="s">
        <v>23</v>
      </c>
      <c r="X10" s="10" t="s">
        <v>23</v>
      </c>
      <c r="Y10" s="10" t="s">
        <v>23</v>
      </c>
      <c r="Z10" s="13">
        <v>38183</v>
      </c>
      <c r="AA10" s="13" t="s">
        <v>23</v>
      </c>
      <c r="AB10" s="11" t="s">
        <v>2752</v>
      </c>
      <c r="AC10" s="11" t="s">
        <v>2753</v>
      </c>
      <c r="AD10" s="10" t="s">
        <v>22</v>
      </c>
      <c r="AE10" s="10" t="s">
        <v>439</v>
      </c>
      <c r="AF10" s="6" t="s">
        <v>600</v>
      </c>
      <c r="AG10" s="14"/>
    </row>
    <row r="11" spans="1:33" ht="91.5" customHeight="1" x14ac:dyDescent="0.3">
      <c r="A11" s="6">
        <v>10886</v>
      </c>
      <c r="B11" s="6" t="s">
        <v>31</v>
      </c>
      <c r="C11" s="6" t="s">
        <v>2754</v>
      </c>
      <c r="D11" s="7" t="s">
        <v>36</v>
      </c>
      <c r="E11" s="8">
        <v>2</v>
      </c>
      <c r="F11" s="6" t="s">
        <v>2755</v>
      </c>
      <c r="G11" s="16" t="s">
        <v>39</v>
      </c>
      <c r="H11" s="6" t="s">
        <v>2756</v>
      </c>
      <c r="I11" s="6" t="s">
        <v>2757</v>
      </c>
      <c r="J11" s="6" t="s">
        <v>34</v>
      </c>
      <c r="K11" s="6" t="s">
        <v>2722</v>
      </c>
      <c r="L11" s="6" t="s">
        <v>2758</v>
      </c>
      <c r="M11" s="6" t="s">
        <v>23</v>
      </c>
      <c r="N11" s="6" t="s">
        <v>2758</v>
      </c>
      <c r="O11" s="6" t="s">
        <v>23</v>
      </c>
      <c r="P11" s="10" t="s">
        <v>23</v>
      </c>
      <c r="Q11" s="10" t="s">
        <v>23</v>
      </c>
      <c r="R11" s="10" t="s">
        <v>45</v>
      </c>
      <c r="S11" s="15" t="s">
        <v>23</v>
      </c>
      <c r="T11" s="10" t="s">
        <v>46</v>
      </c>
      <c r="U11" s="12" t="s">
        <v>23</v>
      </c>
      <c r="V11" s="10" t="s">
        <v>23</v>
      </c>
      <c r="W11" s="10" t="s">
        <v>23</v>
      </c>
      <c r="X11" s="10" t="s">
        <v>23</v>
      </c>
      <c r="Y11" s="10" t="s">
        <v>23</v>
      </c>
      <c r="Z11" s="13">
        <v>39759</v>
      </c>
      <c r="AA11" s="13">
        <v>40941</v>
      </c>
      <c r="AB11" s="11" t="s">
        <v>2759</v>
      </c>
      <c r="AC11" s="11" t="s">
        <v>2760</v>
      </c>
      <c r="AD11" s="10" t="s">
        <v>22</v>
      </c>
      <c r="AE11" s="10" t="s">
        <v>3681</v>
      </c>
      <c r="AF11" s="6" t="s">
        <v>546</v>
      </c>
      <c r="AG11" s="14"/>
    </row>
    <row r="12" spans="1:33" ht="57" x14ac:dyDescent="0.3">
      <c r="A12" s="6">
        <v>52051</v>
      </c>
      <c r="B12" s="6" t="s">
        <v>31</v>
      </c>
      <c r="C12" s="6" t="s">
        <v>2761</v>
      </c>
      <c r="D12" s="7" t="s">
        <v>36</v>
      </c>
      <c r="E12" s="8">
        <v>38090</v>
      </c>
      <c r="F12" s="6" t="s">
        <v>847</v>
      </c>
      <c r="G12" s="9" t="s">
        <v>33</v>
      </c>
      <c r="H12" s="6" t="s">
        <v>2762</v>
      </c>
      <c r="I12" s="6" t="s">
        <v>2763</v>
      </c>
      <c r="J12" s="6" t="s">
        <v>34</v>
      </c>
      <c r="K12" s="6" t="s">
        <v>298</v>
      </c>
      <c r="L12" s="6" t="s">
        <v>2764</v>
      </c>
      <c r="M12" s="6" t="s">
        <v>23</v>
      </c>
      <c r="N12" s="6" t="s">
        <v>2765</v>
      </c>
      <c r="O12" s="6" t="s">
        <v>2766</v>
      </c>
      <c r="P12" s="10" t="s">
        <v>23</v>
      </c>
      <c r="Q12" s="10" t="s">
        <v>23</v>
      </c>
      <c r="R12" s="10" t="s">
        <v>44</v>
      </c>
      <c r="S12" s="15">
        <v>2232</v>
      </c>
      <c r="T12" s="10" t="s">
        <v>38</v>
      </c>
      <c r="U12" s="12">
        <v>1516.82</v>
      </c>
      <c r="V12" s="10" t="s">
        <v>23</v>
      </c>
      <c r="W12" s="10" t="s">
        <v>23</v>
      </c>
      <c r="X12" s="10" t="s">
        <v>23</v>
      </c>
      <c r="Y12" s="10" t="s">
        <v>23</v>
      </c>
      <c r="Z12" s="13">
        <v>38743</v>
      </c>
      <c r="AA12" s="13">
        <v>40276</v>
      </c>
      <c r="AB12" s="11" t="s">
        <v>2722</v>
      </c>
      <c r="AC12" s="11" t="s">
        <v>2767</v>
      </c>
      <c r="AD12" s="10" t="s">
        <v>22</v>
      </c>
      <c r="AE12" s="10" t="s">
        <v>341</v>
      </c>
      <c r="AF12" s="6" t="s">
        <v>2768</v>
      </c>
      <c r="AG12" s="14"/>
    </row>
    <row r="13" spans="1:33" ht="49.5" customHeight="1" x14ac:dyDescent="0.3">
      <c r="A13" s="6">
        <v>51123</v>
      </c>
      <c r="B13" s="6" t="s">
        <v>31</v>
      </c>
      <c r="C13" s="6" t="s">
        <v>2769</v>
      </c>
      <c r="D13" s="7" t="s">
        <v>36</v>
      </c>
      <c r="E13" s="8">
        <v>38464</v>
      </c>
      <c r="F13" s="6" t="s">
        <v>2770</v>
      </c>
      <c r="G13" s="9" t="s">
        <v>33</v>
      </c>
      <c r="H13" s="6" t="s">
        <v>2771</v>
      </c>
      <c r="I13" s="6" t="s">
        <v>2772</v>
      </c>
      <c r="J13" s="6" t="s">
        <v>34</v>
      </c>
      <c r="K13" s="6" t="s">
        <v>298</v>
      </c>
      <c r="L13" s="6" t="s">
        <v>2773</v>
      </c>
      <c r="M13" s="6" t="s">
        <v>23</v>
      </c>
      <c r="N13" s="6" t="s">
        <v>2774</v>
      </c>
      <c r="O13" s="6" t="s">
        <v>23</v>
      </c>
      <c r="P13" s="10" t="s">
        <v>23</v>
      </c>
      <c r="Q13" s="10" t="s">
        <v>23</v>
      </c>
      <c r="R13" s="10" t="s">
        <v>48</v>
      </c>
      <c r="S13" s="15" t="s">
        <v>23</v>
      </c>
      <c r="T13" s="10" t="s">
        <v>21</v>
      </c>
      <c r="U13" s="12" t="s">
        <v>23</v>
      </c>
      <c r="V13" s="10" t="s">
        <v>23</v>
      </c>
      <c r="W13" s="10" t="s">
        <v>23</v>
      </c>
      <c r="X13" s="10" t="s">
        <v>23</v>
      </c>
      <c r="Y13" s="10" t="s">
        <v>23</v>
      </c>
      <c r="Z13" s="13">
        <v>38989</v>
      </c>
      <c r="AA13" s="13">
        <v>41583</v>
      </c>
      <c r="AB13" s="11" t="s">
        <v>2775</v>
      </c>
      <c r="AC13" s="11" t="s">
        <v>2776</v>
      </c>
      <c r="AD13" s="10" t="s">
        <v>22</v>
      </c>
      <c r="AE13" s="10" t="s">
        <v>2717</v>
      </c>
      <c r="AF13" s="6" t="s">
        <v>2777</v>
      </c>
      <c r="AG13" s="14"/>
    </row>
    <row r="14" spans="1:33" ht="50.25" customHeight="1" x14ac:dyDescent="0.3">
      <c r="A14" s="6">
        <v>188832</v>
      </c>
      <c r="B14" s="6" t="s">
        <v>31</v>
      </c>
      <c r="C14" s="6" t="s">
        <v>2778</v>
      </c>
      <c r="D14" s="7" t="s">
        <v>36</v>
      </c>
      <c r="E14" s="8">
        <v>39020</v>
      </c>
      <c r="F14" s="6" t="s">
        <v>2779</v>
      </c>
      <c r="G14" s="16" t="s">
        <v>39</v>
      </c>
      <c r="H14" s="6" t="s">
        <v>2780</v>
      </c>
      <c r="I14" s="6" t="s">
        <v>2781</v>
      </c>
      <c r="J14" s="6" t="s">
        <v>34</v>
      </c>
      <c r="K14" s="6" t="s">
        <v>298</v>
      </c>
      <c r="L14" s="6" t="s">
        <v>2782</v>
      </c>
      <c r="M14" s="6" t="s">
        <v>23</v>
      </c>
      <c r="N14" s="6" t="s">
        <v>2750</v>
      </c>
      <c r="O14" s="6" t="s">
        <v>2782</v>
      </c>
      <c r="P14" s="10" t="s">
        <v>23</v>
      </c>
      <c r="Q14" s="10" t="s">
        <v>23</v>
      </c>
      <c r="R14" s="10" t="s">
        <v>49</v>
      </c>
      <c r="S14" s="15">
        <v>2721</v>
      </c>
      <c r="T14" s="10" t="s">
        <v>50</v>
      </c>
      <c r="U14" s="12">
        <v>2380.39</v>
      </c>
      <c r="V14" s="10" t="s">
        <v>23</v>
      </c>
      <c r="W14" s="10" t="s">
        <v>23</v>
      </c>
      <c r="X14" s="10" t="s">
        <v>23</v>
      </c>
      <c r="Y14" s="10" t="s">
        <v>23</v>
      </c>
      <c r="Z14" s="13">
        <v>40116</v>
      </c>
      <c r="AA14" s="13">
        <v>40808</v>
      </c>
      <c r="AB14" s="11" t="s">
        <v>2783</v>
      </c>
      <c r="AC14" s="11" t="s">
        <v>2784</v>
      </c>
      <c r="AD14" s="10" t="s">
        <v>22</v>
      </c>
      <c r="AE14" s="10" t="s">
        <v>439</v>
      </c>
      <c r="AF14" s="6" t="s">
        <v>600</v>
      </c>
      <c r="AG14" s="14"/>
    </row>
    <row r="15" spans="1:33" ht="99.75" x14ac:dyDescent="0.3">
      <c r="A15" s="6">
        <v>167054</v>
      </c>
      <c r="B15" s="6" t="s">
        <v>31</v>
      </c>
      <c r="C15" s="6" t="s">
        <v>2785</v>
      </c>
      <c r="D15" s="7" t="s">
        <v>36</v>
      </c>
      <c r="E15" s="8">
        <v>38718</v>
      </c>
      <c r="F15" s="6" t="s">
        <v>2786</v>
      </c>
      <c r="G15" s="9" t="s">
        <v>33</v>
      </c>
      <c r="H15" s="6" t="s">
        <v>2787</v>
      </c>
      <c r="I15" s="6" t="s">
        <v>2788</v>
      </c>
      <c r="J15" s="6" t="s">
        <v>34</v>
      </c>
      <c r="K15" s="6" t="s">
        <v>2710</v>
      </c>
      <c r="L15" s="6" t="s">
        <v>2711</v>
      </c>
      <c r="M15" s="6" t="s">
        <v>23</v>
      </c>
      <c r="N15" s="6" t="s">
        <v>2789</v>
      </c>
      <c r="O15" s="6" t="s">
        <v>2790</v>
      </c>
      <c r="P15" s="10" t="s">
        <v>23</v>
      </c>
      <c r="Q15" s="10" t="s">
        <v>23</v>
      </c>
      <c r="R15" s="10" t="s">
        <v>44</v>
      </c>
      <c r="S15" s="17">
        <v>15371008</v>
      </c>
      <c r="T15" s="10" t="s">
        <v>38</v>
      </c>
      <c r="U15" s="12">
        <v>6033</v>
      </c>
      <c r="V15" s="10" t="s">
        <v>23</v>
      </c>
      <c r="W15" s="10" t="s">
        <v>23</v>
      </c>
      <c r="X15" s="10" t="s">
        <v>23</v>
      </c>
      <c r="Y15" s="10" t="s">
        <v>23</v>
      </c>
      <c r="Z15" s="13">
        <v>40373</v>
      </c>
      <c r="AA15" s="13">
        <v>40724</v>
      </c>
      <c r="AB15" s="11" t="s">
        <v>2791</v>
      </c>
      <c r="AC15" s="11" t="s">
        <v>2792</v>
      </c>
      <c r="AD15" s="10" t="s">
        <v>22</v>
      </c>
      <c r="AE15" s="10" t="s">
        <v>439</v>
      </c>
      <c r="AF15" s="6" t="s">
        <v>2793</v>
      </c>
      <c r="AG15" s="5"/>
    </row>
    <row r="16" spans="1:33" ht="285" x14ac:dyDescent="0.3">
      <c r="A16" s="6">
        <v>249292</v>
      </c>
      <c r="B16" s="6" t="s">
        <v>31</v>
      </c>
      <c r="C16" s="6" t="s">
        <v>2794</v>
      </c>
      <c r="D16" s="7" t="s">
        <v>36</v>
      </c>
      <c r="E16" s="8">
        <v>39468</v>
      </c>
      <c r="F16" s="6" t="s">
        <v>2795</v>
      </c>
      <c r="G16" s="9" t="s">
        <v>33</v>
      </c>
      <c r="H16" s="6" t="s">
        <v>2796</v>
      </c>
      <c r="I16" s="6" t="s">
        <v>2797</v>
      </c>
      <c r="J16" s="6" t="s">
        <v>34</v>
      </c>
      <c r="K16" s="6" t="s">
        <v>298</v>
      </c>
      <c r="L16" s="6" t="s">
        <v>2798</v>
      </c>
      <c r="M16" s="6" t="s">
        <v>23</v>
      </c>
      <c r="N16" s="6" t="s">
        <v>2799</v>
      </c>
      <c r="O16" s="6" t="s">
        <v>2800</v>
      </c>
      <c r="P16" s="10" t="s">
        <v>23</v>
      </c>
      <c r="Q16" s="10" t="s">
        <v>23</v>
      </c>
      <c r="R16" s="10" t="s">
        <v>44</v>
      </c>
      <c r="S16" s="15" t="s">
        <v>2801</v>
      </c>
      <c r="T16" s="10" t="s">
        <v>51</v>
      </c>
      <c r="U16" s="12">
        <v>48728.75</v>
      </c>
      <c r="V16" s="10" t="s">
        <v>23</v>
      </c>
      <c r="W16" s="10" t="s">
        <v>23</v>
      </c>
      <c r="X16" s="10" t="s">
        <v>23</v>
      </c>
      <c r="Y16" s="10" t="s">
        <v>23</v>
      </c>
      <c r="Z16" s="13">
        <v>40942</v>
      </c>
      <c r="AA16" s="13">
        <v>41494</v>
      </c>
      <c r="AB16" s="11" t="s">
        <v>2802</v>
      </c>
      <c r="AC16" s="11" t="s">
        <v>2803</v>
      </c>
      <c r="AD16" s="10" t="s">
        <v>22</v>
      </c>
      <c r="AE16" s="10" t="s">
        <v>439</v>
      </c>
      <c r="AF16" s="10" t="s">
        <v>600</v>
      </c>
      <c r="AG16" s="5"/>
    </row>
    <row r="17" spans="1:33" ht="44.25" customHeight="1" x14ac:dyDescent="0.3">
      <c r="A17" s="6">
        <v>266228</v>
      </c>
      <c r="B17" s="6" t="s">
        <v>31</v>
      </c>
      <c r="C17" s="6" t="s">
        <v>2804</v>
      </c>
      <c r="D17" s="7" t="s">
        <v>36</v>
      </c>
      <c r="E17" s="8">
        <v>39792</v>
      </c>
      <c r="F17" s="6" t="s">
        <v>2805</v>
      </c>
      <c r="G17" s="16" t="s">
        <v>52</v>
      </c>
      <c r="H17" s="6" t="s">
        <v>2806</v>
      </c>
      <c r="I17" s="6" t="s">
        <v>2807</v>
      </c>
      <c r="J17" s="6" t="s">
        <v>34</v>
      </c>
      <c r="K17" s="6" t="s">
        <v>2710</v>
      </c>
      <c r="L17" s="6" t="s">
        <v>2808</v>
      </c>
      <c r="M17" s="6" t="s">
        <v>23</v>
      </c>
      <c r="N17" s="6" t="s">
        <v>2809</v>
      </c>
      <c r="O17" s="6" t="s">
        <v>2808</v>
      </c>
      <c r="P17" s="10" t="s">
        <v>23</v>
      </c>
      <c r="Q17" s="10" t="s">
        <v>23</v>
      </c>
      <c r="R17" s="10" t="s">
        <v>53</v>
      </c>
      <c r="S17" s="15">
        <v>4132</v>
      </c>
      <c r="T17" s="10" t="s">
        <v>38</v>
      </c>
      <c r="U17" s="12">
        <v>4903</v>
      </c>
      <c r="V17" s="10" t="s">
        <v>23</v>
      </c>
      <c r="W17" s="10" t="s">
        <v>23</v>
      </c>
      <c r="X17" s="10" t="s">
        <v>23</v>
      </c>
      <c r="Y17" s="10" t="s">
        <v>23</v>
      </c>
      <c r="Z17" s="18" t="s">
        <v>2810</v>
      </c>
      <c r="AA17" s="19">
        <v>42251</v>
      </c>
      <c r="AB17" s="11" t="s">
        <v>2811</v>
      </c>
      <c r="AC17" s="11" t="s">
        <v>2812</v>
      </c>
      <c r="AD17" s="10" t="s">
        <v>22</v>
      </c>
      <c r="AE17" s="10" t="s">
        <v>439</v>
      </c>
      <c r="AF17" s="6" t="s">
        <v>546</v>
      </c>
      <c r="AG17" s="5"/>
    </row>
    <row r="18" spans="1:33" ht="56.25" customHeight="1" x14ac:dyDescent="0.3">
      <c r="A18" s="6">
        <v>267029</v>
      </c>
      <c r="B18" s="6" t="s">
        <v>31</v>
      </c>
      <c r="C18" s="6" t="s">
        <v>2813</v>
      </c>
      <c r="D18" s="7" t="s">
        <v>36</v>
      </c>
      <c r="E18" s="8">
        <v>39814</v>
      </c>
      <c r="F18" s="6" t="s">
        <v>2814</v>
      </c>
      <c r="G18" s="9" t="s">
        <v>33</v>
      </c>
      <c r="H18" s="6" t="s">
        <v>2815</v>
      </c>
      <c r="I18" s="6" t="s">
        <v>2816</v>
      </c>
      <c r="J18" s="6" t="s">
        <v>34</v>
      </c>
      <c r="K18" s="6" t="s">
        <v>298</v>
      </c>
      <c r="L18" s="6" t="s">
        <v>2711</v>
      </c>
      <c r="M18" s="6" t="s">
        <v>23</v>
      </c>
      <c r="N18" s="6" t="s">
        <v>2817</v>
      </c>
      <c r="O18" s="6" t="s">
        <v>2818</v>
      </c>
      <c r="P18" s="10" t="s">
        <v>23</v>
      </c>
      <c r="Q18" s="10" t="s">
        <v>23</v>
      </c>
      <c r="R18" s="10" t="s">
        <v>44</v>
      </c>
      <c r="S18" s="15">
        <v>833</v>
      </c>
      <c r="T18" s="10" t="s">
        <v>38</v>
      </c>
      <c r="U18" s="12">
        <v>22321.75</v>
      </c>
      <c r="V18" s="10" t="s">
        <v>23</v>
      </c>
      <c r="W18" s="10" t="s">
        <v>23</v>
      </c>
      <c r="X18" s="10" t="s">
        <v>23</v>
      </c>
      <c r="Y18" s="10" t="s">
        <v>23</v>
      </c>
      <c r="Z18" s="13">
        <v>41758</v>
      </c>
      <c r="AA18" s="13">
        <v>41908</v>
      </c>
      <c r="AB18" s="11" t="s">
        <v>2819</v>
      </c>
      <c r="AC18" s="20" t="s">
        <v>2820</v>
      </c>
      <c r="AD18" s="10" t="s">
        <v>22</v>
      </c>
      <c r="AE18" s="10" t="s">
        <v>341</v>
      </c>
      <c r="AF18" s="6" t="s">
        <v>546</v>
      </c>
      <c r="AG18" s="14"/>
    </row>
    <row r="19" spans="1:33" ht="48" customHeight="1" x14ac:dyDescent="0.3">
      <c r="A19" s="6">
        <v>271268</v>
      </c>
      <c r="B19" s="6" t="s">
        <v>31</v>
      </c>
      <c r="C19" s="6" t="s">
        <v>2821</v>
      </c>
      <c r="D19" s="7" t="s">
        <v>36</v>
      </c>
      <c r="E19" s="8">
        <v>39902</v>
      </c>
      <c r="F19" s="6" t="s">
        <v>2822</v>
      </c>
      <c r="G19" s="16" t="s">
        <v>39</v>
      </c>
      <c r="H19" s="6" t="s">
        <v>2823</v>
      </c>
      <c r="I19" s="6" t="s">
        <v>2824</v>
      </c>
      <c r="J19" s="6" t="s">
        <v>34</v>
      </c>
      <c r="K19" s="6" t="s">
        <v>298</v>
      </c>
      <c r="L19" s="6" t="s">
        <v>2825</v>
      </c>
      <c r="M19" s="6" t="s">
        <v>23</v>
      </c>
      <c r="N19" s="6" t="s">
        <v>2826</v>
      </c>
      <c r="O19" s="6" t="s">
        <v>2827</v>
      </c>
      <c r="P19" s="10" t="s">
        <v>23</v>
      </c>
      <c r="Q19" s="10" t="s">
        <v>23</v>
      </c>
      <c r="R19" s="10" t="s">
        <v>44</v>
      </c>
      <c r="S19" s="15">
        <v>1851</v>
      </c>
      <c r="T19" s="10" t="s">
        <v>41</v>
      </c>
      <c r="U19" s="12">
        <v>647000</v>
      </c>
      <c r="V19" s="10" t="s">
        <v>23</v>
      </c>
      <c r="W19" s="10" t="s">
        <v>23</v>
      </c>
      <c r="X19" s="10" t="s">
        <v>23</v>
      </c>
      <c r="Y19" s="10" t="s">
        <v>23</v>
      </c>
      <c r="Z19" s="13" t="s">
        <v>23</v>
      </c>
      <c r="AA19" s="13" t="s">
        <v>23</v>
      </c>
      <c r="AB19" s="11" t="s">
        <v>23</v>
      </c>
      <c r="AC19" s="11" t="s">
        <v>2828</v>
      </c>
      <c r="AD19" s="10" t="s">
        <v>19</v>
      </c>
      <c r="AE19" s="10" t="s">
        <v>439</v>
      </c>
      <c r="AF19" s="6" t="s">
        <v>2829</v>
      </c>
      <c r="AG19" s="5"/>
    </row>
    <row r="20" spans="1:33" ht="132" customHeight="1" x14ac:dyDescent="0.3">
      <c r="A20" s="6">
        <v>285457</v>
      </c>
      <c r="B20" s="6" t="s">
        <v>31</v>
      </c>
      <c r="C20" s="6" t="s">
        <v>2830</v>
      </c>
      <c r="D20" s="7" t="s">
        <v>36</v>
      </c>
      <c r="E20" s="8">
        <v>39814</v>
      </c>
      <c r="F20" s="6" t="s">
        <v>2831</v>
      </c>
      <c r="G20" s="9" t="s">
        <v>33</v>
      </c>
      <c r="H20" s="6" t="s">
        <v>2832</v>
      </c>
      <c r="I20" s="6" t="s">
        <v>2833</v>
      </c>
      <c r="J20" s="6" t="s">
        <v>34</v>
      </c>
      <c r="K20" s="6" t="s">
        <v>298</v>
      </c>
      <c r="L20" s="6" t="s">
        <v>2798</v>
      </c>
      <c r="M20" s="6" t="s">
        <v>23</v>
      </c>
      <c r="N20" s="6" t="s">
        <v>2834</v>
      </c>
      <c r="O20" s="6" t="s">
        <v>2835</v>
      </c>
      <c r="P20" s="10" t="s">
        <v>23</v>
      </c>
      <c r="Q20" s="10" t="s">
        <v>23</v>
      </c>
      <c r="R20" s="10" t="s">
        <v>54</v>
      </c>
      <c r="S20" s="15">
        <v>2755</v>
      </c>
      <c r="T20" s="10" t="s">
        <v>38</v>
      </c>
      <c r="U20" s="12">
        <v>77857.53</v>
      </c>
      <c r="V20" s="10" t="s">
        <v>23</v>
      </c>
      <c r="W20" s="10" t="s">
        <v>23</v>
      </c>
      <c r="X20" s="10" t="s">
        <v>23</v>
      </c>
      <c r="Y20" s="10" t="s">
        <v>23</v>
      </c>
      <c r="Z20" s="13">
        <v>40822</v>
      </c>
      <c r="AA20" s="13" t="s">
        <v>23</v>
      </c>
      <c r="AB20" s="11" t="s">
        <v>2836</v>
      </c>
      <c r="AC20" s="21" t="s">
        <v>2837</v>
      </c>
      <c r="AD20" s="10" t="s">
        <v>22</v>
      </c>
      <c r="AE20" s="10" t="s">
        <v>341</v>
      </c>
      <c r="AF20" s="6" t="s">
        <v>546</v>
      </c>
      <c r="AG20" s="14"/>
    </row>
    <row r="21" spans="1:33" ht="51.75" customHeight="1" x14ac:dyDescent="0.3">
      <c r="A21" s="22">
        <v>324636</v>
      </c>
      <c r="B21" s="22" t="s">
        <v>31</v>
      </c>
      <c r="C21" s="22" t="s">
        <v>2838</v>
      </c>
      <c r="D21" s="23" t="s">
        <v>36</v>
      </c>
      <c r="E21" s="24">
        <v>40395</v>
      </c>
      <c r="F21" s="22" t="s">
        <v>2839</v>
      </c>
      <c r="G21" s="16" t="s">
        <v>39</v>
      </c>
      <c r="H21" s="22" t="s">
        <v>2840</v>
      </c>
      <c r="I21" s="22" t="s">
        <v>2841</v>
      </c>
      <c r="J21" s="22" t="s">
        <v>34</v>
      </c>
      <c r="K21" s="22" t="s">
        <v>298</v>
      </c>
      <c r="L21" s="22" t="s">
        <v>2842</v>
      </c>
      <c r="M21" s="6" t="s">
        <v>23</v>
      </c>
      <c r="N21" s="6" t="s">
        <v>2842</v>
      </c>
      <c r="O21" s="6" t="s">
        <v>2843</v>
      </c>
      <c r="P21" s="10" t="s">
        <v>23</v>
      </c>
      <c r="Q21" s="10" t="s">
        <v>23</v>
      </c>
      <c r="R21" s="10" t="s">
        <v>45</v>
      </c>
      <c r="S21" s="15">
        <v>2607</v>
      </c>
      <c r="T21" s="10" t="s">
        <v>55</v>
      </c>
      <c r="U21" s="12">
        <v>131</v>
      </c>
      <c r="V21" s="10" t="s">
        <v>23</v>
      </c>
      <c r="W21" s="10" t="s">
        <v>23</v>
      </c>
      <c r="X21" s="10" t="s">
        <v>23</v>
      </c>
      <c r="Y21" s="10" t="s">
        <v>23</v>
      </c>
      <c r="Z21" s="13">
        <v>40966</v>
      </c>
      <c r="AA21" s="10" t="s">
        <v>23</v>
      </c>
      <c r="AB21" s="11" t="s">
        <v>2844</v>
      </c>
      <c r="AC21" s="11" t="s">
        <v>2845</v>
      </c>
      <c r="AD21" s="10" t="s">
        <v>22</v>
      </c>
      <c r="AE21" s="10" t="s">
        <v>3681</v>
      </c>
      <c r="AF21" s="6" t="s">
        <v>2846</v>
      </c>
      <c r="AG21" s="5"/>
    </row>
    <row r="22" spans="1:33" ht="85.5" x14ac:dyDescent="0.3">
      <c r="A22" s="6">
        <v>332456</v>
      </c>
      <c r="B22" s="6" t="s">
        <v>31</v>
      </c>
      <c r="C22" s="6" t="s">
        <v>2847</v>
      </c>
      <c r="D22" s="7" t="s">
        <v>36</v>
      </c>
      <c r="E22" s="8">
        <v>40458</v>
      </c>
      <c r="F22" s="6" t="s">
        <v>2848</v>
      </c>
      <c r="G22" s="9" t="s">
        <v>33</v>
      </c>
      <c r="H22" s="6" t="s">
        <v>2849</v>
      </c>
      <c r="I22" s="6" t="s">
        <v>2850</v>
      </c>
      <c r="J22" s="6" t="s">
        <v>34</v>
      </c>
      <c r="K22" s="6" t="s">
        <v>2710</v>
      </c>
      <c r="L22" s="6" t="s">
        <v>2851</v>
      </c>
      <c r="M22" s="6" t="s">
        <v>23</v>
      </c>
      <c r="N22" s="6" t="s">
        <v>2852</v>
      </c>
      <c r="O22" s="6" t="s">
        <v>2853</v>
      </c>
      <c r="P22" s="10" t="s">
        <v>23</v>
      </c>
      <c r="Q22" s="10" t="s">
        <v>23</v>
      </c>
      <c r="R22" s="10" t="s">
        <v>56</v>
      </c>
      <c r="S22" s="15" t="s">
        <v>2854</v>
      </c>
      <c r="T22" s="10" t="s">
        <v>57</v>
      </c>
      <c r="U22" s="12">
        <v>2605.63</v>
      </c>
      <c r="V22" s="10" t="s">
        <v>23</v>
      </c>
      <c r="W22" s="10" t="s">
        <v>23</v>
      </c>
      <c r="X22" s="10" t="s">
        <v>23</v>
      </c>
      <c r="Y22" s="10" t="s">
        <v>23</v>
      </c>
      <c r="Z22" s="13">
        <v>40752</v>
      </c>
      <c r="AA22" s="13">
        <v>41431</v>
      </c>
      <c r="AB22" s="11" t="s">
        <v>2855</v>
      </c>
      <c r="AC22" s="11" t="s">
        <v>2856</v>
      </c>
      <c r="AD22" s="10" t="s">
        <v>22</v>
      </c>
      <c r="AE22" s="10" t="s">
        <v>17</v>
      </c>
      <c r="AF22" s="6" t="s">
        <v>546</v>
      </c>
      <c r="AG22" s="5"/>
    </row>
    <row r="23" spans="1:33" ht="113.25" customHeight="1" x14ac:dyDescent="0.3">
      <c r="A23" s="6">
        <v>334871</v>
      </c>
      <c r="B23" s="6" t="s">
        <v>31</v>
      </c>
      <c r="C23" s="6" t="s">
        <v>2857</v>
      </c>
      <c r="D23" s="7" t="s">
        <v>36</v>
      </c>
      <c r="E23" s="8">
        <v>40499</v>
      </c>
      <c r="F23" s="6" t="s">
        <v>2858</v>
      </c>
      <c r="G23" s="16" t="s">
        <v>39</v>
      </c>
      <c r="H23" s="6" t="s">
        <v>2859</v>
      </c>
      <c r="I23" s="6" t="s">
        <v>2860</v>
      </c>
      <c r="J23" s="6" t="s">
        <v>34</v>
      </c>
      <c r="K23" s="6" t="s">
        <v>2710</v>
      </c>
      <c r="L23" s="6" t="s">
        <v>2861</v>
      </c>
      <c r="M23" s="6" t="s">
        <v>23</v>
      </c>
      <c r="N23" s="6" t="s">
        <v>2861</v>
      </c>
      <c r="O23" s="6" t="s">
        <v>2862</v>
      </c>
      <c r="P23" s="10" t="s">
        <v>23</v>
      </c>
      <c r="Q23" s="10" t="s">
        <v>23</v>
      </c>
      <c r="R23" s="10" t="s">
        <v>58</v>
      </c>
      <c r="S23" s="15">
        <v>3158</v>
      </c>
      <c r="T23" s="10" t="s">
        <v>59</v>
      </c>
      <c r="U23" s="12" t="s">
        <v>23</v>
      </c>
      <c r="V23" s="10" t="s">
        <v>23</v>
      </c>
      <c r="W23" s="10" t="s">
        <v>23</v>
      </c>
      <c r="X23" s="10" t="s">
        <v>23</v>
      </c>
      <c r="Y23" s="10" t="s">
        <v>23</v>
      </c>
      <c r="Z23" s="13">
        <v>41809</v>
      </c>
      <c r="AA23" s="13">
        <v>41977</v>
      </c>
      <c r="AB23" s="11" t="s">
        <v>2863</v>
      </c>
      <c r="AC23" s="11" t="s">
        <v>2864</v>
      </c>
      <c r="AD23" s="10" t="s">
        <v>22</v>
      </c>
      <c r="AE23" s="10" t="s">
        <v>439</v>
      </c>
      <c r="AF23" s="6" t="s">
        <v>546</v>
      </c>
      <c r="AG23" s="5"/>
    </row>
    <row r="24" spans="1:33" ht="75.75" customHeight="1" x14ac:dyDescent="0.3">
      <c r="A24" s="6">
        <v>316655</v>
      </c>
      <c r="B24" s="6" t="s">
        <v>31</v>
      </c>
      <c r="C24" s="6" t="s">
        <v>2865</v>
      </c>
      <c r="D24" s="7" t="s">
        <v>36</v>
      </c>
      <c r="E24" s="8">
        <v>40380</v>
      </c>
      <c r="F24" s="6" t="s">
        <v>2866</v>
      </c>
      <c r="G24" s="16" t="s">
        <v>39</v>
      </c>
      <c r="H24" s="6" t="s">
        <v>2867</v>
      </c>
      <c r="I24" s="6" t="s">
        <v>2868</v>
      </c>
      <c r="J24" s="6" t="s">
        <v>34</v>
      </c>
      <c r="K24" s="6" t="s">
        <v>298</v>
      </c>
      <c r="L24" s="6" t="s">
        <v>2869</v>
      </c>
      <c r="M24" s="6" t="s">
        <v>23</v>
      </c>
      <c r="N24" s="6" t="s">
        <v>2869</v>
      </c>
      <c r="O24" s="6" t="s">
        <v>2870</v>
      </c>
      <c r="P24" s="10" t="s">
        <v>23</v>
      </c>
      <c r="Q24" s="10" t="s">
        <v>23</v>
      </c>
      <c r="R24" s="10" t="s">
        <v>44</v>
      </c>
      <c r="S24" s="15">
        <v>2520</v>
      </c>
      <c r="T24" s="10" t="s">
        <v>60</v>
      </c>
      <c r="U24" s="12">
        <v>400</v>
      </c>
      <c r="V24" s="10" t="s">
        <v>23</v>
      </c>
      <c r="W24" s="10" t="s">
        <v>23</v>
      </c>
      <c r="X24" s="10" t="s">
        <v>23</v>
      </c>
      <c r="Y24" s="10" t="s">
        <v>23</v>
      </c>
      <c r="Z24" s="13">
        <v>42853</v>
      </c>
      <c r="AA24" s="13" t="s">
        <v>23</v>
      </c>
      <c r="AB24" s="11" t="s">
        <v>23</v>
      </c>
      <c r="AC24" s="11" t="s">
        <v>2871</v>
      </c>
      <c r="AD24" s="10" t="s">
        <v>22</v>
      </c>
      <c r="AE24" s="10" t="s">
        <v>3681</v>
      </c>
      <c r="AF24" s="6" t="s">
        <v>2735</v>
      </c>
      <c r="AG24" s="14"/>
    </row>
    <row r="25" spans="1:33" ht="68.25" customHeight="1" x14ac:dyDescent="0.3">
      <c r="A25" s="6">
        <v>33157</v>
      </c>
      <c r="B25" s="6" t="s">
        <v>31</v>
      </c>
      <c r="C25" s="6" t="s">
        <v>2872</v>
      </c>
      <c r="D25" s="7" t="s">
        <v>36</v>
      </c>
      <c r="E25" s="8">
        <v>40491</v>
      </c>
      <c r="F25" s="6" t="s">
        <v>2873</v>
      </c>
      <c r="G25" s="9" t="s">
        <v>33</v>
      </c>
      <c r="H25" s="6" t="s">
        <v>2874</v>
      </c>
      <c r="I25" s="6" t="s">
        <v>2875</v>
      </c>
      <c r="J25" s="6" t="s">
        <v>34</v>
      </c>
      <c r="K25" s="6" t="s">
        <v>298</v>
      </c>
      <c r="L25" s="6" t="s">
        <v>2711</v>
      </c>
      <c r="M25" s="6" t="s">
        <v>23</v>
      </c>
      <c r="N25" s="6" t="s">
        <v>2876</v>
      </c>
      <c r="O25" s="6" t="s">
        <v>23</v>
      </c>
      <c r="P25" s="10" t="s">
        <v>23</v>
      </c>
      <c r="Q25" s="10" t="s">
        <v>23</v>
      </c>
      <c r="R25" s="10" t="s">
        <v>47</v>
      </c>
      <c r="S25" s="15" t="s">
        <v>2877</v>
      </c>
      <c r="T25" s="10" t="s">
        <v>38</v>
      </c>
      <c r="U25" s="12" t="s">
        <v>23</v>
      </c>
      <c r="V25" s="10" t="s">
        <v>23</v>
      </c>
      <c r="W25" s="10" t="s">
        <v>23</v>
      </c>
      <c r="X25" s="10" t="s">
        <v>23</v>
      </c>
      <c r="Y25" s="10" t="s">
        <v>23</v>
      </c>
      <c r="Z25" s="13" t="s">
        <v>23</v>
      </c>
      <c r="AA25" s="13" t="s">
        <v>23</v>
      </c>
      <c r="AB25" s="11" t="s">
        <v>23</v>
      </c>
      <c r="AC25" s="11" t="s">
        <v>2878</v>
      </c>
      <c r="AD25" s="10" t="s">
        <v>3682</v>
      </c>
      <c r="AE25" s="10" t="s">
        <v>341</v>
      </c>
      <c r="AF25" s="6" t="s">
        <v>2879</v>
      </c>
      <c r="AG25" s="14"/>
    </row>
    <row r="26" spans="1:33" ht="185.25" x14ac:dyDescent="0.3">
      <c r="A26" s="6">
        <v>352556</v>
      </c>
      <c r="B26" s="6" t="s">
        <v>31</v>
      </c>
      <c r="C26" s="6" t="s">
        <v>2880</v>
      </c>
      <c r="D26" s="7" t="s">
        <v>36</v>
      </c>
      <c r="E26" s="8">
        <v>40791</v>
      </c>
      <c r="F26" s="6" t="s">
        <v>2881</v>
      </c>
      <c r="G26" s="9" t="s">
        <v>33</v>
      </c>
      <c r="H26" s="6" t="s">
        <v>2882</v>
      </c>
      <c r="I26" s="6" t="s">
        <v>2748</v>
      </c>
      <c r="J26" s="6" t="s">
        <v>34</v>
      </c>
      <c r="K26" s="6" t="s">
        <v>298</v>
      </c>
      <c r="L26" s="6" t="s">
        <v>2711</v>
      </c>
      <c r="M26" s="6" t="s">
        <v>23</v>
      </c>
      <c r="N26" s="6" t="s">
        <v>2883</v>
      </c>
      <c r="O26" s="6" t="s">
        <v>2884</v>
      </c>
      <c r="P26" s="10" t="s">
        <v>65</v>
      </c>
      <c r="Q26" s="10" t="s">
        <v>65</v>
      </c>
      <c r="R26" s="10" t="s">
        <v>67</v>
      </c>
      <c r="S26" s="15" t="s">
        <v>2885</v>
      </c>
      <c r="T26" s="10" t="s">
        <v>61</v>
      </c>
      <c r="U26" s="12" t="s">
        <v>62</v>
      </c>
      <c r="V26" s="10" t="s">
        <v>65</v>
      </c>
      <c r="W26" s="10" t="s">
        <v>65</v>
      </c>
      <c r="X26" s="10" t="s">
        <v>65</v>
      </c>
      <c r="Y26" s="10" t="s">
        <v>65</v>
      </c>
      <c r="Z26" s="13" t="s">
        <v>2886</v>
      </c>
      <c r="AA26" s="13" t="s">
        <v>23</v>
      </c>
      <c r="AB26" s="11" t="s">
        <v>2887</v>
      </c>
      <c r="AC26" s="11" t="s">
        <v>2888</v>
      </c>
      <c r="AD26" s="10" t="s">
        <v>22</v>
      </c>
      <c r="AE26" s="10" t="s">
        <v>341</v>
      </c>
      <c r="AF26" s="6" t="s">
        <v>2889</v>
      </c>
      <c r="AG26" s="14"/>
    </row>
    <row r="27" spans="1:33" ht="128.25" x14ac:dyDescent="0.3">
      <c r="A27" s="6">
        <v>351749</v>
      </c>
      <c r="B27" s="6" t="s">
        <v>31</v>
      </c>
      <c r="C27" s="6" t="s">
        <v>2890</v>
      </c>
      <c r="D27" s="7" t="s">
        <v>36</v>
      </c>
      <c r="E27" s="8">
        <v>40560</v>
      </c>
      <c r="F27" s="6" t="s">
        <v>2891</v>
      </c>
      <c r="G27" s="9" t="s">
        <v>33</v>
      </c>
      <c r="H27" s="6" t="s">
        <v>2892</v>
      </c>
      <c r="I27" s="6" t="s">
        <v>2893</v>
      </c>
      <c r="J27" s="6" t="s">
        <v>34</v>
      </c>
      <c r="K27" s="6" t="s">
        <v>298</v>
      </c>
      <c r="L27" s="6" t="s">
        <v>2894</v>
      </c>
      <c r="M27" s="6" t="s">
        <v>23</v>
      </c>
      <c r="N27" s="6" t="s">
        <v>2895</v>
      </c>
      <c r="O27" s="6" t="s">
        <v>374</v>
      </c>
      <c r="P27" s="10" t="s">
        <v>23</v>
      </c>
      <c r="Q27" s="10" t="s">
        <v>23</v>
      </c>
      <c r="R27" s="10" t="s">
        <v>45</v>
      </c>
      <c r="S27" s="15" t="s">
        <v>1662</v>
      </c>
      <c r="T27" s="10" t="s">
        <v>38</v>
      </c>
      <c r="U27" s="12">
        <v>1311</v>
      </c>
      <c r="V27" s="10" t="s">
        <v>23</v>
      </c>
      <c r="W27" s="10" t="s">
        <v>23</v>
      </c>
      <c r="X27" s="10" t="s">
        <v>23</v>
      </c>
      <c r="Y27" s="10" t="s">
        <v>23</v>
      </c>
      <c r="Z27" s="13" t="s">
        <v>23</v>
      </c>
      <c r="AA27" s="13" t="s">
        <v>23</v>
      </c>
      <c r="AB27" s="11" t="s">
        <v>23</v>
      </c>
      <c r="AC27" s="11" t="s">
        <v>2896</v>
      </c>
      <c r="AD27" s="10" t="s">
        <v>22</v>
      </c>
      <c r="AE27" s="10" t="s">
        <v>439</v>
      </c>
      <c r="AF27" s="6" t="s">
        <v>2897</v>
      </c>
      <c r="AG27" s="5"/>
    </row>
    <row r="28" spans="1:33" ht="53.25" customHeight="1" x14ac:dyDescent="0.3">
      <c r="A28" s="6">
        <v>359511</v>
      </c>
      <c r="B28" s="6" t="s">
        <v>31</v>
      </c>
      <c r="C28" s="6" t="s">
        <v>2898</v>
      </c>
      <c r="D28" s="7" t="s">
        <v>36</v>
      </c>
      <c r="E28" s="8" t="s">
        <v>2899</v>
      </c>
      <c r="F28" s="6" t="s">
        <v>2900</v>
      </c>
      <c r="G28" s="9" t="s">
        <v>33</v>
      </c>
      <c r="H28" s="6" t="s">
        <v>2901</v>
      </c>
      <c r="I28" s="6" t="s">
        <v>2902</v>
      </c>
      <c r="J28" s="6" t="s">
        <v>34</v>
      </c>
      <c r="K28" s="6" t="s">
        <v>298</v>
      </c>
      <c r="L28" s="6" t="s">
        <v>2903</v>
      </c>
      <c r="M28" s="6" t="s">
        <v>23</v>
      </c>
      <c r="N28" s="6" t="s">
        <v>2903</v>
      </c>
      <c r="O28" s="6" t="s">
        <v>23</v>
      </c>
      <c r="P28" s="10" t="s">
        <v>65</v>
      </c>
      <c r="Q28" s="10" t="s">
        <v>65</v>
      </c>
      <c r="R28" s="10" t="s">
        <v>63</v>
      </c>
      <c r="S28" s="15" t="s">
        <v>23</v>
      </c>
      <c r="T28" s="10" t="s">
        <v>64</v>
      </c>
      <c r="U28" s="12" t="s">
        <v>65</v>
      </c>
      <c r="V28" s="10" t="s">
        <v>65</v>
      </c>
      <c r="W28" s="10" t="s">
        <v>65</v>
      </c>
      <c r="X28" s="10" t="s">
        <v>65</v>
      </c>
      <c r="Y28" s="10" t="s">
        <v>65</v>
      </c>
      <c r="Z28" s="13" t="s">
        <v>23</v>
      </c>
      <c r="AA28" s="13" t="s">
        <v>23</v>
      </c>
      <c r="AB28" s="11" t="s">
        <v>65</v>
      </c>
      <c r="AC28" s="11" t="s">
        <v>2904</v>
      </c>
      <c r="AD28" s="10" t="s">
        <v>22</v>
      </c>
      <c r="AE28" s="10" t="s">
        <v>439</v>
      </c>
      <c r="AF28" s="6" t="s">
        <v>2735</v>
      </c>
      <c r="AG28" s="5"/>
    </row>
    <row r="29" spans="1:33" ht="92.25" customHeight="1" x14ac:dyDescent="0.3">
      <c r="A29" s="6">
        <v>382225</v>
      </c>
      <c r="B29" s="6" t="s">
        <v>31</v>
      </c>
      <c r="C29" s="6" t="s">
        <v>2905</v>
      </c>
      <c r="D29" s="7" t="s">
        <v>66</v>
      </c>
      <c r="E29" s="8">
        <v>41116</v>
      </c>
      <c r="F29" s="6" t="s">
        <v>2906</v>
      </c>
      <c r="G29" s="9" t="s">
        <v>33</v>
      </c>
      <c r="H29" s="6" t="s">
        <v>2907</v>
      </c>
      <c r="I29" s="6" t="s">
        <v>2908</v>
      </c>
      <c r="J29" s="6" t="s">
        <v>34</v>
      </c>
      <c r="K29" s="6" t="s">
        <v>2710</v>
      </c>
      <c r="L29" s="6" t="s">
        <v>2909</v>
      </c>
      <c r="M29" s="6" t="s">
        <v>23</v>
      </c>
      <c r="N29" s="6" t="s">
        <v>2910</v>
      </c>
      <c r="O29" s="6" t="s">
        <v>2911</v>
      </c>
      <c r="P29" s="10" t="s">
        <v>23</v>
      </c>
      <c r="Q29" s="10" t="s">
        <v>23</v>
      </c>
      <c r="R29" s="10" t="s">
        <v>44</v>
      </c>
      <c r="S29" s="11" t="s">
        <v>2912</v>
      </c>
      <c r="T29" s="10" t="s">
        <v>51</v>
      </c>
      <c r="U29" s="12" t="s">
        <v>23</v>
      </c>
      <c r="V29" s="10" t="s">
        <v>23</v>
      </c>
      <c r="W29" s="10" t="s">
        <v>23</v>
      </c>
      <c r="X29" s="10" t="s">
        <v>23</v>
      </c>
      <c r="Y29" s="10" t="s">
        <v>23</v>
      </c>
      <c r="Z29" s="13">
        <v>41144</v>
      </c>
      <c r="AA29" s="13">
        <v>41179</v>
      </c>
      <c r="AB29" s="11" t="s">
        <v>2913</v>
      </c>
      <c r="AC29" s="11" t="s">
        <v>2914</v>
      </c>
      <c r="AD29" s="10" t="s">
        <v>22</v>
      </c>
      <c r="AE29" s="10" t="s">
        <v>439</v>
      </c>
      <c r="AF29" s="6" t="s">
        <v>600</v>
      </c>
      <c r="AG29" s="14"/>
    </row>
    <row r="30" spans="1:33" ht="93.75" customHeight="1" x14ac:dyDescent="0.3">
      <c r="A30" s="6">
        <v>346341</v>
      </c>
      <c r="B30" s="6" t="s">
        <v>31</v>
      </c>
      <c r="C30" s="6" t="s">
        <v>2915</v>
      </c>
      <c r="D30" s="7" t="s">
        <v>36</v>
      </c>
      <c r="E30" s="8">
        <v>40556</v>
      </c>
      <c r="F30" s="6" t="s">
        <v>2891</v>
      </c>
      <c r="G30" s="9" t="s">
        <v>33</v>
      </c>
      <c r="H30" s="6" t="s">
        <v>2882</v>
      </c>
      <c r="I30" s="6" t="s">
        <v>2916</v>
      </c>
      <c r="J30" s="6" t="s">
        <v>34</v>
      </c>
      <c r="K30" s="6" t="s">
        <v>298</v>
      </c>
      <c r="L30" s="6" t="s">
        <v>2917</v>
      </c>
      <c r="M30" s="6" t="s">
        <v>23</v>
      </c>
      <c r="N30" s="6" t="s">
        <v>2917</v>
      </c>
      <c r="O30" s="6" t="s">
        <v>2918</v>
      </c>
      <c r="P30" s="10" t="s">
        <v>23</v>
      </c>
      <c r="Q30" s="10" t="s">
        <v>23</v>
      </c>
      <c r="R30" s="10" t="s">
        <v>44</v>
      </c>
      <c r="S30" s="15" t="s">
        <v>2919</v>
      </c>
      <c r="T30" s="10" t="s">
        <v>41</v>
      </c>
      <c r="U30" s="12">
        <v>1420</v>
      </c>
      <c r="V30" s="10" t="s">
        <v>23</v>
      </c>
      <c r="W30" s="10" t="s">
        <v>23</v>
      </c>
      <c r="X30" s="10" t="s">
        <v>23</v>
      </c>
      <c r="Y30" s="10" t="s">
        <v>23</v>
      </c>
      <c r="Z30" s="13">
        <v>42124</v>
      </c>
      <c r="AA30" s="13" t="s">
        <v>23</v>
      </c>
      <c r="AB30" s="11" t="s">
        <v>23</v>
      </c>
      <c r="AC30" s="11" t="s">
        <v>2920</v>
      </c>
      <c r="AD30" s="10" t="s">
        <v>22</v>
      </c>
      <c r="AE30" s="10" t="s">
        <v>341</v>
      </c>
      <c r="AF30" s="6" t="s">
        <v>600</v>
      </c>
      <c r="AG30" s="14"/>
    </row>
    <row r="31" spans="1:33" ht="42.75" x14ac:dyDescent="0.3">
      <c r="A31" s="6">
        <v>430013</v>
      </c>
      <c r="B31" s="6" t="s">
        <v>31</v>
      </c>
      <c r="C31" s="6" t="s">
        <v>2921</v>
      </c>
      <c r="D31" s="7" t="s">
        <v>36</v>
      </c>
      <c r="E31" s="8">
        <v>41572</v>
      </c>
      <c r="F31" s="6" t="s">
        <v>2922</v>
      </c>
      <c r="G31" s="9" t="s">
        <v>33</v>
      </c>
      <c r="H31" s="6" t="s">
        <v>2923</v>
      </c>
      <c r="I31" s="6" t="s">
        <v>2924</v>
      </c>
      <c r="J31" s="6" t="s">
        <v>34</v>
      </c>
      <c r="K31" s="6" t="s">
        <v>327</v>
      </c>
      <c r="L31" s="6" t="s">
        <v>2925</v>
      </c>
      <c r="M31" s="6" t="s">
        <v>23</v>
      </c>
      <c r="N31" s="6" t="s">
        <v>2926</v>
      </c>
      <c r="O31" s="6" t="s">
        <v>2927</v>
      </c>
      <c r="P31" s="10" t="s">
        <v>23</v>
      </c>
      <c r="Q31" s="10" t="s">
        <v>23</v>
      </c>
      <c r="R31" s="10" t="s">
        <v>44</v>
      </c>
      <c r="S31" s="15">
        <v>386</v>
      </c>
      <c r="T31" s="10" t="s">
        <v>21</v>
      </c>
      <c r="U31" s="12">
        <v>880</v>
      </c>
      <c r="V31" s="10" t="s">
        <v>23</v>
      </c>
      <c r="W31" s="10" t="s">
        <v>23</v>
      </c>
      <c r="X31" s="10" t="s">
        <v>23</v>
      </c>
      <c r="Y31" s="10" t="s">
        <v>23</v>
      </c>
      <c r="Z31" s="13" t="s">
        <v>23</v>
      </c>
      <c r="AA31" s="13" t="s">
        <v>23</v>
      </c>
      <c r="AB31" s="11" t="s">
        <v>23</v>
      </c>
      <c r="AC31" s="11" t="s">
        <v>2928</v>
      </c>
      <c r="AD31" s="10" t="s">
        <v>22</v>
      </c>
      <c r="AE31" s="10" t="s">
        <v>439</v>
      </c>
      <c r="AF31" s="6" t="s">
        <v>493</v>
      </c>
      <c r="AG31" s="5"/>
    </row>
    <row r="32" spans="1:33" ht="87" customHeight="1" x14ac:dyDescent="0.3">
      <c r="A32" s="6">
        <v>417192</v>
      </c>
      <c r="B32" s="6" t="s">
        <v>31</v>
      </c>
      <c r="C32" s="6" t="s">
        <v>2929</v>
      </c>
      <c r="D32" s="7" t="s">
        <v>36</v>
      </c>
      <c r="E32" s="8">
        <v>41337</v>
      </c>
      <c r="F32" s="6" t="s">
        <v>2930</v>
      </c>
      <c r="G32" s="9" t="s">
        <v>33</v>
      </c>
      <c r="H32" s="6" t="s">
        <v>2931</v>
      </c>
      <c r="I32" s="6" t="s">
        <v>2932</v>
      </c>
      <c r="J32" s="6" t="s">
        <v>34</v>
      </c>
      <c r="K32" s="6" t="s">
        <v>298</v>
      </c>
      <c r="L32" s="6" t="s">
        <v>2933</v>
      </c>
      <c r="M32" s="6" t="s">
        <v>23</v>
      </c>
      <c r="N32" s="6" t="s">
        <v>2934</v>
      </c>
      <c r="O32" s="6" t="s">
        <v>300</v>
      </c>
      <c r="P32" s="10" t="s">
        <v>23</v>
      </c>
      <c r="Q32" s="10" t="s">
        <v>23</v>
      </c>
      <c r="R32" s="10" t="s">
        <v>44</v>
      </c>
      <c r="S32" s="15" t="s">
        <v>1577</v>
      </c>
      <c r="T32" s="10" t="s">
        <v>21</v>
      </c>
      <c r="U32" s="12">
        <v>8061</v>
      </c>
      <c r="V32" s="10" t="s">
        <v>23</v>
      </c>
      <c r="W32" s="10" t="s">
        <v>23</v>
      </c>
      <c r="X32" s="10" t="s">
        <v>23</v>
      </c>
      <c r="Y32" s="6" t="s">
        <v>23</v>
      </c>
      <c r="Z32" s="6" t="s">
        <v>2935</v>
      </c>
      <c r="AA32" s="6" t="s">
        <v>87</v>
      </c>
      <c r="AB32" s="25" t="s">
        <v>87</v>
      </c>
      <c r="AC32" s="26" t="s">
        <v>2936</v>
      </c>
      <c r="AD32" s="27" t="s">
        <v>22</v>
      </c>
      <c r="AE32" s="27" t="s">
        <v>17</v>
      </c>
      <c r="AF32" s="27" t="s">
        <v>2937</v>
      </c>
      <c r="AG32" s="14"/>
    </row>
    <row r="33" spans="1:33" ht="356.25" customHeight="1" x14ac:dyDescent="0.3">
      <c r="A33" s="6">
        <v>454500</v>
      </c>
      <c r="B33" s="6" t="s">
        <v>31</v>
      </c>
      <c r="C33" s="6" t="s">
        <v>2938</v>
      </c>
      <c r="D33" s="7" t="s">
        <v>36</v>
      </c>
      <c r="E33" s="8">
        <v>41753</v>
      </c>
      <c r="F33" s="6" t="s">
        <v>2939</v>
      </c>
      <c r="G33" s="9" t="s">
        <v>33</v>
      </c>
      <c r="H33" s="6" t="s">
        <v>2940</v>
      </c>
      <c r="I33" s="6" t="s">
        <v>2941</v>
      </c>
      <c r="J33" s="6" t="s">
        <v>34</v>
      </c>
      <c r="K33" s="6" t="s">
        <v>298</v>
      </c>
      <c r="L33" s="6" t="s">
        <v>2942</v>
      </c>
      <c r="M33" s="6" t="s">
        <v>23</v>
      </c>
      <c r="N33" s="6" t="s">
        <v>2943</v>
      </c>
      <c r="O33" s="6" t="s">
        <v>2944</v>
      </c>
      <c r="P33" s="10" t="s">
        <v>23</v>
      </c>
      <c r="Q33" s="10" t="s">
        <v>23</v>
      </c>
      <c r="R33" s="10" t="s">
        <v>45</v>
      </c>
      <c r="S33" s="28" t="s">
        <v>2945</v>
      </c>
      <c r="T33" s="10" t="s">
        <v>41</v>
      </c>
      <c r="U33" s="12">
        <v>2647.58</v>
      </c>
      <c r="V33" s="10" t="s">
        <v>23</v>
      </c>
      <c r="W33" s="10" t="s">
        <v>23</v>
      </c>
      <c r="X33" s="10" t="s">
        <v>23</v>
      </c>
      <c r="Y33" s="10" t="s">
        <v>23</v>
      </c>
      <c r="Z33" s="13">
        <v>42307</v>
      </c>
      <c r="AA33" s="29">
        <v>43315</v>
      </c>
      <c r="AB33" s="11" t="s">
        <v>2946</v>
      </c>
      <c r="AC33" s="11" t="s">
        <v>2947</v>
      </c>
      <c r="AD33" s="10" t="s">
        <v>22</v>
      </c>
      <c r="AE33" s="10" t="s">
        <v>341</v>
      </c>
      <c r="AF33" s="10" t="s">
        <v>2948</v>
      </c>
      <c r="AG33" s="14"/>
    </row>
    <row r="34" spans="1:33" ht="85.5" x14ac:dyDescent="0.3">
      <c r="A34" s="6">
        <v>493772</v>
      </c>
      <c r="B34" s="6" t="s">
        <v>31</v>
      </c>
      <c r="C34" s="6" t="s">
        <v>2949</v>
      </c>
      <c r="D34" s="7" t="s">
        <v>36</v>
      </c>
      <c r="E34" s="8">
        <v>42250</v>
      </c>
      <c r="F34" s="6" t="s">
        <v>2950</v>
      </c>
      <c r="G34" s="9" t="s">
        <v>33</v>
      </c>
      <c r="H34" s="6" t="s">
        <v>2951</v>
      </c>
      <c r="I34" s="6" t="s">
        <v>2952</v>
      </c>
      <c r="J34" s="6" t="s">
        <v>34</v>
      </c>
      <c r="K34" s="6" t="s">
        <v>2710</v>
      </c>
      <c r="L34" s="6" t="s">
        <v>2953</v>
      </c>
      <c r="M34" s="6" t="s">
        <v>23</v>
      </c>
      <c r="N34" s="6" t="s">
        <v>2953</v>
      </c>
      <c r="O34" s="6" t="s">
        <v>2954</v>
      </c>
      <c r="P34" s="10" t="s">
        <v>65</v>
      </c>
      <c r="Q34" s="10" t="s">
        <v>65</v>
      </c>
      <c r="R34" s="10" t="s">
        <v>67</v>
      </c>
      <c r="S34" s="15" t="s">
        <v>2955</v>
      </c>
      <c r="T34" s="10" t="s">
        <v>61</v>
      </c>
      <c r="U34" s="12" t="s">
        <v>65</v>
      </c>
      <c r="V34" s="10" t="s">
        <v>65</v>
      </c>
      <c r="W34" s="10" t="s">
        <v>65</v>
      </c>
      <c r="X34" s="12" t="s">
        <v>65</v>
      </c>
      <c r="Y34" s="10" t="s">
        <v>65</v>
      </c>
      <c r="Z34" s="13" t="s">
        <v>2956</v>
      </c>
      <c r="AA34" s="10" t="s">
        <v>65</v>
      </c>
      <c r="AB34" s="11" t="s">
        <v>65</v>
      </c>
      <c r="AC34" s="11" t="s">
        <v>2957</v>
      </c>
      <c r="AD34" s="10" t="s">
        <v>19</v>
      </c>
      <c r="AE34" s="10" t="s">
        <v>341</v>
      </c>
      <c r="AF34" s="10" t="s">
        <v>2958</v>
      </c>
      <c r="AG34" s="5"/>
    </row>
    <row r="35" spans="1:33" ht="72.75" customHeight="1" x14ac:dyDescent="0.3">
      <c r="A35" s="6">
        <v>492279</v>
      </c>
      <c r="B35" s="6" t="s">
        <v>31</v>
      </c>
      <c r="C35" s="6" t="s">
        <v>2959</v>
      </c>
      <c r="D35" s="7" t="s">
        <v>36</v>
      </c>
      <c r="E35" s="8">
        <v>42116</v>
      </c>
      <c r="F35" s="6" t="s">
        <v>2960</v>
      </c>
      <c r="G35" s="16" t="s">
        <v>39</v>
      </c>
      <c r="H35" s="6" t="s">
        <v>2961</v>
      </c>
      <c r="I35" s="6" t="s">
        <v>2962</v>
      </c>
      <c r="J35" s="6" t="s">
        <v>34</v>
      </c>
      <c r="K35" s="6" t="s">
        <v>298</v>
      </c>
      <c r="L35" s="6" t="s">
        <v>2963</v>
      </c>
      <c r="M35" s="6" t="s">
        <v>23</v>
      </c>
      <c r="N35" s="6" t="s">
        <v>2963</v>
      </c>
      <c r="O35" s="6" t="s">
        <v>2964</v>
      </c>
      <c r="P35" s="10" t="s">
        <v>23</v>
      </c>
      <c r="Q35" s="10" t="s">
        <v>23</v>
      </c>
      <c r="R35" s="10" t="s">
        <v>44</v>
      </c>
      <c r="S35" s="15">
        <v>1510</v>
      </c>
      <c r="T35" s="10" t="s">
        <v>68</v>
      </c>
      <c r="U35" s="12">
        <v>600</v>
      </c>
      <c r="V35" s="10" t="s">
        <v>23</v>
      </c>
      <c r="W35" s="10" t="s">
        <v>23</v>
      </c>
      <c r="X35" s="10" t="s">
        <v>23</v>
      </c>
      <c r="Y35" s="10" t="s">
        <v>23</v>
      </c>
      <c r="Z35" s="13">
        <v>42969</v>
      </c>
      <c r="AA35" s="10" t="s">
        <v>23</v>
      </c>
      <c r="AB35" s="11" t="s">
        <v>23</v>
      </c>
      <c r="AC35" s="11" t="s">
        <v>2965</v>
      </c>
      <c r="AD35" s="10" t="s">
        <v>22</v>
      </c>
      <c r="AE35" s="10" t="s">
        <v>3681</v>
      </c>
      <c r="AF35" s="6" t="s">
        <v>546</v>
      </c>
      <c r="AG35" s="5"/>
    </row>
    <row r="36" spans="1:33" ht="42.75" customHeight="1" x14ac:dyDescent="0.3">
      <c r="A36" s="6">
        <v>498496</v>
      </c>
      <c r="B36" s="6" t="s">
        <v>31</v>
      </c>
      <c r="C36" s="6" t="s">
        <v>2966</v>
      </c>
      <c r="D36" s="7" t="s">
        <v>36</v>
      </c>
      <c r="E36" s="8" t="s">
        <v>2967</v>
      </c>
      <c r="F36" s="6" t="s">
        <v>2968</v>
      </c>
      <c r="G36" s="9" t="s">
        <v>33</v>
      </c>
      <c r="H36" s="6" t="s">
        <v>2969</v>
      </c>
      <c r="I36" s="6" t="s">
        <v>2970</v>
      </c>
      <c r="J36" s="6" t="s">
        <v>34</v>
      </c>
      <c r="K36" s="6" t="s">
        <v>298</v>
      </c>
      <c r="L36" s="6" t="s">
        <v>2764</v>
      </c>
      <c r="M36" s="6" t="s">
        <v>23</v>
      </c>
      <c r="N36" s="6" t="s">
        <v>2971</v>
      </c>
      <c r="O36" s="6" t="s">
        <v>2972</v>
      </c>
      <c r="P36" s="10" t="s">
        <v>65</v>
      </c>
      <c r="Q36" s="10" t="s">
        <v>65</v>
      </c>
      <c r="R36" s="10" t="s">
        <v>67</v>
      </c>
      <c r="S36" s="15" t="s">
        <v>2973</v>
      </c>
      <c r="T36" s="10" t="s">
        <v>69</v>
      </c>
      <c r="U36" s="12" t="s">
        <v>70</v>
      </c>
      <c r="V36" s="10" t="s">
        <v>65</v>
      </c>
      <c r="W36" s="10" t="s">
        <v>65</v>
      </c>
      <c r="X36" s="10" t="s">
        <v>65</v>
      </c>
      <c r="Y36" s="10" t="s">
        <v>65</v>
      </c>
      <c r="Z36" s="13" t="s">
        <v>2974</v>
      </c>
      <c r="AA36" s="13">
        <v>44233</v>
      </c>
      <c r="AB36" s="11" t="s">
        <v>65</v>
      </c>
      <c r="AC36" s="11" t="s">
        <v>2975</v>
      </c>
      <c r="AD36" s="10" t="s">
        <v>77</v>
      </c>
      <c r="AE36" s="10" t="s">
        <v>341</v>
      </c>
      <c r="AF36" s="6" t="s">
        <v>2735</v>
      </c>
      <c r="AG36" s="14"/>
    </row>
    <row r="37" spans="1:33" ht="49.5" customHeight="1" x14ac:dyDescent="0.3">
      <c r="A37" s="6">
        <v>526651</v>
      </c>
      <c r="B37" s="6" t="s">
        <v>31</v>
      </c>
      <c r="C37" s="6" t="s">
        <v>2976</v>
      </c>
      <c r="D37" s="7" t="s">
        <v>36</v>
      </c>
      <c r="E37" s="8">
        <v>42444</v>
      </c>
      <c r="F37" s="6" t="s">
        <v>2977</v>
      </c>
      <c r="G37" s="16" t="s">
        <v>39</v>
      </c>
      <c r="H37" s="6" t="s">
        <v>2978</v>
      </c>
      <c r="I37" s="6" t="s">
        <v>2979</v>
      </c>
      <c r="J37" s="6" t="s">
        <v>34</v>
      </c>
      <c r="K37" s="6" t="s">
        <v>298</v>
      </c>
      <c r="L37" s="6" t="s">
        <v>2980</v>
      </c>
      <c r="M37" s="6" t="s">
        <v>23</v>
      </c>
      <c r="N37" s="6" t="s">
        <v>2980</v>
      </c>
      <c r="O37" s="6" t="s">
        <v>2981</v>
      </c>
      <c r="P37" s="10" t="s">
        <v>23</v>
      </c>
      <c r="Q37" s="10" t="s">
        <v>23</v>
      </c>
      <c r="R37" s="10" t="s">
        <v>45</v>
      </c>
      <c r="S37" s="11" t="s">
        <v>2982</v>
      </c>
      <c r="T37" s="10" t="s">
        <v>68</v>
      </c>
      <c r="U37" s="12">
        <v>1842</v>
      </c>
      <c r="V37" s="10" t="s">
        <v>23</v>
      </c>
      <c r="W37" s="10" t="s">
        <v>23</v>
      </c>
      <c r="X37" s="10" t="s">
        <v>23</v>
      </c>
      <c r="Y37" s="10" t="s">
        <v>23</v>
      </c>
      <c r="Z37" s="13">
        <v>44133</v>
      </c>
      <c r="AA37" s="10" t="s">
        <v>23</v>
      </c>
      <c r="AB37" s="11" t="s">
        <v>23</v>
      </c>
      <c r="AC37" s="11" t="s">
        <v>2983</v>
      </c>
      <c r="AD37" s="10" t="s">
        <v>19</v>
      </c>
      <c r="AE37" s="10" t="s">
        <v>439</v>
      </c>
      <c r="AF37" s="10" t="s">
        <v>2984</v>
      </c>
      <c r="AG37" s="14"/>
    </row>
    <row r="38" spans="1:33" ht="30" customHeight="1" x14ac:dyDescent="0.3">
      <c r="A38" s="6">
        <v>347551</v>
      </c>
      <c r="B38" s="6" t="s">
        <v>31</v>
      </c>
      <c r="C38" s="6" t="s">
        <v>2985</v>
      </c>
      <c r="D38" s="7" t="s">
        <v>36</v>
      </c>
      <c r="E38" s="8">
        <v>40590</v>
      </c>
      <c r="F38" s="6" t="s">
        <v>2312</v>
      </c>
      <c r="G38" s="9" t="s">
        <v>33</v>
      </c>
      <c r="H38" s="6" t="s">
        <v>2986</v>
      </c>
      <c r="I38" s="6" t="s">
        <v>2987</v>
      </c>
      <c r="J38" s="6" t="s">
        <v>34</v>
      </c>
      <c r="K38" s="6" t="s">
        <v>298</v>
      </c>
      <c r="L38" s="6" t="s">
        <v>2988</v>
      </c>
      <c r="M38" s="6" t="s">
        <v>23</v>
      </c>
      <c r="N38" s="6" t="s">
        <v>2989</v>
      </c>
      <c r="O38" s="6" t="s">
        <v>2990</v>
      </c>
      <c r="P38" s="10" t="s">
        <v>23</v>
      </c>
      <c r="Q38" s="10" t="s">
        <v>23</v>
      </c>
      <c r="R38" s="10" t="s">
        <v>2991</v>
      </c>
      <c r="S38" s="15" t="s">
        <v>2992</v>
      </c>
      <c r="T38" s="10" t="s">
        <v>157</v>
      </c>
      <c r="U38" s="12">
        <v>1730</v>
      </c>
      <c r="V38" s="10" t="s">
        <v>23</v>
      </c>
      <c r="W38" s="10" t="s">
        <v>23</v>
      </c>
      <c r="X38" s="10" t="s">
        <v>23</v>
      </c>
      <c r="Y38" s="10" t="s">
        <v>23</v>
      </c>
      <c r="Z38" s="13" t="s">
        <v>23</v>
      </c>
      <c r="AA38" s="10" t="s">
        <v>23</v>
      </c>
      <c r="AB38" s="11" t="s">
        <v>23</v>
      </c>
      <c r="AC38" s="11" t="s">
        <v>2993</v>
      </c>
      <c r="AD38" s="10" t="s">
        <v>19</v>
      </c>
      <c r="AE38" s="10" t="s">
        <v>439</v>
      </c>
      <c r="AF38" s="6" t="s">
        <v>2994</v>
      </c>
      <c r="AG38" s="5"/>
    </row>
    <row r="39" spans="1:33" ht="28.5" x14ac:dyDescent="0.3">
      <c r="A39" s="6">
        <v>524062</v>
      </c>
      <c r="B39" s="6" t="s">
        <v>31</v>
      </c>
      <c r="C39" s="6" t="s">
        <v>2995</v>
      </c>
      <c r="D39" s="7" t="s">
        <v>36</v>
      </c>
      <c r="E39" s="8">
        <v>42412</v>
      </c>
      <c r="F39" s="6" t="s">
        <v>495</v>
      </c>
      <c r="G39" s="16" t="s">
        <v>39</v>
      </c>
      <c r="H39" s="6" t="s">
        <v>2996</v>
      </c>
      <c r="I39" s="6" t="s">
        <v>2997</v>
      </c>
      <c r="J39" s="6" t="s">
        <v>34</v>
      </c>
      <c r="K39" s="6" t="s">
        <v>298</v>
      </c>
      <c r="L39" s="6" t="s">
        <v>2998</v>
      </c>
      <c r="M39" s="6" t="s">
        <v>23</v>
      </c>
      <c r="N39" s="6" t="s">
        <v>2998</v>
      </c>
      <c r="O39" s="6" t="s">
        <v>2999</v>
      </c>
      <c r="P39" s="10" t="s">
        <v>23</v>
      </c>
      <c r="Q39" s="10" t="s">
        <v>23</v>
      </c>
      <c r="R39" s="10" t="s">
        <v>44</v>
      </c>
      <c r="S39" s="15" t="s">
        <v>3000</v>
      </c>
      <c r="T39" s="10" t="s">
        <v>51</v>
      </c>
      <c r="U39" s="12" t="s">
        <v>23</v>
      </c>
      <c r="V39" s="10" t="s">
        <v>23</v>
      </c>
      <c r="W39" s="10" t="s">
        <v>23</v>
      </c>
      <c r="X39" s="12" t="s">
        <v>23</v>
      </c>
      <c r="Y39" s="10" t="s">
        <v>23</v>
      </c>
      <c r="Z39" s="13" t="s">
        <v>23</v>
      </c>
      <c r="AA39" s="10" t="s">
        <v>23</v>
      </c>
      <c r="AB39" s="11" t="s">
        <v>23</v>
      </c>
      <c r="AC39" s="11" t="s">
        <v>3001</v>
      </c>
      <c r="AD39" s="10" t="s">
        <v>19</v>
      </c>
      <c r="AE39" s="10" t="s">
        <v>439</v>
      </c>
      <c r="AF39" s="6" t="s">
        <v>3002</v>
      </c>
      <c r="AG39" s="5"/>
    </row>
    <row r="40" spans="1:33" ht="64.5" customHeight="1" x14ac:dyDescent="0.3">
      <c r="A40" s="6">
        <v>535702</v>
      </c>
      <c r="B40" s="6" t="s">
        <v>31</v>
      </c>
      <c r="C40" s="7" t="s">
        <v>3003</v>
      </c>
      <c r="D40" s="7" t="s">
        <v>36</v>
      </c>
      <c r="E40" s="30">
        <v>42570</v>
      </c>
      <c r="F40" s="7" t="s">
        <v>3004</v>
      </c>
      <c r="G40" s="16" t="s">
        <v>39</v>
      </c>
      <c r="H40" s="6" t="s">
        <v>3005</v>
      </c>
      <c r="I40" s="6" t="s">
        <v>3006</v>
      </c>
      <c r="J40" s="6" t="s">
        <v>71</v>
      </c>
      <c r="K40" s="6" t="s">
        <v>298</v>
      </c>
      <c r="L40" s="6" t="s">
        <v>3007</v>
      </c>
      <c r="M40" s="6" t="s">
        <v>23</v>
      </c>
      <c r="N40" s="6" t="s">
        <v>3007</v>
      </c>
      <c r="O40" s="6" t="s">
        <v>3008</v>
      </c>
      <c r="P40" s="10" t="s">
        <v>23</v>
      </c>
      <c r="Q40" s="10" t="s">
        <v>23</v>
      </c>
      <c r="R40" s="10" t="s">
        <v>72</v>
      </c>
      <c r="S40" s="11" t="s">
        <v>23</v>
      </c>
      <c r="T40" s="10" t="s">
        <v>41</v>
      </c>
      <c r="U40" s="12" t="s">
        <v>23</v>
      </c>
      <c r="V40" s="10" t="s">
        <v>23</v>
      </c>
      <c r="W40" s="10" t="s">
        <v>23</v>
      </c>
      <c r="X40" s="12" t="s">
        <v>23</v>
      </c>
      <c r="Y40" s="10" t="s">
        <v>23</v>
      </c>
      <c r="Z40" s="10" t="s">
        <v>23</v>
      </c>
      <c r="AA40" s="10" t="s">
        <v>23</v>
      </c>
      <c r="AB40" s="11" t="s">
        <v>23</v>
      </c>
      <c r="AC40" s="11" t="s">
        <v>3009</v>
      </c>
      <c r="AD40" s="10" t="s">
        <v>19</v>
      </c>
      <c r="AE40" s="10" t="s">
        <v>17</v>
      </c>
      <c r="AF40" s="6" t="s">
        <v>3010</v>
      </c>
      <c r="AG40" s="5"/>
    </row>
    <row r="41" spans="1:33" ht="70.5" customHeight="1" x14ac:dyDescent="0.3">
      <c r="A41" s="7">
        <v>20208</v>
      </c>
      <c r="B41" s="7" t="s">
        <v>31</v>
      </c>
      <c r="C41" s="7" t="s">
        <v>3011</v>
      </c>
      <c r="D41" s="7" t="s">
        <v>36</v>
      </c>
      <c r="E41" s="30">
        <v>37622</v>
      </c>
      <c r="F41" s="7" t="s">
        <v>3012</v>
      </c>
      <c r="G41" s="16" t="s">
        <v>39</v>
      </c>
      <c r="H41" s="7" t="s">
        <v>3013</v>
      </c>
      <c r="I41" s="7" t="s">
        <v>3014</v>
      </c>
      <c r="J41" s="7" t="s">
        <v>71</v>
      </c>
      <c r="K41" s="7" t="s">
        <v>298</v>
      </c>
      <c r="L41" s="31" t="s">
        <v>3015</v>
      </c>
      <c r="M41" s="7" t="s">
        <v>17</v>
      </c>
      <c r="N41" s="10" t="s">
        <v>23</v>
      </c>
      <c r="O41" s="10" t="s">
        <v>23</v>
      </c>
      <c r="P41" s="10" t="s">
        <v>23</v>
      </c>
      <c r="Q41" s="10" t="s">
        <v>23</v>
      </c>
      <c r="R41" s="10" t="s">
        <v>73</v>
      </c>
      <c r="S41" s="10" t="s">
        <v>23</v>
      </c>
      <c r="T41" s="10" t="s">
        <v>74</v>
      </c>
      <c r="U41" s="10" t="s">
        <v>23</v>
      </c>
      <c r="V41" s="10" t="s">
        <v>23</v>
      </c>
      <c r="W41" s="10" t="s">
        <v>23</v>
      </c>
      <c r="X41" s="10" t="s">
        <v>23</v>
      </c>
      <c r="Y41" s="10" t="s">
        <v>23</v>
      </c>
      <c r="Z41" s="10" t="s">
        <v>23</v>
      </c>
      <c r="AA41" s="10" t="s">
        <v>23</v>
      </c>
      <c r="AB41" s="11" t="s">
        <v>23</v>
      </c>
      <c r="AC41" s="11" t="s">
        <v>23</v>
      </c>
      <c r="AD41" s="10" t="s">
        <v>19</v>
      </c>
      <c r="AE41" s="10" t="s">
        <v>3681</v>
      </c>
      <c r="AF41" s="10" t="s">
        <v>3016</v>
      </c>
      <c r="AG41" s="5"/>
    </row>
    <row r="42" spans="1:33" ht="54.75" customHeight="1" x14ac:dyDescent="0.3">
      <c r="A42" s="7">
        <v>545764</v>
      </c>
      <c r="B42" s="7" t="s">
        <v>31</v>
      </c>
      <c r="C42" s="7" t="s">
        <v>3017</v>
      </c>
      <c r="D42" s="7" t="s">
        <v>36</v>
      </c>
      <c r="E42" s="30">
        <v>42768</v>
      </c>
      <c r="F42" s="7" t="s">
        <v>3018</v>
      </c>
      <c r="G42" s="16" t="s">
        <v>39</v>
      </c>
      <c r="H42" s="7" t="s">
        <v>3019</v>
      </c>
      <c r="I42" s="7" t="s">
        <v>3020</v>
      </c>
      <c r="J42" s="7" t="s">
        <v>71</v>
      </c>
      <c r="K42" s="7" t="s">
        <v>2710</v>
      </c>
      <c r="L42" s="7" t="s">
        <v>3021</v>
      </c>
      <c r="M42" s="7" t="s">
        <v>23</v>
      </c>
      <c r="N42" s="7" t="s">
        <v>3021</v>
      </c>
      <c r="O42" s="7" t="s">
        <v>23</v>
      </c>
      <c r="P42" s="7" t="s">
        <v>23</v>
      </c>
      <c r="Q42" s="7" t="s">
        <v>23</v>
      </c>
      <c r="R42" s="7" t="s">
        <v>23</v>
      </c>
      <c r="S42" s="7" t="s">
        <v>23</v>
      </c>
      <c r="T42" s="32" t="s">
        <v>75</v>
      </c>
      <c r="U42" s="33" t="s">
        <v>23</v>
      </c>
      <c r="V42" s="33" t="s">
        <v>23</v>
      </c>
      <c r="W42" s="33" t="s">
        <v>23</v>
      </c>
      <c r="X42" s="33" t="s">
        <v>23</v>
      </c>
      <c r="Y42" s="33" t="s">
        <v>23</v>
      </c>
      <c r="Z42" s="33" t="s">
        <v>23</v>
      </c>
      <c r="AA42" s="33" t="s">
        <v>23</v>
      </c>
      <c r="AB42" s="34" t="s">
        <v>23</v>
      </c>
      <c r="AC42" s="35" t="s">
        <v>3022</v>
      </c>
      <c r="AD42" s="10" t="s">
        <v>19</v>
      </c>
      <c r="AE42" s="10" t="s">
        <v>17</v>
      </c>
      <c r="AF42" s="7" t="s">
        <v>3023</v>
      </c>
      <c r="AG42" s="5"/>
    </row>
    <row r="43" spans="1:33" ht="206.25" customHeight="1" x14ac:dyDescent="0.3">
      <c r="A43" s="7">
        <v>545547</v>
      </c>
      <c r="B43" s="7" t="s">
        <v>31</v>
      </c>
      <c r="C43" s="7" t="s">
        <v>3024</v>
      </c>
      <c r="D43" s="7" t="s">
        <v>36</v>
      </c>
      <c r="E43" s="30" t="s">
        <v>3025</v>
      </c>
      <c r="F43" s="7" t="s">
        <v>3026</v>
      </c>
      <c r="G43" s="16" t="s">
        <v>52</v>
      </c>
      <c r="H43" s="7" t="s">
        <v>3027</v>
      </c>
      <c r="I43" s="7" t="s">
        <v>3028</v>
      </c>
      <c r="J43" s="7" t="s">
        <v>34</v>
      </c>
      <c r="K43" s="7" t="s">
        <v>2710</v>
      </c>
      <c r="L43" s="7" t="s">
        <v>3029</v>
      </c>
      <c r="M43" s="6" t="s">
        <v>23</v>
      </c>
      <c r="N43" s="7" t="s">
        <v>3029</v>
      </c>
      <c r="O43" s="6" t="s">
        <v>23</v>
      </c>
      <c r="P43" s="6" t="s">
        <v>23</v>
      </c>
      <c r="Q43" s="6" t="s">
        <v>23</v>
      </c>
      <c r="R43" s="6" t="s">
        <v>23</v>
      </c>
      <c r="S43" s="6" t="s">
        <v>23</v>
      </c>
      <c r="T43" s="32" t="s">
        <v>76</v>
      </c>
      <c r="U43" s="6" t="s">
        <v>23</v>
      </c>
      <c r="V43" s="6" t="s">
        <v>23</v>
      </c>
      <c r="W43" s="6" t="s">
        <v>23</v>
      </c>
      <c r="X43" s="6" t="s">
        <v>23</v>
      </c>
      <c r="Y43" s="6" t="s">
        <v>23</v>
      </c>
      <c r="Z43" s="8">
        <v>43018</v>
      </c>
      <c r="AA43" s="8">
        <v>44110</v>
      </c>
      <c r="AB43" s="25" t="s">
        <v>23</v>
      </c>
      <c r="AC43" s="35" t="s">
        <v>3030</v>
      </c>
      <c r="AD43" s="10" t="s">
        <v>77</v>
      </c>
      <c r="AE43" s="10" t="s">
        <v>341</v>
      </c>
      <c r="AF43" s="7" t="s">
        <v>2948</v>
      </c>
      <c r="AG43" s="5"/>
    </row>
    <row r="44" spans="1:33" ht="27.75" customHeight="1" x14ac:dyDescent="0.3">
      <c r="A44" s="7">
        <v>557203</v>
      </c>
      <c r="B44" s="7" t="s">
        <v>31</v>
      </c>
      <c r="C44" s="7" t="s">
        <v>3031</v>
      </c>
      <c r="D44" s="7" t="s">
        <v>78</v>
      </c>
      <c r="E44" s="30">
        <v>42944</v>
      </c>
      <c r="F44" s="7" t="s">
        <v>2795</v>
      </c>
      <c r="G44" s="9" t="s">
        <v>33</v>
      </c>
      <c r="H44" s="7" t="s">
        <v>3032</v>
      </c>
      <c r="I44" s="7" t="s">
        <v>3033</v>
      </c>
      <c r="J44" s="7" t="s">
        <v>34</v>
      </c>
      <c r="K44" s="7" t="s">
        <v>2710</v>
      </c>
      <c r="L44" s="7" t="s">
        <v>3034</v>
      </c>
      <c r="M44" s="7" t="s">
        <v>23</v>
      </c>
      <c r="N44" s="36" t="s">
        <v>3035</v>
      </c>
      <c r="O44" s="7" t="s">
        <v>699</v>
      </c>
      <c r="P44" s="32" t="s">
        <v>17</v>
      </c>
      <c r="Q44" s="32" t="s">
        <v>17</v>
      </c>
      <c r="R44" s="6" t="s">
        <v>3683</v>
      </c>
      <c r="S44" s="6" t="s">
        <v>3036</v>
      </c>
      <c r="T44" s="32" t="s">
        <v>68</v>
      </c>
      <c r="U44" s="6" t="s">
        <v>79</v>
      </c>
      <c r="V44" s="6" t="s">
        <v>23</v>
      </c>
      <c r="W44" s="6" t="s">
        <v>23</v>
      </c>
      <c r="X44" s="6" t="s">
        <v>23</v>
      </c>
      <c r="Y44" s="6" t="s">
        <v>23</v>
      </c>
      <c r="Z44" s="6" t="s">
        <v>23</v>
      </c>
      <c r="AA44" s="6" t="s">
        <v>23</v>
      </c>
      <c r="AB44" s="6" t="s">
        <v>23</v>
      </c>
      <c r="AC44" s="35" t="s">
        <v>3037</v>
      </c>
      <c r="AD44" s="32" t="s">
        <v>19</v>
      </c>
      <c r="AE44" s="32"/>
      <c r="AF44" s="7" t="s">
        <v>996</v>
      </c>
      <c r="AG44" s="5"/>
    </row>
    <row r="45" spans="1:33" ht="79.5" customHeight="1" x14ac:dyDescent="0.3">
      <c r="A45" s="7">
        <v>552215</v>
      </c>
      <c r="B45" s="7" t="s">
        <v>31</v>
      </c>
      <c r="C45" s="7" t="s">
        <v>3038</v>
      </c>
      <c r="D45" s="7" t="s">
        <v>32</v>
      </c>
      <c r="E45" s="30">
        <v>42880</v>
      </c>
      <c r="F45" s="7" t="s">
        <v>3039</v>
      </c>
      <c r="G45" s="9" t="s">
        <v>33</v>
      </c>
      <c r="H45" s="7" t="s">
        <v>3040</v>
      </c>
      <c r="I45" s="7" t="s">
        <v>1694</v>
      </c>
      <c r="J45" s="7" t="s">
        <v>34</v>
      </c>
      <c r="K45" s="7" t="s">
        <v>298</v>
      </c>
      <c r="L45" s="7" t="s">
        <v>3041</v>
      </c>
      <c r="M45" s="7" t="s">
        <v>23</v>
      </c>
      <c r="N45" s="7" t="s">
        <v>3042</v>
      </c>
      <c r="O45" s="7" t="s">
        <v>23</v>
      </c>
      <c r="P45" s="7" t="s">
        <v>23</v>
      </c>
      <c r="Q45" s="7" t="s">
        <v>23</v>
      </c>
      <c r="R45" s="7" t="s">
        <v>23</v>
      </c>
      <c r="S45" s="7" t="s">
        <v>23</v>
      </c>
      <c r="T45" s="7" t="s">
        <v>23</v>
      </c>
      <c r="U45" s="7" t="s">
        <v>23</v>
      </c>
      <c r="V45" s="7" t="s">
        <v>23</v>
      </c>
      <c r="W45" s="7" t="s">
        <v>23</v>
      </c>
      <c r="X45" s="7" t="s">
        <v>23</v>
      </c>
      <c r="Y45" s="7" t="s">
        <v>23</v>
      </c>
      <c r="Z45" s="30">
        <v>43424</v>
      </c>
      <c r="AA45" s="7" t="s">
        <v>23</v>
      </c>
      <c r="AB45" s="36" t="s">
        <v>23</v>
      </c>
      <c r="AC45" s="35" t="s">
        <v>3043</v>
      </c>
      <c r="AD45" s="10" t="s">
        <v>22</v>
      </c>
      <c r="AE45" s="10" t="s">
        <v>341</v>
      </c>
      <c r="AF45" s="32" t="s">
        <v>493</v>
      </c>
      <c r="AG45" s="5"/>
    </row>
    <row r="46" spans="1:33" ht="74.25" customHeight="1" x14ac:dyDescent="0.3">
      <c r="A46" s="7">
        <v>552770</v>
      </c>
      <c r="B46" s="7" t="s">
        <v>31</v>
      </c>
      <c r="C46" s="7" t="s">
        <v>3044</v>
      </c>
      <c r="D46" s="7" t="s">
        <v>36</v>
      </c>
      <c r="E46" s="30" t="s">
        <v>3045</v>
      </c>
      <c r="F46" s="7" t="s">
        <v>3046</v>
      </c>
      <c r="G46" s="16" t="s">
        <v>39</v>
      </c>
      <c r="H46" s="7" t="s">
        <v>3047</v>
      </c>
      <c r="I46" s="7" t="s">
        <v>3048</v>
      </c>
      <c r="J46" s="7" t="s">
        <v>34</v>
      </c>
      <c r="K46" s="7" t="s">
        <v>298</v>
      </c>
      <c r="L46" s="7" t="s">
        <v>3049</v>
      </c>
      <c r="M46" s="6" t="s">
        <v>23</v>
      </c>
      <c r="N46" s="7" t="s">
        <v>3049</v>
      </c>
      <c r="O46" s="7" t="s">
        <v>3050</v>
      </c>
      <c r="P46" s="6" t="s">
        <v>23</v>
      </c>
      <c r="Q46" s="6" t="s">
        <v>23</v>
      </c>
      <c r="R46" s="6" t="s">
        <v>23</v>
      </c>
      <c r="S46" s="6" t="s">
        <v>23</v>
      </c>
      <c r="T46" s="32" t="s">
        <v>57</v>
      </c>
      <c r="U46" s="10" t="s">
        <v>23</v>
      </c>
      <c r="V46" s="10" t="s">
        <v>23</v>
      </c>
      <c r="W46" s="10" t="s">
        <v>23</v>
      </c>
      <c r="X46" s="10" t="s">
        <v>23</v>
      </c>
      <c r="Y46" s="10" t="s">
        <v>23</v>
      </c>
      <c r="Z46" s="30">
        <v>43287</v>
      </c>
      <c r="AA46" s="30" t="s">
        <v>3051</v>
      </c>
      <c r="AB46" s="11" t="s">
        <v>23</v>
      </c>
      <c r="AC46" s="11" t="s">
        <v>3052</v>
      </c>
      <c r="AD46" s="10" t="s">
        <v>77</v>
      </c>
      <c r="AE46" s="10" t="s">
        <v>439</v>
      </c>
      <c r="AF46" s="10" t="s">
        <v>3053</v>
      </c>
      <c r="AG46" s="5"/>
    </row>
    <row r="47" spans="1:33" ht="153" customHeight="1" x14ac:dyDescent="0.3">
      <c r="A47" s="7">
        <v>555753</v>
      </c>
      <c r="B47" s="7" t="s">
        <v>31</v>
      </c>
      <c r="C47" s="7" t="s">
        <v>3054</v>
      </c>
      <c r="D47" s="7" t="s">
        <v>36</v>
      </c>
      <c r="E47" s="30" t="s">
        <v>3055</v>
      </c>
      <c r="F47" s="7" t="s">
        <v>3056</v>
      </c>
      <c r="G47" s="16" t="s">
        <v>39</v>
      </c>
      <c r="H47" s="7" t="s">
        <v>3057</v>
      </c>
      <c r="I47" s="7" t="s">
        <v>3058</v>
      </c>
      <c r="J47" s="7" t="s">
        <v>34</v>
      </c>
      <c r="K47" s="7" t="s">
        <v>298</v>
      </c>
      <c r="L47" s="7" t="s">
        <v>3059</v>
      </c>
      <c r="M47" s="7" t="s">
        <v>23</v>
      </c>
      <c r="N47" s="7" t="s">
        <v>3059</v>
      </c>
      <c r="O47" s="7" t="s">
        <v>3060</v>
      </c>
      <c r="P47" s="32" t="s">
        <v>65</v>
      </c>
      <c r="Q47" s="32" t="s">
        <v>65</v>
      </c>
      <c r="R47" s="32" t="s">
        <v>3061</v>
      </c>
      <c r="S47" s="35" t="s">
        <v>3062</v>
      </c>
      <c r="T47" s="32" t="s">
        <v>61</v>
      </c>
      <c r="U47" s="35" t="s">
        <v>80</v>
      </c>
      <c r="V47" s="32" t="s">
        <v>65</v>
      </c>
      <c r="W47" s="37" t="s">
        <v>23</v>
      </c>
      <c r="X47" s="33" t="s">
        <v>65</v>
      </c>
      <c r="Y47" s="32" t="s">
        <v>65</v>
      </c>
      <c r="Z47" s="13" t="s">
        <v>3063</v>
      </c>
      <c r="AA47" s="13">
        <v>44203</v>
      </c>
      <c r="AB47" s="11" t="s">
        <v>65</v>
      </c>
      <c r="AC47" s="35" t="s">
        <v>3064</v>
      </c>
      <c r="AD47" s="10" t="s">
        <v>22</v>
      </c>
      <c r="AE47" s="10" t="s">
        <v>3684</v>
      </c>
      <c r="AF47" s="7" t="s">
        <v>546</v>
      </c>
      <c r="AG47" s="5"/>
    </row>
    <row r="48" spans="1:33" ht="67.5" customHeight="1" x14ac:dyDescent="0.3">
      <c r="A48" s="38" t="s">
        <v>3065</v>
      </c>
      <c r="B48" s="6" t="s">
        <v>137</v>
      </c>
      <c r="C48" s="39" t="s">
        <v>3066</v>
      </c>
      <c r="D48" s="6" t="s">
        <v>138</v>
      </c>
      <c r="E48" s="8">
        <v>44147</v>
      </c>
      <c r="F48" s="6" t="s">
        <v>3067</v>
      </c>
      <c r="G48" s="9" t="s">
        <v>33</v>
      </c>
      <c r="H48" s="6" t="s">
        <v>3068</v>
      </c>
      <c r="I48" s="6" t="s">
        <v>3069</v>
      </c>
      <c r="J48" s="6" t="s">
        <v>34</v>
      </c>
      <c r="K48" s="6" t="s">
        <v>298</v>
      </c>
      <c r="L48" s="6" t="s">
        <v>3070</v>
      </c>
      <c r="M48" s="6" t="s">
        <v>23</v>
      </c>
      <c r="N48" s="25" t="s">
        <v>3071</v>
      </c>
      <c r="O48" s="6" t="s">
        <v>23</v>
      </c>
      <c r="P48" s="10" t="s">
        <v>17</v>
      </c>
      <c r="Q48" s="10" t="s">
        <v>17</v>
      </c>
      <c r="R48" s="10" t="s">
        <v>23</v>
      </c>
      <c r="S48" s="11" t="s">
        <v>23</v>
      </c>
      <c r="T48" s="10" t="s">
        <v>17</v>
      </c>
      <c r="U48" s="12" t="s">
        <v>23</v>
      </c>
      <c r="V48" s="10" t="s">
        <v>23</v>
      </c>
      <c r="W48" s="10" t="s">
        <v>23</v>
      </c>
      <c r="X48" s="10" t="s">
        <v>23</v>
      </c>
      <c r="Y48" s="10" t="s">
        <v>23</v>
      </c>
      <c r="Z48" s="10" t="s">
        <v>23</v>
      </c>
      <c r="AA48" s="10" t="s">
        <v>23</v>
      </c>
      <c r="AB48" s="10" t="s">
        <v>23</v>
      </c>
      <c r="AC48" s="11" t="s">
        <v>3072</v>
      </c>
      <c r="AD48" s="10" t="s">
        <v>19</v>
      </c>
      <c r="AE48" s="10" t="s">
        <v>17</v>
      </c>
      <c r="AF48" s="7" t="s">
        <v>2333</v>
      </c>
      <c r="AG48" s="5"/>
    </row>
    <row r="49" spans="1:33" ht="256.5" customHeight="1" x14ac:dyDescent="0.3">
      <c r="A49" s="6">
        <v>671001</v>
      </c>
      <c r="B49" s="6" t="s">
        <v>31</v>
      </c>
      <c r="C49" s="6" t="s">
        <v>3073</v>
      </c>
      <c r="D49" s="7" t="s">
        <v>78</v>
      </c>
      <c r="E49" s="8">
        <v>44307</v>
      </c>
      <c r="F49" s="6" t="s">
        <v>3074</v>
      </c>
      <c r="G49" s="9" t="s">
        <v>33</v>
      </c>
      <c r="H49" s="6" t="s">
        <v>3075</v>
      </c>
      <c r="I49" s="6" t="s">
        <v>3076</v>
      </c>
      <c r="J49" s="6" t="s">
        <v>34</v>
      </c>
      <c r="K49" s="6" t="s">
        <v>298</v>
      </c>
      <c r="L49" s="6" t="s">
        <v>2764</v>
      </c>
      <c r="M49" s="6" t="s">
        <v>23</v>
      </c>
      <c r="N49" s="6" t="s">
        <v>3077</v>
      </c>
      <c r="O49" s="6" t="s">
        <v>23</v>
      </c>
      <c r="P49" s="10" t="s">
        <v>23</v>
      </c>
      <c r="Q49" s="10" t="s">
        <v>23</v>
      </c>
      <c r="R49" s="10" t="s">
        <v>3078</v>
      </c>
      <c r="S49" s="15" t="s">
        <v>23</v>
      </c>
      <c r="T49" s="10" t="s">
        <v>75</v>
      </c>
      <c r="U49" s="12" t="s">
        <v>23</v>
      </c>
      <c r="V49" s="10" t="s">
        <v>23</v>
      </c>
      <c r="W49" s="10" t="s">
        <v>23</v>
      </c>
      <c r="X49" s="10" t="s">
        <v>23</v>
      </c>
      <c r="Y49" s="10" t="s">
        <v>23</v>
      </c>
      <c r="Z49" s="13">
        <v>44517</v>
      </c>
      <c r="AA49" s="13">
        <v>44845</v>
      </c>
      <c r="AB49" s="11" t="s">
        <v>3079</v>
      </c>
      <c r="AC49" s="25" t="s">
        <v>3080</v>
      </c>
      <c r="AD49" s="6" t="s">
        <v>3682</v>
      </c>
      <c r="AE49" s="6" t="s">
        <v>341</v>
      </c>
      <c r="AF49" s="6" t="s">
        <v>2735</v>
      </c>
      <c r="AG49" s="5"/>
    </row>
    <row r="50" spans="1:33" ht="128.25" x14ac:dyDescent="0.3">
      <c r="A50" s="7">
        <v>680724</v>
      </c>
      <c r="B50" s="7" t="s">
        <v>31</v>
      </c>
      <c r="C50" s="7" t="s">
        <v>3081</v>
      </c>
      <c r="D50" s="7" t="s">
        <v>36</v>
      </c>
      <c r="E50" s="30" t="s">
        <v>3082</v>
      </c>
      <c r="F50" s="7" t="s">
        <v>3083</v>
      </c>
      <c r="G50" s="16" t="s">
        <v>52</v>
      </c>
      <c r="H50" s="7" t="s">
        <v>3084</v>
      </c>
      <c r="I50" s="7" t="s">
        <v>3085</v>
      </c>
      <c r="J50" s="7" t="s">
        <v>34</v>
      </c>
      <c r="K50" s="7" t="s">
        <v>298</v>
      </c>
      <c r="L50" s="7" t="s">
        <v>3086</v>
      </c>
      <c r="M50" s="7" t="s">
        <v>17</v>
      </c>
      <c r="N50" s="7" t="s">
        <v>3087</v>
      </c>
      <c r="O50" s="7" t="s">
        <v>17</v>
      </c>
      <c r="P50" s="32" t="s">
        <v>17</v>
      </c>
      <c r="Q50" s="32" t="s">
        <v>17</v>
      </c>
      <c r="R50" s="32" t="s">
        <v>81</v>
      </c>
      <c r="S50" s="35" t="s">
        <v>17</v>
      </c>
      <c r="T50" s="32" t="s">
        <v>17</v>
      </c>
      <c r="U50" s="12" t="s">
        <v>17</v>
      </c>
      <c r="V50" s="40" t="s">
        <v>17</v>
      </c>
      <c r="W50" s="41" t="s">
        <v>17</v>
      </c>
      <c r="X50" s="41" t="s">
        <v>17</v>
      </c>
      <c r="Y50" s="41" t="s">
        <v>17</v>
      </c>
      <c r="Z50" s="41" t="s">
        <v>3088</v>
      </c>
      <c r="AA50" s="41" t="s">
        <v>17</v>
      </c>
      <c r="AB50" s="42" t="s">
        <v>87</v>
      </c>
      <c r="AC50" s="35" t="s">
        <v>3089</v>
      </c>
      <c r="AD50" s="32" t="s">
        <v>82</v>
      </c>
      <c r="AE50" s="32"/>
      <c r="AF50" s="7" t="s">
        <v>3090</v>
      </c>
      <c r="AG50" s="5"/>
    </row>
    <row r="51" spans="1:33" ht="128.25" x14ac:dyDescent="0.3">
      <c r="A51" s="6">
        <v>680477</v>
      </c>
      <c r="B51" s="6" t="s">
        <v>31</v>
      </c>
      <c r="C51" s="7" t="s">
        <v>3091</v>
      </c>
      <c r="D51" s="7" t="s">
        <v>36</v>
      </c>
      <c r="E51" s="8">
        <v>44433</v>
      </c>
      <c r="F51" s="6" t="s">
        <v>3092</v>
      </c>
      <c r="G51" s="16" t="s">
        <v>39</v>
      </c>
      <c r="H51" s="6" t="s">
        <v>3093</v>
      </c>
      <c r="I51" s="6" t="s">
        <v>3094</v>
      </c>
      <c r="J51" s="7" t="s">
        <v>34</v>
      </c>
      <c r="K51" s="7" t="s">
        <v>2710</v>
      </c>
      <c r="L51" s="6" t="s">
        <v>3095</v>
      </c>
      <c r="M51" s="6" t="s">
        <v>460</v>
      </c>
      <c r="N51" s="6" t="s">
        <v>3096</v>
      </c>
      <c r="O51" s="6" t="s">
        <v>3097</v>
      </c>
      <c r="P51" s="10" t="s">
        <v>17</v>
      </c>
      <c r="Q51" s="10" t="s">
        <v>17</v>
      </c>
      <c r="R51" s="10" t="s">
        <v>81</v>
      </c>
      <c r="S51" s="10" t="s">
        <v>3098</v>
      </c>
      <c r="T51" s="10" t="s">
        <v>157</v>
      </c>
      <c r="U51" s="12" t="s">
        <v>17</v>
      </c>
      <c r="V51" s="40" t="s">
        <v>17</v>
      </c>
      <c r="W51" s="41" t="s">
        <v>17</v>
      </c>
      <c r="X51" s="41" t="s">
        <v>17</v>
      </c>
      <c r="Y51" s="41" t="s">
        <v>17</v>
      </c>
      <c r="Z51" s="41" t="s">
        <v>3099</v>
      </c>
      <c r="AA51" s="41" t="s">
        <v>3100</v>
      </c>
      <c r="AB51" s="42" t="s">
        <v>17</v>
      </c>
      <c r="AC51" s="42" t="s">
        <v>3101</v>
      </c>
      <c r="AD51" s="10" t="s">
        <v>22</v>
      </c>
      <c r="AE51" s="10" t="s">
        <v>17</v>
      </c>
      <c r="AF51" s="10" t="s">
        <v>3102</v>
      </c>
      <c r="AG51" s="5"/>
    </row>
    <row r="52" spans="1:33" ht="29.25" customHeight="1" x14ac:dyDescent="0.3">
      <c r="A52" s="43">
        <v>672853</v>
      </c>
      <c r="B52" s="43" t="s">
        <v>31</v>
      </c>
      <c r="C52" s="25" t="s">
        <v>3103</v>
      </c>
      <c r="D52" s="22" t="s">
        <v>36</v>
      </c>
      <c r="E52" s="8">
        <v>44329</v>
      </c>
      <c r="F52" s="7" t="s">
        <v>3104</v>
      </c>
      <c r="G52" s="16" t="s">
        <v>39</v>
      </c>
      <c r="H52" s="36" t="s">
        <v>3105</v>
      </c>
      <c r="I52" s="36" t="s">
        <v>3106</v>
      </c>
      <c r="J52" s="6" t="s">
        <v>34</v>
      </c>
      <c r="K52" s="6" t="s">
        <v>298</v>
      </c>
      <c r="L52" s="7" t="s">
        <v>3107</v>
      </c>
      <c r="M52" s="7" t="s">
        <v>17</v>
      </c>
      <c r="N52" s="7" t="s">
        <v>3108</v>
      </c>
      <c r="O52" s="7" t="s">
        <v>17</v>
      </c>
      <c r="P52" s="7" t="s">
        <v>17</v>
      </c>
      <c r="Q52" s="7" t="s">
        <v>17</v>
      </c>
      <c r="R52" s="7" t="s">
        <v>17</v>
      </c>
      <c r="S52" s="7" t="s">
        <v>17</v>
      </c>
      <c r="T52" s="32" t="s">
        <v>83</v>
      </c>
      <c r="U52" s="33" t="s">
        <v>17</v>
      </c>
      <c r="V52" s="32" t="s">
        <v>17</v>
      </c>
      <c r="W52" s="37" t="s">
        <v>17</v>
      </c>
      <c r="X52" s="33" t="s">
        <v>17</v>
      </c>
      <c r="Y52" s="32" t="s">
        <v>17</v>
      </c>
      <c r="Z52" s="44" t="s">
        <v>3109</v>
      </c>
      <c r="AA52" s="44" t="s">
        <v>17</v>
      </c>
      <c r="AB52" s="35" t="s">
        <v>3110</v>
      </c>
      <c r="AC52" s="45" t="s">
        <v>3111</v>
      </c>
      <c r="AD52" s="46" t="s">
        <v>82</v>
      </c>
      <c r="AE52" s="27"/>
      <c r="AF52" s="10" t="s">
        <v>493</v>
      </c>
      <c r="AG52" s="5"/>
    </row>
    <row r="53" spans="1:33" ht="199.5" x14ac:dyDescent="0.3">
      <c r="A53" s="43">
        <v>682046</v>
      </c>
      <c r="B53" s="43" t="s">
        <v>31</v>
      </c>
      <c r="C53" s="25" t="s">
        <v>3112</v>
      </c>
      <c r="D53" s="6" t="s">
        <v>36</v>
      </c>
      <c r="E53" s="25" t="s">
        <v>3113</v>
      </c>
      <c r="F53" s="25" t="s">
        <v>2939</v>
      </c>
      <c r="G53" s="16" t="s">
        <v>39</v>
      </c>
      <c r="H53" s="36" t="s">
        <v>3114</v>
      </c>
      <c r="I53" s="36" t="s">
        <v>3115</v>
      </c>
      <c r="J53" s="6" t="s">
        <v>34</v>
      </c>
      <c r="K53" s="6" t="s">
        <v>298</v>
      </c>
      <c r="L53" s="6" t="s">
        <v>3116</v>
      </c>
      <c r="M53" s="22" t="s">
        <v>17</v>
      </c>
      <c r="N53" s="7" t="s">
        <v>3117</v>
      </c>
      <c r="O53" s="47" t="s">
        <v>23</v>
      </c>
      <c r="P53" s="10" t="s">
        <v>17</v>
      </c>
      <c r="Q53" s="10" t="s">
        <v>17</v>
      </c>
      <c r="R53" s="48" t="s">
        <v>17</v>
      </c>
      <c r="S53" s="25" t="s">
        <v>17</v>
      </c>
      <c r="T53" s="48" t="s">
        <v>41</v>
      </c>
      <c r="U53" s="41" t="s">
        <v>17</v>
      </c>
      <c r="V53" s="40" t="s">
        <v>17</v>
      </c>
      <c r="W53" s="41" t="s">
        <v>17</v>
      </c>
      <c r="X53" s="41" t="s">
        <v>17</v>
      </c>
      <c r="Y53" s="41" t="s">
        <v>17</v>
      </c>
      <c r="Z53" s="41" t="s">
        <v>17</v>
      </c>
      <c r="AA53" s="49" t="s">
        <v>17</v>
      </c>
      <c r="AB53" s="42" t="s">
        <v>1521</v>
      </c>
      <c r="AC53" s="42" t="s">
        <v>3118</v>
      </c>
      <c r="AD53" s="32" t="s">
        <v>22</v>
      </c>
      <c r="AE53" s="32" t="s">
        <v>439</v>
      </c>
      <c r="AF53" s="7" t="s">
        <v>3119</v>
      </c>
      <c r="AG53" s="5"/>
    </row>
    <row r="54" spans="1:33" ht="99.75" x14ac:dyDescent="0.3">
      <c r="A54" s="7">
        <v>625101</v>
      </c>
      <c r="B54" s="7" t="s">
        <v>31</v>
      </c>
      <c r="C54" s="25" t="s">
        <v>3120</v>
      </c>
      <c r="D54" s="7" t="s">
        <v>36</v>
      </c>
      <c r="E54" s="30">
        <v>44452</v>
      </c>
      <c r="F54" s="25" t="s">
        <v>3121</v>
      </c>
      <c r="G54" s="16" t="s">
        <v>39</v>
      </c>
      <c r="H54" s="7" t="s">
        <v>3122</v>
      </c>
      <c r="I54" s="7" t="s">
        <v>3123</v>
      </c>
      <c r="J54" s="7" t="s">
        <v>34</v>
      </c>
      <c r="K54" s="7" t="s">
        <v>298</v>
      </c>
      <c r="L54" s="7" t="s">
        <v>3124</v>
      </c>
      <c r="M54" s="7" t="s">
        <v>17</v>
      </c>
      <c r="N54" s="7" t="s">
        <v>3125</v>
      </c>
      <c r="O54" s="7" t="s">
        <v>23</v>
      </c>
      <c r="P54" s="32" t="s">
        <v>23</v>
      </c>
      <c r="Q54" s="32" t="s">
        <v>23</v>
      </c>
      <c r="R54" s="32" t="s">
        <v>23</v>
      </c>
      <c r="S54" s="35" t="s">
        <v>23</v>
      </c>
      <c r="T54" s="32" t="s">
        <v>57</v>
      </c>
      <c r="U54" s="33" t="s">
        <v>23</v>
      </c>
      <c r="V54" s="32" t="s">
        <v>23</v>
      </c>
      <c r="W54" s="37" t="s">
        <v>23</v>
      </c>
      <c r="X54" s="33" t="s">
        <v>23</v>
      </c>
      <c r="Y54" s="32" t="s">
        <v>23</v>
      </c>
      <c r="Z54" s="44" t="s">
        <v>23</v>
      </c>
      <c r="AA54" s="44" t="s">
        <v>23</v>
      </c>
      <c r="AB54" s="35" t="s">
        <v>23</v>
      </c>
      <c r="AC54" s="35" t="s">
        <v>3126</v>
      </c>
      <c r="AD54" s="32" t="s">
        <v>19</v>
      </c>
      <c r="AE54" s="32" t="s">
        <v>17</v>
      </c>
      <c r="AF54" s="7"/>
      <c r="AG54" s="5"/>
    </row>
    <row r="55" spans="1:33" ht="285" x14ac:dyDescent="0.3">
      <c r="A55" s="7">
        <v>683323</v>
      </c>
      <c r="B55" s="7" t="s">
        <v>31</v>
      </c>
      <c r="C55" s="7" t="s">
        <v>3127</v>
      </c>
      <c r="D55" s="7" t="s">
        <v>36</v>
      </c>
      <c r="E55" s="30">
        <v>44469</v>
      </c>
      <c r="F55" s="7" t="s">
        <v>3128</v>
      </c>
      <c r="G55" s="9" t="s">
        <v>33</v>
      </c>
      <c r="H55" s="7" t="s">
        <v>3129</v>
      </c>
      <c r="I55" s="36" t="s">
        <v>3130</v>
      </c>
      <c r="J55" s="7" t="s">
        <v>34</v>
      </c>
      <c r="K55" s="7" t="s">
        <v>298</v>
      </c>
      <c r="L55" s="7" t="s">
        <v>3131</v>
      </c>
      <c r="M55" s="7" t="s">
        <v>17</v>
      </c>
      <c r="O55" s="32" t="s">
        <v>17</v>
      </c>
      <c r="P55" s="32" t="s">
        <v>17</v>
      </c>
      <c r="Q55" s="32" t="s">
        <v>17</v>
      </c>
      <c r="R55" s="32" t="s">
        <v>3078</v>
      </c>
      <c r="S55" s="32" t="s">
        <v>3132</v>
      </c>
      <c r="T55" s="32" t="s">
        <v>84</v>
      </c>
      <c r="U55" s="32" t="s">
        <v>17</v>
      </c>
      <c r="V55" s="32" t="s">
        <v>17</v>
      </c>
      <c r="W55" s="32" t="s">
        <v>17</v>
      </c>
      <c r="X55" s="32" t="s">
        <v>17</v>
      </c>
      <c r="Y55" s="32" t="s">
        <v>17</v>
      </c>
      <c r="Z55" s="32" t="s">
        <v>17</v>
      </c>
      <c r="AA55" s="32" t="s">
        <v>17</v>
      </c>
      <c r="AB55" s="35" t="s">
        <v>17</v>
      </c>
      <c r="AC55" s="35" t="s">
        <v>3133</v>
      </c>
      <c r="AD55" s="32" t="s">
        <v>19</v>
      </c>
      <c r="AE55" s="32" t="s">
        <v>341</v>
      </c>
      <c r="AF55" s="7" t="s">
        <v>448</v>
      </c>
    </row>
    <row r="56" spans="1:33" ht="156.75" x14ac:dyDescent="0.3">
      <c r="A56" s="7">
        <v>684351</v>
      </c>
      <c r="B56" s="7" t="s">
        <v>31</v>
      </c>
      <c r="C56" s="7" t="s">
        <v>3134</v>
      </c>
      <c r="D56" s="7" t="s">
        <v>36</v>
      </c>
      <c r="E56" s="30">
        <v>44511</v>
      </c>
      <c r="F56" s="7" t="s">
        <v>3135</v>
      </c>
      <c r="G56" s="9" t="s">
        <v>33</v>
      </c>
      <c r="H56" s="7" t="s">
        <v>3136</v>
      </c>
      <c r="I56" s="7" t="s">
        <v>3137</v>
      </c>
      <c r="J56" s="7" t="s">
        <v>34</v>
      </c>
      <c r="K56" s="7" t="s">
        <v>2710</v>
      </c>
      <c r="L56" s="7" t="s">
        <v>2764</v>
      </c>
      <c r="M56" s="7" t="s">
        <v>17</v>
      </c>
      <c r="N56" s="50" t="s">
        <v>3138</v>
      </c>
      <c r="O56" s="10" t="s">
        <v>3139</v>
      </c>
      <c r="P56" s="41" t="s">
        <v>17</v>
      </c>
      <c r="Q56" s="10" t="s">
        <v>17</v>
      </c>
      <c r="R56" s="41" t="s">
        <v>81</v>
      </c>
      <c r="S56" s="35" t="s">
        <v>3140</v>
      </c>
      <c r="T56" s="32" t="s">
        <v>85</v>
      </c>
      <c r="U56" s="33" t="s">
        <v>17</v>
      </c>
      <c r="V56" s="40" t="s">
        <v>17</v>
      </c>
      <c r="W56" s="40" t="s">
        <v>17</v>
      </c>
      <c r="X56" s="40" t="s">
        <v>17</v>
      </c>
      <c r="Y56" s="40" t="s">
        <v>17</v>
      </c>
      <c r="Z56" s="40" t="s">
        <v>17</v>
      </c>
      <c r="AA56" s="40" t="s">
        <v>17</v>
      </c>
      <c r="AB56" s="51" t="s">
        <v>17</v>
      </c>
      <c r="AC56" s="51" t="s">
        <v>3141</v>
      </c>
      <c r="AD56" s="40" t="s">
        <v>82</v>
      </c>
      <c r="AE56" s="40" t="s">
        <v>341</v>
      </c>
      <c r="AF56" s="40" t="s">
        <v>996</v>
      </c>
    </row>
    <row r="57" spans="1:33" ht="327.75" x14ac:dyDescent="0.3">
      <c r="A57" s="7">
        <v>676177</v>
      </c>
      <c r="B57" s="7" t="s">
        <v>31</v>
      </c>
      <c r="C57" s="7" t="s">
        <v>3142</v>
      </c>
      <c r="D57" s="7" t="s">
        <v>36</v>
      </c>
      <c r="E57" s="30">
        <v>44350</v>
      </c>
      <c r="F57" s="7" t="s">
        <v>3135</v>
      </c>
      <c r="G57" s="9" t="s">
        <v>33</v>
      </c>
      <c r="H57" s="7" t="s">
        <v>3143</v>
      </c>
      <c r="I57" s="7" t="s">
        <v>3144</v>
      </c>
      <c r="J57" s="7" t="s">
        <v>34</v>
      </c>
      <c r="K57" s="7" t="s">
        <v>2710</v>
      </c>
      <c r="L57" s="7" t="s">
        <v>3145</v>
      </c>
      <c r="M57" s="7" t="s">
        <v>17</v>
      </c>
      <c r="N57" s="7" t="s">
        <v>3146</v>
      </c>
      <c r="O57" s="10" t="s">
        <v>17</v>
      </c>
      <c r="P57" s="41" t="s">
        <v>17</v>
      </c>
      <c r="Q57" s="10" t="s">
        <v>17</v>
      </c>
      <c r="R57" s="41" t="s">
        <v>47</v>
      </c>
      <c r="S57" s="35" t="s">
        <v>3147</v>
      </c>
      <c r="T57" s="32" t="s">
        <v>3685</v>
      </c>
      <c r="U57" s="33" t="s">
        <v>17</v>
      </c>
      <c r="V57" s="40" t="s">
        <v>17</v>
      </c>
      <c r="W57" s="40" t="s">
        <v>17</v>
      </c>
      <c r="X57" s="40" t="s">
        <v>17</v>
      </c>
      <c r="Y57" s="40" t="s">
        <v>17</v>
      </c>
      <c r="Z57" s="40" t="s">
        <v>17</v>
      </c>
      <c r="AA57" s="40" t="s">
        <v>17</v>
      </c>
      <c r="AB57" s="51" t="s">
        <v>17</v>
      </c>
      <c r="AC57" s="35" t="s">
        <v>3148</v>
      </c>
      <c r="AD57" s="32" t="s">
        <v>19</v>
      </c>
      <c r="AE57" s="32" t="s">
        <v>341</v>
      </c>
      <c r="AF57" s="7" t="s">
        <v>448</v>
      </c>
    </row>
    <row r="58" spans="1:33" ht="190.5" customHeight="1" x14ac:dyDescent="0.3">
      <c r="A58" s="7">
        <v>672767</v>
      </c>
      <c r="B58" s="7" t="s">
        <v>31</v>
      </c>
      <c r="C58" s="7" t="s">
        <v>3149</v>
      </c>
      <c r="D58" s="7" t="s">
        <v>36</v>
      </c>
      <c r="E58" s="30">
        <v>44329</v>
      </c>
      <c r="F58" s="7" t="s">
        <v>3150</v>
      </c>
      <c r="G58" s="16" t="s">
        <v>39</v>
      </c>
      <c r="H58" s="7" t="s">
        <v>3151</v>
      </c>
      <c r="I58" s="7" t="s">
        <v>3152</v>
      </c>
      <c r="J58" s="7" t="s">
        <v>34</v>
      </c>
      <c r="K58" s="7" t="s">
        <v>3153</v>
      </c>
      <c r="L58" s="7" t="s">
        <v>3154</v>
      </c>
      <c r="M58" s="7" t="s">
        <v>17</v>
      </c>
      <c r="N58" s="52" t="s">
        <v>3155</v>
      </c>
      <c r="O58" s="7" t="s">
        <v>3156</v>
      </c>
      <c r="P58" s="32" t="s">
        <v>17</v>
      </c>
      <c r="Q58" s="32" t="s">
        <v>17</v>
      </c>
      <c r="R58" s="32" t="s">
        <v>86</v>
      </c>
      <c r="S58" s="35" t="s">
        <v>3157</v>
      </c>
      <c r="T58" s="32" t="s">
        <v>38</v>
      </c>
      <c r="U58" s="33" t="s">
        <v>17</v>
      </c>
      <c r="V58" s="40" t="s">
        <v>17</v>
      </c>
      <c r="W58" s="40" t="s">
        <v>17</v>
      </c>
      <c r="X58" s="40" t="s">
        <v>17</v>
      </c>
      <c r="Y58" s="40" t="s">
        <v>17</v>
      </c>
      <c r="Z58" s="40" t="s">
        <v>17</v>
      </c>
      <c r="AA58" s="40" t="s">
        <v>17</v>
      </c>
      <c r="AB58" s="51" t="s">
        <v>17</v>
      </c>
      <c r="AC58" s="35" t="s">
        <v>3158</v>
      </c>
      <c r="AD58" s="32" t="s">
        <v>19</v>
      </c>
      <c r="AE58" s="32"/>
      <c r="AF58" s="7"/>
    </row>
    <row r="59" spans="1:33" ht="85.5" x14ac:dyDescent="0.3">
      <c r="A59" s="46">
        <v>595786</v>
      </c>
      <c r="B59" s="27" t="s">
        <v>31</v>
      </c>
      <c r="C59" s="27" t="s">
        <v>3159</v>
      </c>
      <c r="D59" s="27" t="s">
        <v>36</v>
      </c>
      <c r="E59" s="53">
        <v>43528</v>
      </c>
      <c r="F59" s="27" t="s">
        <v>3160</v>
      </c>
      <c r="G59" s="16" t="s">
        <v>39</v>
      </c>
      <c r="H59" s="27" t="s">
        <v>3161</v>
      </c>
      <c r="I59" s="27" t="s">
        <v>3162</v>
      </c>
      <c r="J59" s="27" t="s">
        <v>34</v>
      </c>
      <c r="K59" s="27" t="s">
        <v>298</v>
      </c>
      <c r="L59" s="27" t="s">
        <v>3163</v>
      </c>
      <c r="M59" s="27" t="s">
        <v>17</v>
      </c>
      <c r="N59" s="27" t="s">
        <v>3163</v>
      </c>
      <c r="O59" s="27"/>
      <c r="P59" s="27" t="s">
        <v>87</v>
      </c>
      <c r="Q59" s="27" t="s">
        <v>87</v>
      </c>
      <c r="R59" s="27" t="s">
        <v>87</v>
      </c>
      <c r="S59" s="27" t="s">
        <v>87</v>
      </c>
      <c r="T59" s="27" t="s">
        <v>87</v>
      </c>
      <c r="U59" s="27" t="s">
        <v>87</v>
      </c>
      <c r="V59" s="27" t="s">
        <v>87</v>
      </c>
      <c r="W59" s="27" t="s">
        <v>17</v>
      </c>
      <c r="X59" s="27" t="s">
        <v>87</v>
      </c>
      <c r="Y59" s="27" t="s">
        <v>87</v>
      </c>
      <c r="Z59" s="27" t="s">
        <v>17</v>
      </c>
      <c r="AA59" s="27" t="s">
        <v>17</v>
      </c>
      <c r="AB59" s="54" t="s">
        <v>87</v>
      </c>
      <c r="AC59" s="26" t="s">
        <v>3164</v>
      </c>
      <c r="AD59" s="27" t="s">
        <v>82</v>
      </c>
      <c r="AE59" s="27"/>
      <c r="AF59" s="27" t="s">
        <v>3165</v>
      </c>
    </row>
    <row r="60" spans="1:33" s="59" customFormat="1" ht="100.5" customHeight="1" x14ac:dyDescent="0.3">
      <c r="A60" s="6">
        <v>456972</v>
      </c>
      <c r="B60" s="6" t="s">
        <v>31</v>
      </c>
      <c r="C60" s="6" t="s">
        <v>3166</v>
      </c>
      <c r="D60" s="6" t="s">
        <v>36</v>
      </c>
      <c r="E60" s="55">
        <v>41799</v>
      </c>
      <c r="F60" s="6" t="s">
        <v>3167</v>
      </c>
      <c r="G60" s="16" t="s">
        <v>39</v>
      </c>
      <c r="H60" s="6" t="s">
        <v>3168</v>
      </c>
      <c r="I60" s="6" t="s">
        <v>3169</v>
      </c>
      <c r="J60" s="6" t="s">
        <v>34</v>
      </c>
      <c r="K60" s="6" t="s">
        <v>327</v>
      </c>
      <c r="L60" s="6" t="s">
        <v>3170</v>
      </c>
      <c r="M60" s="6" t="s">
        <v>23</v>
      </c>
      <c r="N60" s="56" t="s">
        <v>3171</v>
      </c>
      <c r="O60" s="6" t="s">
        <v>17</v>
      </c>
      <c r="P60" s="10" t="s">
        <v>23</v>
      </c>
      <c r="Q60" s="10" t="s">
        <v>23</v>
      </c>
      <c r="R60" s="10" t="s">
        <v>88</v>
      </c>
      <c r="S60" s="15" t="s">
        <v>17</v>
      </c>
      <c r="T60" s="10" t="s">
        <v>41</v>
      </c>
      <c r="U60" s="12" t="s">
        <v>17</v>
      </c>
      <c r="V60" s="10" t="s">
        <v>23</v>
      </c>
      <c r="W60" s="10" t="s">
        <v>23</v>
      </c>
      <c r="X60" s="10" t="s">
        <v>23</v>
      </c>
      <c r="Y60" s="10" t="s">
        <v>23</v>
      </c>
      <c r="Z60" s="57" t="s">
        <v>17</v>
      </c>
      <c r="AA60" s="57" t="s">
        <v>17</v>
      </c>
      <c r="AB60" s="58" t="s">
        <v>17</v>
      </c>
      <c r="AC60" s="11" t="s">
        <v>3172</v>
      </c>
      <c r="AD60" s="10" t="s">
        <v>22</v>
      </c>
      <c r="AE60" s="10" t="s">
        <v>3681</v>
      </c>
      <c r="AF60" s="6" t="s">
        <v>3173</v>
      </c>
    </row>
    <row r="61" spans="1:33" ht="100.5" customHeight="1" x14ac:dyDescent="0.3">
      <c r="A61" s="6">
        <v>419829</v>
      </c>
      <c r="B61" s="6" t="s">
        <v>31</v>
      </c>
      <c r="C61" s="6" t="s">
        <v>3174</v>
      </c>
      <c r="D61" s="6" t="s">
        <v>36</v>
      </c>
      <c r="E61" s="8">
        <v>41337</v>
      </c>
      <c r="F61" s="6" t="s">
        <v>3175</v>
      </c>
      <c r="G61" s="9" t="s">
        <v>33</v>
      </c>
      <c r="H61" s="6" t="s">
        <v>3176</v>
      </c>
      <c r="I61" s="6" t="s">
        <v>3177</v>
      </c>
      <c r="J61" s="6" t="s">
        <v>34</v>
      </c>
      <c r="K61" s="6" t="s">
        <v>298</v>
      </c>
      <c r="L61" s="6" t="s">
        <v>2798</v>
      </c>
      <c r="M61" s="6" t="s">
        <v>17</v>
      </c>
      <c r="N61" s="6" t="s">
        <v>3178</v>
      </c>
      <c r="O61" s="6" t="s">
        <v>17</v>
      </c>
      <c r="P61" s="6" t="s">
        <v>87</v>
      </c>
      <c r="Q61" s="6" t="s">
        <v>87</v>
      </c>
      <c r="R61" s="6" t="s">
        <v>3078</v>
      </c>
      <c r="S61" s="6" t="s">
        <v>87</v>
      </c>
      <c r="T61" s="6" t="s">
        <v>38</v>
      </c>
      <c r="U61" s="6" t="s">
        <v>89</v>
      </c>
      <c r="V61" s="6" t="s">
        <v>87</v>
      </c>
      <c r="W61" s="6" t="s">
        <v>87</v>
      </c>
      <c r="X61" s="6" t="s">
        <v>87</v>
      </c>
      <c r="Y61" s="6" t="s">
        <v>87</v>
      </c>
      <c r="Z61" s="6" t="s">
        <v>3179</v>
      </c>
      <c r="AA61" s="6" t="s">
        <v>3180</v>
      </c>
      <c r="AB61" s="25" t="s">
        <v>3181</v>
      </c>
      <c r="AC61" s="25" t="s">
        <v>3182</v>
      </c>
      <c r="AD61" s="6" t="s">
        <v>22</v>
      </c>
      <c r="AE61" s="6" t="s">
        <v>341</v>
      </c>
      <c r="AF61" s="60" t="s">
        <v>3183</v>
      </c>
    </row>
    <row r="62" spans="1:33" ht="42.75" x14ac:dyDescent="0.3">
      <c r="A62" s="7">
        <v>582434</v>
      </c>
      <c r="B62" s="7" t="s">
        <v>31</v>
      </c>
      <c r="C62" s="7" t="s">
        <v>3184</v>
      </c>
      <c r="D62" s="61" t="s">
        <v>36</v>
      </c>
      <c r="E62" s="62">
        <v>43357</v>
      </c>
      <c r="F62" s="63" t="s">
        <v>3185</v>
      </c>
      <c r="G62" s="16" t="s">
        <v>39</v>
      </c>
      <c r="H62" s="7" t="s">
        <v>3186</v>
      </c>
      <c r="I62" s="6" t="s">
        <v>3187</v>
      </c>
      <c r="J62" s="7" t="s">
        <v>34</v>
      </c>
      <c r="K62" s="64" t="s">
        <v>298</v>
      </c>
      <c r="L62" s="7" t="s">
        <v>3188</v>
      </c>
      <c r="M62" s="7" t="s">
        <v>17</v>
      </c>
      <c r="N62" s="7" t="s">
        <v>3189</v>
      </c>
      <c r="O62" s="7" t="s">
        <v>3190</v>
      </c>
      <c r="P62" s="32" t="s">
        <v>17</v>
      </c>
      <c r="Q62" s="32" t="s">
        <v>17</v>
      </c>
      <c r="R62" s="32" t="s">
        <v>73</v>
      </c>
      <c r="S62" s="32" t="s">
        <v>17</v>
      </c>
      <c r="T62" s="32" t="s">
        <v>38</v>
      </c>
      <c r="U62" s="33" t="s">
        <v>17</v>
      </c>
      <c r="V62" s="33" t="s">
        <v>17</v>
      </c>
      <c r="W62" s="33" t="s">
        <v>17</v>
      </c>
      <c r="X62" s="33" t="s">
        <v>17</v>
      </c>
      <c r="Y62" s="33" t="s">
        <v>17</v>
      </c>
      <c r="Z62" s="33" t="s">
        <v>17</v>
      </c>
      <c r="AA62" s="33" t="s">
        <v>17</v>
      </c>
      <c r="AB62" s="34" t="s">
        <v>17</v>
      </c>
      <c r="AC62" s="36" t="s">
        <v>3191</v>
      </c>
      <c r="AD62" s="10" t="s">
        <v>19</v>
      </c>
      <c r="AE62" s="10" t="s">
        <v>3681</v>
      </c>
      <c r="AF62" s="7" t="s">
        <v>3192</v>
      </c>
      <c r="AG62" s="5"/>
    </row>
    <row r="63" spans="1:33" ht="128.25" x14ac:dyDescent="0.3">
      <c r="A63" s="7">
        <v>591702</v>
      </c>
      <c r="B63" s="7" t="s">
        <v>31</v>
      </c>
      <c r="C63" s="7" t="s">
        <v>3193</v>
      </c>
      <c r="D63" s="61" t="s">
        <v>36</v>
      </c>
      <c r="E63" s="62">
        <v>43510</v>
      </c>
      <c r="F63" s="65" t="s">
        <v>3194</v>
      </c>
      <c r="G63" s="16" t="s">
        <v>52</v>
      </c>
      <c r="H63" s="66" t="s">
        <v>3195</v>
      </c>
      <c r="I63" s="66" t="s">
        <v>3196</v>
      </c>
      <c r="J63" s="66" t="s">
        <v>34</v>
      </c>
      <c r="K63" s="7" t="s">
        <v>298</v>
      </c>
      <c r="L63" s="66" t="s">
        <v>3197</v>
      </c>
      <c r="M63" s="67" t="s">
        <v>17</v>
      </c>
      <c r="N63" s="66" t="s">
        <v>3198</v>
      </c>
      <c r="O63" s="7" t="s">
        <v>17</v>
      </c>
      <c r="P63" s="7" t="s">
        <v>17</v>
      </c>
      <c r="Q63" s="7" t="s">
        <v>17</v>
      </c>
      <c r="R63" s="7" t="s">
        <v>90</v>
      </c>
      <c r="S63" s="32" t="s">
        <v>17</v>
      </c>
      <c r="T63" s="32" t="s">
        <v>64</v>
      </c>
      <c r="U63" s="32" t="s">
        <v>17</v>
      </c>
      <c r="V63" s="32" t="s">
        <v>17</v>
      </c>
      <c r="W63" s="32" t="s">
        <v>17</v>
      </c>
      <c r="X63" s="32" t="s">
        <v>17</v>
      </c>
      <c r="Y63" s="32" t="s">
        <v>17</v>
      </c>
      <c r="Z63" s="44">
        <v>44807</v>
      </c>
      <c r="AA63" s="32" t="s">
        <v>17</v>
      </c>
      <c r="AB63" s="35" t="s">
        <v>17</v>
      </c>
      <c r="AC63" s="11" t="s">
        <v>3199</v>
      </c>
      <c r="AD63" s="10" t="s">
        <v>19</v>
      </c>
      <c r="AE63" s="10" t="s">
        <v>341</v>
      </c>
      <c r="AF63" s="7" t="s">
        <v>2897</v>
      </c>
      <c r="AG63" s="5"/>
    </row>
    <row r="64" spans="1:33" ht="128.25" x14ac:dyDescent="0.3">
      <c r="A64" s="7">
        <v>594447</v>
      </c>
      <c r="B64" s="7" t="s">
        <v>31</v>
      </c>
      <c r="C64" s="7" t="s">
        <v>3200</v>
      </c>
      <c r="D64" s="61" t="s">
        <v>36</v>
      </c>
      <c r="E64" s="62">
        <v>43543</v>
      </c>
      <c r="F64" s="65" t="s">
        <v>3201</v>
      </c>
      <c r="G64" s="9" t="s">
        <v>33</v>
      </c>
      <c r="H64" s="66" t="s">
        <v>3202</v>
      </c>
      <c r="I64" s="66" t="s">
        <v>3203</v>
      </c>
      <c r="J64" s="66" t="s">
        <v>34</v>
      </c>
      <c r="K64" s="7" t="s">
        <v>298</v>
      </c>
      <c r="L64" s="66" t="s">
        <v>3204</v>
      </c>
      <c r="M64" s="67" t="s">
        <v>17</v>
      </c>
      <c r="N64" s="68" t="s">
        <v>3205</v>
      </c>
      <c r="O64" s="10" t="s">
        <v>3206</v>
      </c>
      <c r="P64" s="10" t="s">
        <v>17</v>
      </c>
      <c r="Q64" s="10" t="s">
        <v>17</v>
      </c>
      <c r="R64" s="10" t="s">
        <v>17</v>
      </c>
      <c r="S64" s="69" t="s">
        <v>3207</v>
      </c>
      <c r="T64" s="10" t="s">
        <v>64</v>
      </c>
      <c r="U64" s="10">
        <v>3534.41</v>
      </c>
      <c r="V64" s="10" t="s">
        <v>17</v>
      </c>
      <c r="W64" s="10" t="s">
        <v>17</v>
      </c>
      <c r="X64" s="10" t="s">
        <v>17</v>
      </c>
      <c r="Y64" s="10" t="s">
        <v>17</v>
      </c>
      <c r="Z64" s="10" t="s">
        <v>3208</v>
      </c>
      <c r="AA64" s="10" t="s">
        <v>17</v>
      </c>
      <c r="AB64" s="11" t="s">
        <v>17</v>
      </c>
      <c r="AC64" s="11" t="s">
        <v>3209</v>
      </c>
      <c r="AD64" s="10" t="s">
        <v>19</v>
      </c>
      <c r="AE64" s="10" t="s">
        <v>439</v>
      </c>
      <c r="AF64" s="10" t="s">
        <v>2897</v>
      </c>
      <c r="AG64" s="5"/>
    </row>
    <row r="65" spans="1:33" ht="285" x14ac:dyDescent="0.3">
      <c r="A65" s="7">
        <v>576515</v>
      </c>
      <c r="B65" s="7" t="s">
        <v>31</v>
      </c>
      <c r="C65" s="7" t="s">
        <v>3210</v>
      </c>
      <c r="D65" s="61" t="s">
        <v>78</v>
      </c>
      <c r="E65" s="62">
        <v>43276</v>
      </c>
      <c r="F65" s="63" t="s">
        <v>3211</v>
      </c>
      <c r="G65" s="9" t="s">
        <v>33</v>
      </c>
      <c r="H65" s="7" t="s">
        <v>3212</v>
      </c>
      <c r="I65" s="6" t="s">
        <v>3213</v>
      </c>
      <c r="J65" s="7" t="s">
        <v>34</v>
      </c>
      <c r="K65" s="64" t="s">
        <v>298</v>
      </c>
      <c r="L65" s="7" t="s">
        <v>3214</v>
      </c>
      <c r="M65" s="7" t="s">
        <v>17</v>
      </c>
      <c r="N65" s="7" t="s">
        <v>3215</v>
      </c>
      <c r="O65" s="7" t="s">
        <v>3216</v>
      </c>
      <c r="P65" s="32" t="s">
        <v>23</v>
      </c>
      <c r="Q65" s="32" t="s">
        <v>23</v>
      </c>
      <c r="R65" s="32" t="s">
        <v>17</v>
      </c>
      <c r="S65" s="35" t="s">
        <v>17</v>
      </c>
      <c r="T65" s="32" t="s">
        <v>57</v>
      </c>
      <c r="U65" s="33" t="s">
        <v>17</v>
      </c>
      <c r="V65" s="33" t="s">
        <v>23</v>
      </c>
      <c r="W65" s="33" t="s">
        <v>23</v>
      </c>
      <c r="X65" s="33" t="s">
        <v>23</v>
      </c>
      <c r="Y65" s="33" t="s">
        <v>23</v>
      </c>
      <c r="Z65" s="33" t="s">
        <v>17</v>
      </c>
      <c r="AA65" s="33" t="s">
        <v>17</v>
      </c>
      <c r="AB65" s="34" t="s">
        <v>17</v>
      </c>
      <c r="AC65" s="35" t="s">
        <v>3217</v>
      </c>
      <c r="AD65" s="10" t="s">
        <v>22</v>
      </c>
      <c r="AE65" s="10" t="s">
        <v>341</v>
      </c>
      <c r="AF65" s="7" t="s">
        <v>2735</v>
      </c>
      <c r="AG65" s="5"/>
    </row>
    <row r="66" spans="1:33" ht="51.75" customHeight="1" x14ac:dyDescent="0.3">
      <c r="A66" s="7">
        <v>591624</v>
      </c>
      <c r="B66" s="7" t="s">
        <v>31</v>
      </c>
      <c r="C66" s="7" t="s">
        <v>3218</v>
      </c>
      <c r="D66" s="61" t="s">
        <v>36</v>
      </c>
      <c r="E66" s="62">
        <v>43595</v>
      </c>
      <c r="F66" s="65" t="s">
        <v>3219</v>
      </c>
      <c r="G66" s="16" t="s">
        <v>39</v>
      </c>
      <c r="H66" s="66" t="s">
        <v>3220</v>
      </c>
      <c r="I66" s="66" t="s">
        <v>3221</v>
      </c>
      <c r="J66" s="66" t="s">
        <v>34</v>
      </c>
      <c r="K66" s="7" t="s">
        <v>327</v>
      </c>
      <c r="L66" s="66" t="s">
        <v>3222</v>
      </c>
      <c r="M66" s="67" t="s">
        <v>17</v>
      </c>
      <c r="N66" s="66" t="s">
        <v>3223</v>
      </c>
      <c r="O66" s="7" t="s">
        <v>3224</v>
      </c>
      <c r="P66" s="32" t="s">
        <v>17</v>
      </c>
      <c r="Q66" s="32" t="s">
        <v>17</v>
      </c>
      <c r="R66" s="32" t="s">
        <v>81</v>
      </c>
      <c r="S66" s="70">
        <v>3082</v>
      </c>
      <c r="T66" s="32" t="s">
        <v>38</v>
      </c>
      <c r="U66" s="33" t="s">
        <v>17</v>
      </c>
      <c r="V66" s="33" t="s">
        <v>17</v>
      </c>
      <c r="W66" s="33" t="s">
        <v>17</v>
      </c>
      <c r="X66" s="33" t="s">
        <v>17</v>
      </c>
      <c r="Y66" s="32" t="s">
        <v>17</v>
      </c>
      <c r="Z66" s="71" t="s">
        <v>3225</v>
      </c>
      <c r="AA66" s="27" t="s">
        <v>87</v>
      </c>
      <c r="AB66" s="54" t="s">
        <v>87</v>
      </c>
      <c r="AC66" s="72" t="s">
        <v>3226</v>
      </c>
      <c r="AD66" s="73" t="s">
        <v>82</v>
      </c>
      <c r="AE66" s="73" t="s">
        <v>439</v>
      </c>
      <c r="AF66" s="27" t="s">
        <v>3227</v>
      </c>
      <c r="AG66" s="5"/>
    </row>
    <row r="67" spans="1:33" ht="114" x14ac:dyDescent="0.3">
      <c r="A67" s="7">
        <v>601973</v>
      </c>
      <c r="B67" s="7" t="s">
        <v>31</v>
      </c>
      <c r="C67" s="7" t="s">
        <v>3228</v>
      </c>
      <c r="D67" s="7" t="s">
        <v>36</v>
      </c>
      <c r="E67" s="30">
        <v>43658</v>
      </c>
      <c r="F67" s="7" t="s">
        <v>3229</v>
      </c>
      <c r="G67" s="16" t="s">
        <v>39</v>
      </c>
      <c r="H67" s="7" t="s">
        <v>3230</v>
      </c>
      <c r="I67" s="7" t="s">
        <v>3231</v>
      </c>
      <c r="J67" s="7" t="s">
        <v>34</v>
      </c>
      <c r="K67" s="7" t="s">
        <v>298</v>
      </c>
      <c r="L67" s="7" t="s">
        <v>3232</v>
      </c>
      <c r="M67" s="7" t="s">
        <v>17</v>
      </c>
      <c r="N67" s="7" t="s">
        <v>3233</v>
      </c>
      <c r="O67" s="7" t="s">
        <v>3234</v>
      </c>
      <c r="P67" s="32" t="s">
        <v>17</v>
      </c>
      <c r="Q67" s="32" t="s">
        <v>17</v>
      </c>
      <c r="R67" s="32" t="s">
        <v>17</v>
      </c>
      <c r="S67" s="35" t="s">
        <v>3235</v>
      </c>
      <c r="T67" s="32" t="s">
        <v>3685</v>
      </c>
      <c r="U67" s="32" t="s">
        <v>17</v>
      </c>
      <c r="V67" s="32" t="s">
        <v>17</v>
      </c>
      <c r="W67" s="37" t="s">
        <v>17</v>
      </c>
      <c r="X67" s="33" t="s">
        <v>17</v>
      </c>
      <c r="Y67" s="32" t="s">
        <v>17</v>
      </c>
      <c r="Z67" s="44" t="s">
        <v>17</v>
      </c>
      <c r="AA67" s="44" t="s">
        <v>17</v>
      </c>
      <c r="AB67" s="35" t="s">
        <v>17</v>
      </c>
      <c r="AC67" s="36" t="s">
        <v>3236</v>
      </c>
      <c r="AD67" s="32" t="s">
        <v>19</v>
      </c>
      <c r="AE67" s="32" t="s">
        <v>3681</v>
      </c>
      <c r="AF67" s="7" t="s">
        <v>2333</v>
      </c>
      <c r="AG67" s="5"/>
    </row>
    <row r="68" spans="1:33" ht="57" x14ac:dyDescent="0.3">
      <c r="A68" s="7">
        <v>602979</v>
      </c>
      <c r="B68" s="7" t="s">
        <v>31</v>
      </c>
      <c r="C68" s="7" t="s">
        <v>3237</v>
      </c>
      <c r="D68" s="7" t="s">
        <v>36</v>
      </c>
      <c r="E68" s="30">
        <v>43668</v>
      </c>
      <c r="F68" s="7" t="s">
        <v>3238</v>
      </c>
      <c r="G68" s="16" t="s">
        <v>39</v>
      </c>
      <c r="H68" s="7" t="s">
        <v>3239</v>
      </c>
      <c r="I68" s="7" t="s">
        <v>3240</v>
      </c>
      <c r="J68" s="7" t="s">
        <v>34</v>
      </c>
      <c r="K68" s="7" t="s">
        <v>298</v>
      </c>
      <c r="L68" s="7" t="s">
        <v>3241</v>
      </c>
      <c r="M68" s="7" t="s">
        <v>17</v>
      </c>
      <c r="N68" s="7" t="s">
        <v>3242</v>
      </c>
      <c r="O68" s="7" t="s">
        <v>17</v>
      </c>
      <c r="P68" s="32" t="s">
        <v>17</v>
      </c>
      <c r="Q68" s="32" t="s">
        <v>17</v>
      </c>
      <c r="R68" s="32" t="s">
        <v>81</v>
      </c>
      <c r="S68" s="35" t="s">
        <v>3243</v>
      </c>
      <c r="T68" s="32" t="s">
        <v>41</v>
      </c>
      <c r="U68" s="33" t="s">
        <v>17</v>
      </c>
      <c r="V68" s="32" t="s">
        <v>17</v>
      </c>
      <c r="W68" s="37" t="s">
        <v>17</v>
      </c>
      <c r="X68" s="33" t="s">
        <v>17</v>
      </c>
      <c r="Y68" s="32" t="s">
        <v>17</v>
      </c>
      <c r="Z68" s="44" t="s">
        <v>17</v>
      </c>
      <c r="AA68" s="44" t="s">
        <v>17</v>
      </c>
      <c r="AB68" s="35" t="s">
        <v>17</v>
      </c>
      <c r="AC68" s="35" t="s">
        <v>3244</v>
      </c>
      <c r="AD68" s="32" t="s">
        <v>22</v>
      </c>
      <c r="AE68" s="32" t="s">
        <v>3681</v>
      </c>
      <c r="AF68" s="7" t="s">
        <v>918</v>
      </c>
    </row>
    <row r="69" spans="1:33" ht="57" customHeight="1" x14ac:dyDescent="0.3">
      <c r="A69" s="7">
        <v>613075</v>
      </c>
      <c r="B69" s="7" t="s">
        <v>31</v>
      </c>
      <c r="C69" s="7" t="s">
        <v>3245</v>
      </c>
      <c r="D69" s="7" t="s">
        <v>36</v>
      </c>
      <c r="E69" s="30">
        <v>43739</v>
      </c>
      <c r="F69" s="7" t="s">
        <v>3160</v>
      </c>
      <c r="G69" s="16" t="s">
        <v>52</v>
      </c>
      <c r="H69" s="7" t="s">
        <v>3246</v>
      </c>
      <c r="I69" s="7" t="s">
        <v>3247</v>
      </c>
      <c r="J69" s="7" t="s">
        <v>34</v>
      </c>
      <c r="K69" s="7" t="s">
        <v>298</v>
      </c>
      <c r="L69" s="7" t="s">
        <v>3248</v>
      </c>
      <c r="M69" s="7" t="s">
        <v>17</v>
      </c>
      <c r="N69" s="7" t="s">
        <v>3249</v>
      </c>
      <c r="O69" s="7" t="s">
        <v>17</v>
      </c>
      <c r="P69" s="32" t="s">
        <v>17</v>
      </c>
      <c r="Q69" s="32" t="s">
        <v>17</v>
      </c>
      <c r="R69" s="32" t="s">
        <v>73</v>
      </c>
      <c r="S69" s="35" t="s">
        <v>17</v>
      </c>
      <c r="T69" s="32" t="s">
        <v>91</v>
      </c>
      <c r="U69" s="33" t="s">
        <v>17</v>
      </c>
      <c r="V69" s="32" t="s">
        <v>17</v>
      </c>
      <c r="W69" s="37" t="s">
        <v>17</v>
      </c>
      <c r="X69" s="33" t="s">
        <v>17</v>
      </c>
      <c r="Y69" s="32" t="s">
        <v>17</v>
      </c>
      <c r="Z69" s="44" t="s">
        <v>17</v>
      </c>
      <c r="AA69" s="44" t="s">
        <v>17</v>
      </c>
      <c r="AB69" s="35" t="s">
        <v>17</v>
      </c>
      <c r="AC69" s="35" t="s">
        <v>3250</v>
      </c>
      <c r="AD69" s="32" t="s">
        <v>19</v>
      </c>
      <c r="AE69" s="32" t="s">
        <v>3681</v>
      </c>
      <c r="AF69" s="7" t="s">
        <v>3251</v>
      </c>
    </row>
    <row r="70" spans="1:33" ht="223.5" customHeight="1" x14ac:dyDescent="0.3">
      <c r="A70" s="7">
        <v>613904</v>
      </c>
      <c r="B70" s="7" t="s">
        <v>31</v>
      </c>
      <c r="C70" s="7" t="s">
        <v>3252</v>
      </c>
      <c r="D70" s="7" t="s">
        <v>36</v>
      </c>
      <c r="E70" s="30">
        <v>43746</v>
      </c>
      <c r="F70" s="7" t="s">
        <v>3253</v>
      </c>
      <c r="G70" s="16" t="s">
        <v>39</v>
      </c>
      <c r="H70" s="7" t="s">
        <v>3254</v>
      </c>
      <c r="I70" s="7" t="s">
        <v>3255</v>
      </c>
      <c r="J70" s="7" t="s">
        <v>34</v>
      </c>
      <c r="K70" s="7" t="s">
        <v>298</v>
      </c>
      <c r="L70" s="7" t="s">
        <v>3256</v>
      </c>
      <c r="M70" s="7" t="s">
        <v>17</v>
      </c>
      <c r="N70" s="7" t="s">
        <v>3257</v>
      </c>
      <c r="O70" s="7" t="s">
        <v>3258</v>
      </c>
      <c r="P70" s="32" t="s">
        <v>17</v>
      </c>
      <c r="Q70" s="32" t="s">
        <v>17</v>
      </c>
      <c r="R70" s="32" t="s">
        <v>92</v>
      </c>
      <c r="S70" s="35" t="s">
        <v>3259</v>
      </c>
      <c r="T70" s="32" t="s">
        <v>68</v>
      </c>
      <c r="U70" s="33" t="s">
        <v>93</v>
      </c>
      <c r="V70" s="32" t="s">
        <v>17</v>
      </c>
      <c r="W70" s="37" t="s">
        <v>17</v>
      </c>
      <c r="X70" s="33" t="s">
        <v>17</v>
      </c>
      <c r="Y70" s="32" t="s">
        <v>17</v>
      </c>
      <c r="Z70" s="30">
        <v>44540</v>
      </c>
      <c r="AA70" s="7" t="s">
        <v>17</v>
      </c>
      <c r="AB70" s="36" t="s">
        <v>3260</v>
      </c>
      <c r="AC70" s="35" t="s">
        <v>3261</v>
      </c>
      <c r="AD70" s="27" t="s">
        <v>77</v>
      </c>
      <c r="AE70" s="27" t="s">
        <v>3681</v>
      </c>
      <c r="AF70" s="7" t="s">
        <v>3262</v>
      </c>
    </row>
    <row r="71" spans="1:33" ht="128.25" x14ac:dyDescent="0.3">
      <c r="A71" s="7">
        <v>625110</v>
      </c>
      <c r="B71" s="7" t="s">
        <v>31</v>
      </c>
      <c r="C71" s="7" t="s">
        <v>3263</v>
      </c>
      <c r="D71" s="7" t="s">
        <v>36</v>
      </c>
      <c r="E71" s="30">
        <v>43857</v>
      </c>
      <c r="F71" s="7" t="s">
        <v>3264</v>
      </c>
      <c r="G71" s="16" t="s">
        <v>39</v>
      </c>
      <c r="H71" s="7" t="s">
        <v>3265</v>
      </c>
      <c r="I71" s="7" t="s">
        <v>3266</v>
      </c>
      <c r="J71" s="7" t="s">
        <v>34</v>
      </c>
      <c r="K71" s="7" t="s">
        <v>298</v>
      </c>
      <c r="L71" s="7" t="s">
        <v>3267</v>
      </c>
      <c r="M71" s="7" t="s">
        <v>17</v>
      </c>
      <c r="N71" s="7" t="s">
        <v>3268</v>
      </c>
      <c r="O71" s="7" t="s">
        <v>3269</v>
      </c>
      <c r="P71" s="32" t="s">
        <v>17</v>
      </c>
      <c r="Q71" s="32" t="s">
        <v>17</v>
      </c>
      <c r="R71" s="32" t="s">
        <v>73</v>
      </c>
      <c r="S71" s="35" t="s">
        <v>3259</v>
      </c>
      <c r="T71" s="32" t="s">
        <v>3686</v>
      </c>
      <c r="U71" s="33" t="s">
        <v>17</v>
      </c>
      <c r="V71" s="32" t="s">
        <v>17</v>
      </c>
      <c r="W71" s="37" t="s">
        <v>17</v>
      </c>
      <c r="X71" s="33" t="s">
        <v>17</v>
      </c>
      <c r="Y71" s="32" t="s">
        <v>17</v>
      </c>
      <c r="Z71" s="44" t="s">
        <v>17</v>
      </c>
      <c r="AA71" s="44" t="s">
        <v>17</v>
      </c>
      <c r="AB71" s="35" t="s">
        <v>17</v>
      </c>
      <c r="AC71" s="35" t="s">
        <v>3270</v>
      </c>
      <c r="AD71" s="32" t="s">
        <v>19</v>
      </c>
      <c r="AE71" s="32"/>
      <c r="AF71" s="7" t="s">
        <v>448</v>
      </c>
    </row>
    <row r="72" spans="1:33" ht="128.25" x14ac:dyDescent="0.3">
      <c r="A72" s="7">
        <v>702817</v>
      </c>
      <c r="B72" s="7" t="s">
        <v>31</v>
      </c>
      <c r="C72" s="7" t="s">
        <v>3271</v>
      </c>
      <c r="D72" s="7" t="s">
        <v>36</v>
      </c>
      <c r="E72" s="30" t="s">
        <v>3272</v>
      </c>
      <c r="F72" s="7" t="s">
        <v>3273</v>
      </c>
      <c r="G72" s="9" t="s">
        <v>33</v>
      </c>
      <c r="H72" s="7" t="s">
        <v>3274</v>
      </c>
      <c r="I72" s="7" t="s">
        <v>3275</v>
      </c>
      <c r="J72" s="7" t="s">
        <v>34</v>
      </c>
      <c r="K72" s="7" t="s">
        <v>298</v>
      </c>
      <c r="L72" s="7" t="s">
        <v>3276</v>
      </c>
      <c r="M72" s="7" t="s">
        <v>17</v>
      </c>
      <c r="N72" s="7" t="s">
        <v>3277</v>
      </c>
      <c r="O72" s="7" t="s">
        <v>91</v>
      </c>
      <c r="P72" s="32" t="s">
        <v>17</v>
      </c>
      <c r="Q72" s="32" t="s">
        <v>17</v>
      </c>
      <c r="R72" s="32" t="s">
        <v>35</v>
      </c>
      <c r="S72" s="35" t="s">
        <v>3278</v>
      </c>
      <c r="T72" s="32" t="s">
        <v>91</v>
      </c>
      <c r="U72" s="12" t="s">
        <v>23</v>
      </c>
      <c r="V72" s="10" t="s">
        <v>23</v>
      </c>
      <c r="W72" s="10" t="s">
        <v>23</v>
      </c>
      <c r="X72" s="10" t="s">
        <v>23</v>
      </c>
      <c r="Y72" s="10" t="s">
        <v>23</v>
      </c>
      <c r="Z72" s="10" t="s">
        <v>23</v>
      </c>
      <c r="AA72" s="10" t="s">
        <v>23</v>
      </c>
      <c r="AB72" s="11" t="s">
        <v>23</v>
      </c>
      <c r="AC72" s="35" t="s">
        <v>3279</v>
      </c>
      <c r="AD72" s="32" t="s">
        <v>19</v>
      </c>
      <c r="AE72" s="32"/>
      <c r="AF72" s="7" t="s">
        <v>448</v>
      </c>
    </row>
    <row r="73" spans="1:33" ht="213.75" x14ac:dyDescent="0.3">
      <c r="A73" s="7">
        <v>433318</v>
      </c>
      <c r="B73" s="7" t="s">
        <v>31</v>
      </c>
      <c r="C73" s="7" t="s">
        <v>3280</v>
      </c>
      <c r="D73" s="7" t="s">
        <v>36</v>
      </c>
      <c r="E73" s="30" t="s">
        <v>3281</v>
      </c>
      <c r="F73" s="7" t="s">
        <v>3282</v>
      </c>
      <c r="G73" s="9" t="s">
        <v>33</v>
      </c>
      <c r="H73" s="7" t="s">
        <v>3283</v>
      </c>
      <c r="I73" s="7" t="s">
        <v>3284</v>
      </c>
      <c r="J73" s="7" t="s">
        <v>34</v>
      </c>
      <c r="K73" s="7" t="s">
        <v>781</v>
      </c>
      <c r="L73" s="7" t="s">
        <v>2798</v>
      </c>
      <c r="M73" s="7" t="s">
        <v>17</v>
      </c>
      <c r="N73" s="7" t="s">
        <v>3285</v>
      </c>
      <c r="O73" s="7" t="s">
        <v>3286</v>
      </c>
      <c r="P73" s="32" t="s">
        <v>17</v>
      </c>
      <c r="Q73" s="32" t="s">
        <v>17</v>
      </c>
      <c r="R73" s="32" t="s">
        <v>35</v>
      </c>
      <c r="S73" s="35" t="s">
        <v>3287</v>
      </c>
      <c r="T73" s="32" t="s">
        <v>41</v>
      </c>
      <c r="U73" s="12" t="s">
        <v>23</v>
      </c>
      <c r="V73" s="10" t="s">
        <v>23</v>
      </c>
      <c r="W73" s="10" t="s">
        <v>23</v>
      </c>
      <c r="X73" s="10" t="s">
        <v>23</v>
      </c>
      <c r="Y73" s="10" t="s">
        <v>23</v>
      </c>
      <c r="Z73" s="44" t="s">
        <v>3288</v>
      </c>
      <c r="AA73" s="10" t="s">
        <v>23</v>
      </c>
      <c r="AB73" s="11" t="s">
        <v>23</v>
      </c>
      <c r="AC73" s="35" t="s">
        <v>3289</v>
      </c>
      <c r="AD73" s="32" t="s">
        <v>22</v>
      </c>
      <c r="AE73" s="32" t="s">
        <v>439</v>
      </c>
      <c r="AF73" s="7" t="s">
        <v>2735</v>
      </c>
    </row>
    <row r="74" spans="1:33" ht="156.75" x14ac:dyDescent="0.3">
      <c r="A74" s="6">
        <v>681092</v>
      </c>
      <c r="B74" s="6" t="s">
        <v>31</v>
      </c>
      <c r="C74" s="6" t="s">
        <v>3290</v>
      </c>
      <c r="D74" s="7" t="s">
        <v>78</v>
      </c>
      <c r="E74" s="8">
        <v>44236</v>
      </c>
      <c r="F74" s="6" t="s">
        <v>3291</v>
      </c>
      <c r="G74" s="16" t="s">
        <v>39</v>
      </c>
      <c r="H74" s="6" t="s">
        <v>3292</v>
      </c>
      <c r="I74" s="6" t="s">
        <v>3293</v>
      </c>
      <c r="J74" s="6" t="s">
        <v>34</v>
      </c>
      <c r="K74" s="6" t="s">
        <v>298</v>
      </c>
      <c r="L74" s="7" t="s">
        <v>3294</v>
      </c>
      <c r="M74" s="6" t="s">
        <v>23</v>
      </c>
      <c r="N74" s="74" t="s">
        <v>3295</v>
      </c>
      <c r="O74" s="10" t="s">
        <v>23</v>
      </c>
      <c r="P74" s="10" t="s">
        <v>23</v>
      </c>
      <c r="Q74" s="10" t="s">
        <v>23</v>
      </c>
      <c r="R74" s="10" t="s">
        <v>35</v>
      </c>
      <c r="S74" s="10" t="s">
        <v>17</v>
      </c>
      <c r="T74" s="10" t="s">
        <v>41</v>
      </c>
      <c r="U74" s="12" t="s">
        <v>17</v>
      </c>
      <c r="V74" s="10" t="s">
        <v>23</v>
      </c>
      <c r="W74" s="10" t="s">
        <v>23</v>
      </c>
      <c r="X74" s="10" t="s">
        <v>23</v>
      </c>
      <c r="Y74" s="10" t="s">
        <v>23</v>
      </c>
      <c r="Z74" s="10" t="s">
        <v>23</v>
      </c>
      <c r="AA74" s="13"/>
      <c r="AB74" s="11"/>
      <c r="AC74" s="11" t="s">
        <v>3296</v>
      </c>
      <c r="AD74" s="10" t="s">
        <v>19</v>
      </c>
      <c r="AE74" s="10"/>
      <c r="AF74" s="6"/>
    </row>
    <row r="75" spans="1:33" ht="85.5" x14ac:dyDescent="0.3">
      <c r="A75" s="75">
        <v>598792</v>
      </c>
      <c r="B75" s="75" t="s">
        <v>31</v>
      </c>
      <c r="C75" s="75" t="s">
        <v>3297</v>
      </c>
      <c r="D75" s="76" t="s">
        <v>36</v>
      </c>
      <c r="E75" s="77" t="s">
        <v>3298</v>
      </c>
      <c r="F75" s="78" t="s">
        <v>3299</v>
      </c>
      <c r="G75" s="16" t="s">
        <v>52</v>
      </c>
      <c r="H75" s="76" t="s">
        <v>3300</v>
      </c>
      <c r="I75" s="76" t="s">
        <v>3301</v>
      </c>
      <c r="J75" s="76" t="s">
        <v>34</v>
      </c>
      <c r="K75" s="75" t="s">
        <v>298</v>
      </c>
      <c r="L75" s="76" t="s">
        <v>3302</v>
      </c>
      <c r="M75" s="79" t="s">
        <v>17</v>
      </c>
      <c r="N75" s="74" t="s">
        <v>3303</v>
      </c>
      <c r="O75" s="80" t="s">
        <v>3304</v>
      </c>
      <c r="P75" s="81" t="s">
        <v>87</v>
      </c>
      <c r="Q75" s="81" t="s">
        <v>87</v>
      </c>
      <c r="R75" s="81" t="s">
        <v>87</v>
      </c>
      <c r="S75" s="82" t="s">
        <v>3259</v>
      </c>
      <c r="T75" s="81" t="s">
        <v>61</v>
      </c>
      <c r="U75" s="83" t="s">
        <v>94</v>
      </c>
      <c r="V75" s="83" t="s">
        <v>87</v>
      </c>
      <c r="W75" s="83" t="s">
        <v>87</v>
      </c>
      <c r="X75" s="83" t="s">
        <v>87</v>
      </c>
      <c r="Y75" s="81" t="s">
        <v>87</v>
      </c>
      <c r="Z75" s="83" t="s">
        <v>87</v>
      </c>
      <c r="AA75" s="83" t="s">
        <v>87</v>
      </c>
      <c r="AB75" s="84" t="s">
        <v>87</v>
      </c>
      <c r="AC75" s="84" t="s">
        <v>3305</v>
      </c>
      <c r="AD75" s="85" t="s">
        <v>82</v>
      </c>
      <c r="AE75" s="85"/>
      <c r="AF75" s="75" t="s">
        <v>3306</v>
      </c>
    </row>
    <row r="76" spans="1:33" ht="30" customHeight="1" x14ac:dyDescent="0.3">
      <c r="A76" s="75">
        <v>598870</v>
      </c>
      <c r="B76" s="75" t="s">
        <v>31</v>
      </c>
      <c r="C76" s="75" t="s">
        <v>3307</v>
      </c>
      <c r="D76" s="76" t="s">
        <v>36</v>
      </c>
      <c r="E76" s="77" t="s">
        <v>3308</v>
      </c>
      <c r="F76" s="78" t="s">
        <v>3309</v>
      </c>
      <c r="G76" s="16" t="s">
        <v>52</v>
      </c>
      <c r="H76" s="76" t="s">
        <v>3310</v>
      </c>
      <c r="I76" s="76" t="s">
        <v>3311</v>
      </c>
      <c r="J76" s="76" t="s">
        <v>34</v>
      </c>
      <c r="K76" s="75" t="s">
        <v>298</v>
      </c>
      <c r="L76" s="76" t="s">
        <v>3312</v>
      </c>
      <c r="M76" s="79" t="s">
        <v>17</v>
      </c>
      <c r="N76" s="86" t="s">
        <v>3313</v>
      </c>
      <c r="O76" s="80" t="s">
        <v>17</v>
      </c>
      <c r="P76" s="81" t="s">
        <v>17</v>
      </c>
      <c r="Q76" s="81" t="s">
        <v>17</v>
      </c>
      <c r="R76" s="81" t="s">
        <v>73</v>
      </c>
      <c r="S76" s="82" t="s">
        <v>17</v>
      </c>
      <c r="T76" s="81" t="s">
        <v>95</v>
      </c>
      <c r="U76" s="83" t="s">
        <v>17</v>
      </c>
      <c r="V76" s="83" t="s">
        <v>17</v>
      </c>
      <c r="W76" s="83" t="s">
        <v>17</v>
      </c>
      <c r="X76" s="83" t="s">
        <v>17</v>
      </c>
      <c r="Y76" s="81" t="s">
        <v>17</v>
      </c>
      <c r="Z76" s="87">
        <v>44481</v>
      </c>
      <c r="AA76" s="88" t="s">
        <v>3314</v>
      </c>
      <c r="AB76" s="89" t="s">
        <v>3315</v>
      </c>
      <c r="AC76" s="84" t="s">
        <v>3316</v>
      </c>
      <c r="AD76" s="85" t="s">
        <v>22</v>
      </c>
      <c r="AE76" s="85" t="s">
        <v>3687</v>
      </c>
      <c r="AF76" s="75" t="s">
        <v>3317</v>
      </c>
    </row>
    <row r="77" spans="1:33" ht="57" x14ac:dyDescent="0.3">
      <c r="A77" s="75">
        <v>626104</v>
      </c>
      <c r="B77" s="75" t="s">
        <v>137</v>
      </c>
      <c r="C77" s="75" t="s">
        <v>3318</v>
      </c>
      <c r="D77" s="75" t="s">
        <v>139</v>
      </c>
      <c r="E77" s="77">
        <v>44014</v>
      </c>
      <c r="F77" s="75" t="s">
        <v>3319</v>
      </c>
      <c r="G77" s="16" t="s">
        <v>52</v>
      </c>
      <c r="H77" s="75" t="s">
        <v>3320</v>
      </c>
      <c r="I77" s="75" t="s">
        <v>3321</v>
      </c>
      <c r="J77" s="75" t="s">
        <v>34</v>
      </c>
      <c r="K77" s="75" t="s">
        <v>298</v>
      </c>
      <c r="L77" s="75" t="s">
        <v>3322</v>
      </c>
      <c r="M77" s="75" t="s">
        <v>17</v>
      </c>
      <c r="N77" s="76" t="s">
        <v>3323</v>
      </c>
      <c r="O77" s="75" t="s">
        <v>17</v>
      </c>
      <c r="P77" s="81" t="s">
        <v>87</v>
      </c>
      <c r="Q77" s="81" t="s">
        <v>87</v>
      </c>
      <c r="R77" s="81" t="s">
        <v>87</v>
      </c>
      <c r="S77" s="90" t="s">
        <v>17</v>
      </c>
      <c r="T77" s="81" t="s">
        <v>87</v>
      </c>
      <c r="U77" s="81" t="s">
        <v>87</v>
      </c>
      <c r="V77" s="81" t="s">
        <v>87</v>
      </c>
      <c r="W77" s="81" t="s">
        <v>87</v>
      </c>
      <c r="X77" s="81" t="s">
        <v>87</v>
      </c>
      <c r="Y77" s="81" t="s">
        <v>87</v>
      </c>
      <c r="Z77" s="81" t="s">
        <v>87</v>
      </c>
      <c r="AA77" s="81" t="s">
        <v>87</v>
      </c>
      <c r="AB77" s="90" t="s">
        <v>87</v>
      </c>
      <c r="AC77" s="90" t="s">
        <v>3324</v>
      </c>
      <c r="AD77" s="81" t="s">
        <v>82</v>
      </c>
      <c r="AE77" s="81"/>
      <c r="AF77" s="75" t="s">
        <v>3325</v>
      </c>
    </row>
    <row r="78" spans="1:33" ht="42.75" x14ac:dyDescent="0.3">
      <c r="A78" s="91">
        <v>707444</v>
      </c>
      <c r="B78" s="91" t="s">
        <v>31</v>
      </c>
      <c r="C78" s="75" t="s">
        <v>3326</v>
      </c>
      <c r="D78" s="76" t="s">
        <v>36</v>
      </c>
      <c r="E78" s="77" t="s">
        <v>3327</v>
      </c>
      <c r="F78" s="75" t="s">
        <v>3328</v>
      </c>
      <c r="G78" s="16" t="s">
        <v>39</v>
      </c>
      <c r="H78" s="75" t="s">
        <v>3329</v>
      </c>
      <c r="I78" s="75" t="s">
        <v>3330</v>
      </c>
      <c r="J78" s="75" t="s">
        <v>34</v>
      </c>
      <c r="K78" s="75" t="s">
        <v>2710</v>
      </c>
      <c r="L78" s="75" t="s">
        <v>3276</v>
      </c>
      <c r="M78" s="75" t="s">
        <v>17</v>
      </c>
      <c r="N78" s="75" t="s">
        <v>3331</v>
      </c>
      <c r="O78" s="92" t="s">
        <v>17</v>
      </c>
      <c r="P78" s="92" t="s">
        <v>17</v>
      </c>
      <c r="Q78" s="92" t="s">
        <v>17</v>
      </c>
      <c r="R78" s="92" t="s">
        <v>47</v>
      </c>
      <c r="S78" s="92" t="s">
        <v>3332</v>
      </c>
      <c r="T78" s="32" t="s">
        <v>38</v>
      </c>
      <c r="U78" s="92" t="s">
        <v>17</v>
      </c>
      <c r="V78" s="92" t="s">
        <v>17</v>
      </c>
      <c r="W78" s="92" t="s">
        <v>17</v>
      </c>
      <c r="X78" s="92" t="s">
        <v>17</v>
      </c>
      <c r="Y78" s="92" t="s">
        <v>17</v>
      </c>
      <c r="Z78" s="92" t="s">
        <v>17</v>
      </c>
      <c r="AA78" s="92" t="s">
        <v>17</v>
      </c>
      <c r="AB78" s="93" t="s">
        <v>17</v>
      </c>
      <c r="AC78" s="3"/>
      <c r="AD78" s="85" t="s">
        <v>82</v>
      </c>
      <c r="AE78" s="85"/>
      <c r="AF78" s="75" t="s">
        <v>918</v>
      </c>
    </row>
    <row r="79" spans="1:33" ht="85.5" x14ac:dyDescent="0.3">
      <c r="A79" s="7">
        <v>569362</v>
      </c>
      <c r="B79" s="7" t="s">
        <v>31</v>
      </c>
      <c r="C79" s="7" t="s">
        <v>3333</v>
      </c>
      <c r="D79" s="94" t="s">
        <v>36</v>
      </c>
      <c r="E79" s="95">
        <v>43166</v>
      </c>
      <c r="F79" s="94" t="s">
        <v>3167</v>
      </c>
      <c r="G79" s="16" t="s">
        <v>39</v>
      </c>
      <c r="H79" s="7" t="s">
        <v>3334</v>
      </c>
      <c r="I79" s="6" t="s">
        <v>3335</v>
      </c>
      <c r="J79" s="7" t="s">
        <v>34</v>
      </c>
      <c r="K79" s="64" t="s">
        <v>327</v>
      </c>
      <c r="L79" s="7" t="s">
        <v>3336</v>
      </c>
      <c r="M79" s="6" t="s">
        <v>17</v>
      </c>
      <c r="N79" s="7" t="s">
        <v>2223</v>
      </c>
      <c r="O79" s="6" t="s">
        <v>3337</v>
      </c>
      <c r="P79" s="6" t="s">
        <v>17</v>
      </c>
      <c r="Q79" s="6" t="s">
        <v>17</v>
      </c>
      <c r="R79" s="6" t="s">
        <v>96</v>
      </c>
      <c r="S79" s="6">
        <v>3345</v>
      </c>
      <c r="T79" s="6" t="s">
        <v>157</v>
      </c>
      <c r="U79" s="6">
        <v>91560</v>
      </c>
      <c r="V79" s="6" t="s">
        <v>17</v>
      </c>
      <c r="W79" s="6" t="s">
        <v>17</v>
      </c>
      <c r="X79" s="6" t="s">
        <v>17</v>
      </c>
      <c r="Y79" s="6" t="s">
        <v>17</v>
      </c>
      <c r="Z79" s="6" t="s">
        <v>17</v>
      </c>
      <c r="AA79" s="6" t="s">
        <v>17</v>
      </c>
      <c r="AB79" s="25" t="s">
        <v>17</v>
      </c>
      <c r="AC79" s="36" t="s">
        <v>3338</v>
      </c>
      <c r="AD79" s="10" t="s">
        <v>19</v>
      </c>
      <c r="AE79" s="10"/>
      <c r="AF79" s="7" t="s">
        <v>2333</v>
      </c>
    </row>
    <row r="80" spans="1:33" ht="144.75" customHeight="1" x14ac:dyDescent="0.3">
      <c r="A80" s="7">
        <v>587856</v>
      </c>
      <c r="B80" s="7" t="s">
        <v>31</v>
      </c>
      <c r="C80" s="7" t="s">
        <v>3339</v>
      </c>
      <c r="D80" s="61" t="s">
        <v>36</v>
      </c>
      <c r="E80" s="62">
        <v>43431</v>
      </c>
      <c r="F80" s="65" t="s">
        <v>3309</v>
      </c>
      <c r="G80" s="16" t="s">
        <v>39</v>
      </c>
      <c r="H80" s="66" t="s">
        <v>3340</v>
      </c>
      <c r="I80" s="66" t="s">
        <v>3341</v>
      </c>
      <c r="J80" s="66" t="s">
        <v>34</v>
      </c>
      <c r="K80" s="7" t="s">
        <v>327</v>
      </c>
      <c r="L80" s="66" t="s">
        <v>3342</v>
      </c>
      <c r="M80" s="67" t="s">
        <v>17</v>
      </c>
      <c r="N80" s="66" t="s">
        <v>3343</v>
      </c>
      <c r="O80" s="7" t="s">
        <v>3344</v>
      </c>
      <c r="P80" s="32" t="s">
        <v>17</v>
      </c>
      <c r="Q80" s="32" t="s">
        <v>17</v>
      </c>
      <c r="R80" s="32" t="s">
        <v>73</v>
      </c>
      <c r="S80" s="32" t="s">
        <v>17</v>
      </c>
      <c r="T80" s="32" t="s">
        <v>41</v>
      </c>
      <c r="U80" s="32" t="s">
        <v>17</v>
      </c>
      <c r="V80" s="32" t="s">
        <v>17</v>
      </c>
      <c r="W80" s="32" t="s">
        <v>17</v>
      </c>
      <c r="X80" s="32" t="s">
        <v>17</v>
      </c>
      <c r="Y80" s="32" t="s">
        <v>17</v>
      </c>
      <c r="Z80" s="32" t="s">
        <v>17</v>
      </c>
      <c r="AA80" s="32" t="s">
        <v>17</v>
      </c>
      <c r="AB80" s="35" t="s">
        <v>17</v>
      </c>
      <c r="AC80" s="96" t="s">
        <v>3345</v>
      </c>
      <c r="AD80" s="10" t="s">
        <v>19</v>
      </c>
      <c r="AE80" s="10"/>
      <c r="AF80" s="7" t="s">
        <v>918</v>
      </c>
    </row>
    <row r="81" spans="1:32" ht="40.5" customHeight="1" x14ac:dyDescent="0.3">
      <c r="A81" s="7">
        <v>559514</v>
      </c>
      <c r="B81" s="7" t="s">
        <v>31</v>
      </c>
      <c r="C81" s="7" t="s">
        <v>3346</v>
      </c>
      <c r="D81" s="61" t="s">
        <v>36</v>
      </c>
      <c r="E81" s="97">
        <v>42940</v>
      </c>
      <c r="F81" s="65" t="s">
        <v>3309</v>
      </c>
      <c r="G81" s="16" t="s">
        <v>39</v>
      </c>
      <c r="H81" s="66" t="s">
        <v>3347</v>
      </c>
      <c r="I81" s="66" t="s">
        <v>3348</v>
      </c>
      <c r="J81" s="66" t="s">
        <v>34</v>
      </c>
      <c r="K81" s="7" t="s">
        <v>298</v>
      </c>
      <c r="L81" s="66" t="s">
        <v>3349</v>
      </c>
      <c r="M81" s="67" t="s">
        <v>17</v>
      </c>
      <c r="N81" s="98" t="s">
        <v>3350</v>
      </c>
      <c r="O81" s="7" t="s">
        <v>3351</v>
      </c>
      <c r="P81" s="32" t="s">
        <v>17</v>
      </c>
      <c r="Q81" s="32" t="s">
        <v>17</v>
      </c>
      <c r="R81" s="32" t="s">
        <v>97</v>
      </c>
      <c r="S81" s="70">
        <v>3610</v>
      </c>
      <c r="T81" s="32" t="s">
        <v>41</v>
      </c>
      <c r="U81" s="99" t="s">
        <v>23</v>
      </c>
      <c r="V81" s="32" t="s">
        <v>17</v>
      </c>
      <c r="W81" s="32" t="s">
        <v>17</v>
      </c>
      <c r="X81" s="32" t="s">
        <v>17</v>
      </c>
      <c r="Y81" s="32" t="s">
        <v>17</v>
      </c>
      <c r="Z81" s="32" t="s">
        <v>17</v>
      </c>
      <c r="AA81" s="32" t="s">
        <v>17</v>
      </c>
      <c r="AB81" s="35" t="s">
        <v>17</v>
      </c>
      <c r="AC81" s="34" t="s">
        <v>3352</v>
      </c>
      <c r="AD81" s="10" t="s">
        <v>19</v>
      </c>
      <c r="AE81" s="10"/>
      <c r="AF81" s="7" t="s">
        <v>3353</v>
      </c>
    </row>
    <row r="82" spans="1:32" ht="90.75" customHeight="1" x14ac:dyDescent="0.3">
      <c r="A82" s="7">
        <v>559514</v>
      </c>
      <c r="B82" s="7" t="s">
        <v>31</v>
      </c>
      <c r="C82" s="7" t="s">
        <v>3346</v>
      </c>
      <c r="D82" s="7" t="s">
        <v>36</v>
      </c>
      <c r="E82" s="97">
        <v>42940</v>
      </c>
      <c r="F82" s="7" t="s">
        <v>3354</v>
      </c>
      <c r="G82" s="16" t="s">
        <v>39</v>
      </c>
      <c r="H82" s="7" t="s">
        <v>3355</v>
      </c>
      <c r="I82" s="7" t="s">
        <v>3356</v>
      </c>
      <c r="J82" s="7" t="s">
        <v>34</v>
      </c>
      <c r="K82" s="7" t="s">
        <v>2710</v>
      </c>
      <c r="L82" s="7" t="s">
        <v>3357</v>
      </c>
      <c r="M82" s="7" t="s">
        <v>17</v>
      </c>
      <c r="N82" s="7" t="s">
        <v>3358</v>
      </c>
      <c r="O82" s="7" t="s">
        <v>3359</v>
      </c>
      <c r="P82" s="32" t="s">
        <v>17</v>
      </c>
      <c r="Q82" s="32"/>
      <c r="R82" s="32"/>
      <c r="S82" s="35"/>
      <c r="T82" s="32" t="s">
        <v>41</v>
      </c>
      <c r="U82" s="33"/>
      <c r="V82" s="32" t="s">
        <v>17</v>
      </c>
      <c r="W82" s="37" t="s">
        <v>17</v>
      </c>
      <c r="X82" s="33" t="s">
        <v>17</v>
      </c>
      <c r="Y82" s="32" t="s">
        <v>17</v>
      </c>
      <c r="Z82" s="44" t="s">
        <v>17</v>
      </c>
      <c r="AA82" s="44" t="s">
        <v>17</v>
      </c>
      <c r="AB82" s="35" t="s">
        <v>17</v>
      </c>
      <c r="AC82" s="35" t="s">
        <v>3360</v>
      </c>
      <c r="AD82" s="32" t="s">
        <v>19</v>
      </c>
      <c r="AE82" s="32"/>
      <c r="AF82" s="7" t="s">
        <v>1925</v>
      </c>
    </row>
    <row r="83" spans="1:32" ht="78.75" customHeight="1" x14ac:dyDescent="0.3">
      <c r="A83" s="91">
        <v>601973</v>
      </c>
      <c r="B83" s="100" t="s">
        <v>31</v>
      </c>
      <c r="C83" s="100" t="s">
        <v>3361</v>
      </c>
      <c r="D83" s="61" t="s">
        <v>36</v>
      </c>
      <c r="E83" s="97">
        <v>43654</v>
      </c>
      <c r="F83" s="100" t="s">
        <v>3362</v>
      </c>
      <c r="G83" s="16" t="s">
        <v>39</v>
      </c>
      <c r="H83" s="100" t="s">
        <v>3363</v>
      </c>
      <c r="I83" s="100" t="s">
        <v>3364</v>
      </c>
      <c r="J83" s="100" t="s">
        <v>71</v>
      </c>
      <c r="K83" s="100" t="s">
        <v>298</v>
      </c>
      <c r="L83" s="75" t="s">
        <v>3365</v>
      </c>
      <c r="M83" s="101" t="s">
        <v>17</v>
      </c>
      <c r="N83" s="101" t="s">
        <v>3366</v>
      </c>
      <c r="O83" s="100" t="s">
        <v>3367</v>
      </c>
      <c r="P83" s="92" t="s">
        <v>17</v>
      </c>
      <c r="Q83" s="92" t="s">
        <v>17</v>
      </c>
      <c r="R83" s="92" t="s">
        <v>98</v>
      </c>
      <c r="S83" s="92" t="s">
        <v>3368</v>
      </c>
      <c r="T83" s="100" t="s">
        <v>68</v>
      </c>
      <c r="U83" s="92" t="s">
        <v>17</v>
      </c>
      <c r="V83" s="92" t="s">
        <v>17</v>
      </c>
      <c r="W83" s="92" t="s">
        <v>17</v>
      </c>
      <c r="X83" s="92" t="s">
        <v>17</v>
      </c>
      <c r="Y83" s="92" t="s">
        <v>17</v>
      </c>
      <c r="Z83" s="92" t="s">
        <v>17</v>
      </c>
      <c r="AA83" s="92" t="s">
        <v>17</v>
      </c>
      <c r="AB83" s="92" t="s">
        <v>17</v>
      </c>
      <c r="AC83" s="102" t="s">
        <v>3369</v>
      </c>
      <c r="AD83" s="100"/>
      <c r="AE83" s="100"/>
      <c r="AF83" s="100" t="s">
        <v>3370</v>
      </c>
    </row>
    <row r="84" spans="1:32" ht="86.25" customHeight="1" x14ac:dyDescent="0.3">
      <c r="A84" s="103" t="s">
        <v>99</v>
      </c>
      <c r="B84" s="100" t="s">
        <v>31</v>
      </c>
      <c r="C84" s="100" t="s">
        <v>3371</v>
      </c>
      <c r="D84" s="100" t="s">
        <v>78</v>
      </c>
      <c r="E84" s="100" t="s">
        <v>3372</v>
      </c>
      <c r="F84" s="100" t="s">
        <v>3373</v>
      </c>
      <c r="G84" s="16" t="s">
        <v>39</v>
      </c>
      <c r="H84" s="100" t="s">
        <v>3374</v>
      </c>
      <c r="I84" s="100" t="s">
        <v>3375</v>
      </c>
      <c r="J84" s="100" t="s">
        <v>34</v>
      </c>
      <c r="K84" s="100" t="s">
        <v>298</v>
      </c>
      <c r="L84" s="75" t="s">
        <v>3276</v>
      </c>
      <c r="M84" s="104" t="s">
        <v>17</v>
      </c>
      <c r="N84" s="101" t="s">
        <v>3376</v>
      </c>
      <c r="O84" s="100" t="s">
        <v>17</v>
      </c>
      <c r="P84" s="92" t="s">
        <v>17</v>
      </c>
      <c r="Q84" s="92" t="s">
        <v>17</v>
      </c>
      <c r="R84" s="92" t="s">
        <v>98</v>
      </c>
      <c r="S84" s="92" t="s">
        <v>3377</v>
      </c>
      <c r="T84" s="100" t="s">
        <v>157</v>
      </c>
      <c r="U84" s="92" t="s">
        <v>17</v>
      </c>
      <c r="V84" s="92" t="s">
        <v>17</v>
      </c>
      <c r="W84" s="92" t="s">
        <v>17</v>
      </c>
      <c r="X84" s="92" t="s">
        <v>17</v>
      </c>
      <c r="Y84" s="92" t="s">
        <v>17</v>
      </c>
      <c r="Z84" s="92" t="s">
        <v>17</v>
      </c>
      <c r="AA84" s="92" t="s">
        <v>17</v>
      </c>
      <c r="AB84" s="93" t="s">
        <v>17</v>
      </c>
      <c r="AC84" s="102" t="s">
        <v>3378</v>
      </c>
      <c r="AD84" s="100" t="s">
        <v>24</v>
      </c>
      <c r="AE84" s="100"/>
      <c r="AF84" s="100" t="s">
        <v>2333</v>
      </c>
    </row>
    <row r="85" spans="1:32" ht="71.25" customHeight="1" x14ac:dyDescent="0.3">
      <c r="A85" s="105" t="s">
        <v>100</v>
      </c>
      <c r="B85" s="106" t="s">
        <v>31</v>
      </c>
      <c r="C85" s="105" t="s">
        <v>3379</v>
      </c>
      <c r="D85" s="16" t="s">
        <v>66</v>
      </c>
      <c r="E85" s="97" t="s">
        <v>3380</v>
      </c>
      <c r="F85" s="100" t="s">
        <v>3381</v>
      </c>
      <c r="G85" s="16" t="s">
        <v>39</v>
      </c>
      <c r="H85" s="100" t="s">
        <v>3382</v>
      </c>
      <c r="I85" s="100" t="s">
        <v>3383</v>
      </c>
      <c r="J85" s="100" t="s">
        <v>16</v>
      </c>
      <c r="K85" s="100" t="s">
        <v>298</v>
      </c>
      <c r="L85" s="100" t="s">
        <v>3384</v>
      </c>
      <c r="M85" s="107"/>
      <c r="N85" s="108" t="s">
        <v>3385</v>
      </c>
      <c r="O85" s="107"/>
      <c r="P85" s="109" t="s">
        <v>17</v>
      </c>
      <c r="Q85" s="109" t="s">
        <v>17</v>
      </c>
      <c r="R85" s="109" t="s">
        <v>17</v>
      </c>
      <c r="S85" s="109" t="s">
        <v>17</v>
      </c>
      <c r="T85" s="109" t="s">
        <v>68</v>
      </c>
      <c r="U85" s="110" t="s">
        <v>17</v>
      </c>
      <c r="V85" s="110" t="s">
        <v>17</v>
      </c>
      <c r="W85" s="110" t="s">
        <v>17</v>
      </c>
      <c r="X85" s="110" t="s">
        <v>17</v>
      </c>
      <c r="Y85" s="107"/>
      <c r="Z85" s="107"/>
      <c r="AA85" s="107"/>
      <c r="AB85" s="107"/>
      <c r="AC85" s="11" t="s">
        <v>3386</v>
      </c>
      <c r="AD85" s="10" t="s">
        <v>19</v>
      </c>
      <c r="AE85" s="10"/>
      <c r="AF85" s="7" t="s">
        <v>2333</v>
      </c>
    </row>
    <row r="86" spans="1:32" ht="199.5" x14ac:dyDescent="0.3">
      <c r="A86" s="91">
        <v>712778</v>
      </c>
      <c r="B86" s="100" t="s">
        <v>31</v>
      </c>
      <c r="C86" s="100" t="s">
        <v>3387</v>
      </c>
      <c r="D86" s="100" t="s">
        <v>36</v>
      </c>
      <c r="E86" s="100" t="s">
        <v>3380</v>
      </c>
      <c r="F86" s="100" t="s">
        <v>3388</v>
      </c>
      <c r="G86" s="9" t="s">
        <v>33</v>
      </c>
      <c r="H86" s="100" t="s">
        <v>3389</v>
      </c>
      <c r="I86" s="100" t="s">
        <v>3390</v>
      </c>
      <c r="J86" s="100" t="s">
        <v>34</v>
      </c>
      <c r="K86" s="100" t="s">
        <v>298</v>
      </c>
      <c r="L86" s="75" t="s">
        <v>3391</v>
      </c>
      <c r="M86" s="104" t="s">
        <v>17</v>
      </c>
      <c r="N86" s="111" t="s">
        <v>3392</v>
      </c>
      <c r="O86" s="100" t="s">
        <v>3393</v>
      </c>
      <c r="P86" s="92" t="s">
        <v>17</v>
      </c>
      <c r="Q86" s="92" t="s">
        <v>17</v>
      </c>
      <c r="R86" s="92" t="s">
        <v>98</v>
      </c>
      <c r="S86" s="92">
        <v>773</v>
      </c>
      <c r="T86" s="100" t="s">
        <v>41</v>
      </c>
      <c r="U86" s="92" t="s">
        <v>17</v>
      </c>
      <c r="V86" s="92" t="s">
        <v>17</v>
      </c>
      <c r="W86" s="92" t="s">
        <v>17</v>
      </c>
      <c r="X86" s="92" t="s">
        <v>17</v>
      </c>
      <c r="Y86" s="92" t="s">
        <v>17</v>
      </c>
      <c r="Z86" s="92" t="s">
        <v>17</v>
      </c>
      <c r="AA86" s="92" t="s">
        <v>17</v>
      </c>
      <c r="AB86" s="93" t="s">
        <v>17</v>
      </c>
      <c r="AC86" s="102" t="s">
        <v>3394</v>
      </c>
      <c r="AD86" s="100" t="s">
        <v>19</v>
      </c>
      <c r="AE86" s="100" t="s">
        <v>341</v>
      </c>
      <c r="AF86" s="100" t="s">
        <v>448</v>
      </c>
    </row>
    <row r="87" spans="1:32" ht="173.25" customHeight="1" x14ac:dyDescent="0.3">
      <c r="A87" s="91">
        <v>708755</v>
      </c>
      <c r="B87" s="100" t="s">
        <v>31</v>
      </c>
      <c r="C87" s="100" t="s">
        <v>3395</v>
      </c>
      <c r="D87" s="100" t="s">
        <v>36</v>
      </c>
      <c r="E87" s="100" t="s">
        <v>3396</v>
      </c>
      <c r="F87" s="100" t="s">
        <v>3397</v>
      </c>
      <c r="G87" s="100" t="s">
        <v>52</v>
      </c>
      <c r="H87" s="100" t="s">
        <v>3398</v>
      </c>
      <c r="I87" s="100" t="s">
        <v>3399</v>
      </c>
      <c r="J87" s="100" t="s">
        <v>34</v>
      </c>
      <c r="K87" s="100" t="s">
        <v>298</v>
      </c>
      <c r="L87" s="75" t="s">
        <v>3276</v>
      </c>
      <c r="M87" s="104" t="s">
        <v>17</v>
      </c>
      <c r="N87" s="101" t="s">
        <v>3400</v>
      </c>
      <c r="O87" s="100" t="s">
        <v>3401</v>
      </c>
      <c r="P87" s="92" t="s">
        <v>17</v>
      </c>
      <c r="Q87" s="92" t="s">
        <v>17</v>
      </c>
      <c r="R87" s="92" t="s">
        <v>17</v>
      </c>
      <c r="S87" s="92" t="s">
        <v>17</v>
      </c>
      <c r="T87" s="100" t="s">
        <v>41</v>
      </c>
      <c r="U87" s="92" t="s">
        <v>17</v>
      </c>
      <c r="V87" s="92" t="s">
        <v>17</v>
      </c>
      <c r="W87" s="92" t="s">
        <v>17</v>
      </c>
      <c r="X87" s="92" t="s">
        <v>17</v>
      </c>
      <c r="Y87" s="92" t="s">
        <v>17</v>
      </c>
      <c r="Z87" s="92" t="s">
        <v>3402</v>
      </c>
      <c r="AA87" s="112">
        <v>45293</v>
      </c>
      <c r="AB87" s="18" t="s">
        <v>3403</v>
      </c>
      <c r="AC87" s="113" t="s">
        <v>3404</v>
      </c>
      <c r="AD87" s="100" t="s">
        <v>101</v>
      </c>
      <c r="AE87" s="100" t="s">
        <v>439</v>
      </c>
      <c r="AF87" s="100" t="s">
        <v>3317</v>
      </c>
    </row>
    <row r="88" spans="1:32" ht="356.25" x14ac:dyDescent="0.3">
      <c r="A88" s="91">
        <v>799523</v>
      </c>
      <c r="B88" s="100" t="s">
        <v>31</v>
      </c>
      <c r="C88" s="100" t="s">
        <v>3405</v>
      </c>
      <c r="D88" s="100" t="s">
        <v>36</v>
      </c>
      <c r="E88" s="100" t="s">
        <v>3406</v>
      </c>
      <c r="F88" s="114" t="s">
        <v>3407</v>
      </c>
      <c r="G88" s="115" t="s">
        <v>39</v>
      </c>
      <c r="H88" s="100" t="s">
        <v>3408</v>
      </c>
      <c r="I88" s="100" t="s">
        <v>3409</v>
      </c>
      <c r="J88" s="100" t="s">
        <v>71</v>
      </c>
      <c r="K88" s="100" t="s">
        <v>298</v>
      </c>
      <c r="L88" s="75" t="s">
        <v>3410</v>
      </c>
      <c r="M88" s="104" t="s">
        <v>17</v>
      </c>
      <c r="N88" s="101" t="s">
        <v>3411</v>
      </c>
      <c r="O88" s="100" t="s">
        <v>3412</v>
      </c>
      <c r="P88" s="92" t="s">
        <v>17</v>
      </c>
      <c r="Q88" s="92" t="s">
        <v>17</v>
      </c>
      <c r="R88" s="92" t="s">
        <v>17</v>
      </c>
      <c r="S88" s="92" t="s">
        <v>17</v>
      </c>
      <c r="T88" s="100" t="s">
        <v>3688</v>
      </c>
      <c r="U88" s="92" t="s">
        <v>17</v>
      </c>
      <c r="V88" s="92" t="s">
        <v>17</v>
      </c>
      <c r="W88" s="92" t="s">
        <v>17</v>
      </c>
      <c r="X88" s="92" t="s">
        <v>17</v>
      </c>
      <c r="Y88" s="92" t="s">
        <v>17</v>
      </c>
      <c r="Z88" s="92" t="s">
        <v>17</v>
      </c>
      <c r="AA88" s="92" t="s">
        <v>17</v>
      </c>
      <c r="AB88" s="93" t="s">
        <v>17</v>
      </c>
      <c r="AC88" s="102" t="s">
        <v>3413</v>
      </c>
      <c r="AD88" s="100" t="s">
        <v>19</v>
      </c>
      <c r="AE88" s="100" t="s">
        <v>17</v>
      </c>
      <c r="AF88" s="100"/>
    </row>
    <row r="89" spans="1:32" ht="199.5" x14ac:dyDescent="0.3">
      <c r="A89" s="91">
        <v>750444</v>
      </c>
      <c r="B89" s="100" t="s">
        <v>31</v>
      </c>
      <c r="C89" s="100" t="s">
        <v>3414</v>
      </c>
      <c r="D89" s="100" t="s">
        <v>36</v>
      </c>
      <c r="E89" s="100" t="s">
        <v>3415</v>
      </c>
      <c r="F89" s="100" t="s">
        <v>3416</v>
      </c>
      <c r="G89" s="9" t="s">
        <v>33</v>
      </c>
      <c r="H89" s="100" t="s">
        <v>3417</v>
      </c>
      <c r="I89" s="100" t="s">
        <v>3418</v>
      </c>
      <c r="J89" s="100" t="s">
        <v>34</v>
      </c>
      <c r="K89" s="100" t="s">
        <v>298</v>
      </c>
      <c r="L89" s="75" t="s">
        <v>3276</v>
      </c>
      <c r="M89" s="104" t="s">
        <v>17</v>
      </c>
      <c r="N89" s="111" t="s">
        <v>3419</v>
      </c>
      <c r="O89" s="100" t="s">
        <v>3420</v>
      </c>
      <c r="P89" s="92" t="s">
        <v>17</v>
      </c>
      <c r="Q89" s="92" t="s">
        <v>17</v>
      </c>
      <c r="R89" s="92" t="s">
        <v>102</v>
      </c>
      <c r="S89" s="92" t="s">
        <v>3421</v>
      </c>
      <c r="T89" s="100" t="s">
        <v>3685</v>
      </c>
      <c r="U89" s="92" t="s">
        <v>17</v>
      </c>
      <c r="V89" s="92" t="s">
        <v>17</v>
      </c>
      <c r="W89" s="92" t="s">
        <v>17</v>
      </c>
      <c r="X89" s="92" t="s">
        <v>17</v>
      </c>
      <c r="Y89" s="92" t="s">
        <v>17</v>
      </c>
      <c r="Z89" s="92" t="s">
        <v>17</v>
      </c>
      <c r="AA89" s="92" t="s">
        <v>17</v>
      </c>
      <c r="AB89" s="93" t="s">
        <v>17</v>
      </c>
      <c r="AC89" s="108" t="s">
        <v>3422</v>
      </c>
      <c r="AD89" s="100" t="s">
        <v>19</v>
      </c>
      <c r="AE89" s="100" t="s">
        <v>439</v>
      </c>
      <c r="AF89" s="100" t="s">
        <v>448</v>
      </c>
    </row>
    <row r="90" spans="1:32" ht="85.5" x14ac:dyDescent="0.3">
      <c r="A90" s="91" t="s">
        <v>103</v>
      </c>
      <c r="B90" s="100" t="s">
        <v>31</v>
      </c>
      <c r="C90" s="108" t="s">
        <v>3423</v>
      </c>
      <c r="D90" s="100" t="s">
        <v>36</v>
      </c>
      <c r="E90" s="100">
        <v>1300</v>
      </c>
      <c r="F90" s="100" t="s">
        <v>3424</v>
      </c>
      <c r="G90" s="16" t="s">
        <v>52</v>
      </c>
      <c r="H90" s="18" t="s">
        <v>3425</v>
      </c>
      <c r="I90" s="113" t="s">
        <v>3426</v>
      </c>
      <c r="J90" s="113" t="s">
        <v>34</v>
      </c>
      <c r="K90" s="113" t="s">
        <v>3427</v>
      </c>
      <c r="L90" s="116" t="s">
        <v>3428</v>
      </c>
      <c r="M90" s="104" t="s">
        <v>17</v>
      </c>
      <c r="N90" s="111" t="s">
        <v>3429</v>
      </c>
      <c r="O90" s="100" t="s">
        <v>3430</v>
      </c>
      <c r="P90" s="100" t="s">
        <v>17</v>
      </c>
      <c r="Q90" s="92" t="s">
        <v>17</v>
      </c>
      <c r="R90" s="92" t="s">
        <v>47</v>
      </c>
      <c r="S90" s="92" t="s">
        <v>3431</v>
      </c>
      <c r="T90" s="100" t="s">
        <v>104</v>
      </c>
      <c r="U90" s="92" t="s">
        <v>17</v>
      </c>
      <c r="V90" s="92" t="s">
        <v>17</v>
      </c>
      <c r="W90" s="92" t="s">
        <v>17</v>
      </c>
      <c r="X90" s="92" t="s">
        <v>17</v>
      </c>
      <c r="Y90" s="92" t="s">
        <v>17</v>
      </c>
      <c r="Z90" s="92" t="s">
        <v>17</v>
      </c>
      <c r="AA90" s="92" t="s">
        <v>17</v>
      </c>
      <c r="AB90" s="93" t="s">
        <v>17</v>
      </c>
      <c r="AC90" s="108" t="s">
        <v>3432</v>
      </c>
      <c r="AD90" s="100" t="s">
        <v>24</v>
      </c>
      <c r="AE90" s="100" t="s">
        <v>17</v>
      </c>
      <c r="AF90" s="100" t="s">
        <v>3353</v>
      </c>
    </row>
    <row r="91" spans="1:32" ht="128.25" x14ac:dyDescent="0.3">
      <c r="A91" s="91">
        <v>770042</v>
      </c>
      <c r="B91" s="100" t="s">
        <v>31</v>
      </c>
      <c r="C91" s="108" t="s">
        <v>3433</v>
      </c>
      <c r="D91" s="100" t="s">
        <v>36</v>
      </c>
      <c r="E91" s="100" t="s">
        <v>3434</v>
      </c>
      <c r="F91" s="100" t="s">
        <v>3435</v>
      </c>
      <c r="G91" s="16" t="s">
        <v>52</v>
      </c>
      <c r="H91" s="100" t="s">
        <v>3436</v>
      </c>
      <c r="I91" s="18" t="s">
        <v>3437</v>
      </c>
      <c r="J91" s="117" t="s">
        <v>34</v>
      </c>
      <c r="K91" s="117" t="s">
        <v>3427</v>
      </c>
      <c r="L91" s="113" t="s">
        <v>3438</v>
      </c>
      <c r="M91" s="116" t="s">
        <v>89</v>
      </c>
      <c r="N91" s="104" t="s">
        <v>3439</v>
      </c>
      <c r="O91" s="111" t="s">
        <v>3440</v>
      </c>
      <c r="P91" s="100" t="s">
        <v>17</v>
      </c>
      <c r="Q91" s="92" t="s">
        <v>17</v>
      </c>
      <c r="R91" s="92" t="s">
        <v>73</v>
      </c>
      <c r="S91" s="92" t="s">
        <v>17</v>
      </c>
      <c r="T91" s="92" t="s">
        <v>46</v>
      </c>
      <c r="U91" s="92" t="s">
        <v>17</v>
      </c>
      <c r="V91" s="92" t="s">
        <v>17</v>
      </c>
      <c r="W91" s="92" t="s">
        <v>17</v>
      </c>
      <c r="X91" s="92" t="s">
        <v>17</v>
      </c>
      <c r="Y91" s="92" t="s">
        <v>17</v>
      </c>
      <c r="Z91" s="92" t="s">
        <v>3441</v>
      </c>
      <c r="AA91" s="92" t="s">
        <v>17</v>
      </c>
      <c r="AB91" s="93" t="s">
        <v>17</v>
      </c>
      <c r="AC91" s="93" t="s">
        <v>3442</v>
      </c>
      <c r="AD91" s="108" t="s">
        <v>24</v>
      </c>
      <c r="AE91" s="100" t="s">
        <v>17</v>
      </c>
      <c r="AF91" s="100" t="s">
        <v>3443</v>
      </c>
    </row>
    <row r="92" spans="1:32" ht="85.5" x14ac:dyDescent="0.3">
      <c r="A92" s="91">
        <v>774718</v>
      </c>
      <c r="B92" s="100" t="s">
        <v>31</v>
      </c>
      <c r="C92" s="118" t="s">
        <v>3444</v>
      </c>
      <c r="D92" s="16" t="s">
        <v>36</v>
      </c>
      <c r="E92" s="97">
        <v>45056</v>
      </c>
      <c r="F92" s="100" t="s">
        <v>3445</v>
      </c>
      <c r="G92" s="9" t="s">
        <v>33</v>
      </c>
      <c r="H92" s="16" t="s">
        <v>3446</v>
      </c>
      <c r="I92" s="16" t="s">
        <v>3447</v>
      </c>
      <c r="J92" s="119" t="s">
        <v>34</v>
      </c>
      <c r="K92" s="119" t="s">
        <v>3427</v>
      </c>
      <c r="L92" s="119" t="s">
        <v>3448</v>
      </c>
      <c r="M92" s="120" t="s">
        <v>89</v>
      </c>
      <c r="N92" s="119" t="s">
        <v>3449</v>
      </c>
      <c r="O92" s="121" t="s">
        <v>3450</v>
      </c>
      <c r="P92" s="100" t="s">
        <v>17</v>
      </c>
      <c r="Q92" s="92" t="s">
        <v>17</v>
      </c>
      <c r="R92" s="92" t="s">
        <v>3078</v>
      </c>
      <c r="S92" s="92" t="s">
        <v>17</v>
      </c>
      <c r="T92" s="92" t="s">
        <v>38</v>
      </c>
      <c r="U92" s="92" t="s">
        <v>17</v>
      </c>
      <c r="V92" s="92" t="s">
        <v>17</v>
      </c>
      <c r="W92" s="92" t="s">
        <v>17</v>
      </c>
      <c r="X92" s="92" t="s">
        <v>17</v>
      </c>
      <c r="Y92" s="92" t="s">
        <v>17</v>
      </c>
      <c r="Z92" s="92" t="s">
        <v>17</v>
      </c>
      <c r="AA92" s="92" t="s">
        <v>17</v>
      </c>
      <c r="AB92" s="122" t="s">
        <v>17</v>
      </c>
      <c r="AC92" s="122" t="s">
        <v>3451</v>
      </c>
      <c r="AD92" s="118" t="s">
        <v>24</v>
      </c>
      <c r="AE92" s="100" t="s">
        <v>17</v>
      </c>
      <c r="AF92" s="100" t="s">
        <v>2333</v>
      </c>
    </row>
    <row r="93" spans="1:32" ht="114" x14ac:dyDescent="0.3">
      <c r="A93" s="103" t="s">
        <v>99</v>
      </c>
      <c r="B93" s="16" t="s">
        <v>1177</v>
      </c>
      <c r="C93" s="118" t="s">
        <v>3452</v>
      </c>
      <c r="D93" s="16" t="s">
        <v>78</v>
      </c>
      <c r="E93" s="16" t="s">
        <v>3453</v>
      </c>
      <c r="F93" s="16" t="s">
        <v>3454</v>
      </c>
      <c r="G93" s="16" t="s">
        <v>52</v>
      </c>
      <c r="H93" s="16" t="s">
        <v>3455</v>
      </c>
      <c r="I93" s="100" t="s">
        <v>3456</v>
      </c>
      <c r="J93" s="100" t="s">
        <v>34</v>
      </c>
      <c r="K93" s="100" t="s">
        <v>3427</v>
      </c>
      <c r="L93" s="119" t="s">
        <v>3457</v>
      </c>
      <c r="M93" s="123" t="s">
        <v>17</v>
      </c>
      <c r="N93" s="106" t="s">
        <v>3458</v>
      </c>
      <c r="O93" s="121" t="s">
        <v>3459</v>
      </c>
      <c r="P93" s="16" t="s">
        <v>17</v>
      </c>
      <c r="Q93" s="16" t="s">
        <v>17</v>
      </c>
      <c r="R93" s="124" t="s">
        <v>105</v>
      </c>
      <c r="S93" s="125" t="s">
        <v>3460</v>
      </c>
      <c r="T93" s="125" t="s">
        <v>2465</v>
      </c>
      <c r="U93" s="126"/>
      <c r="V93" s="126"/>
      <c r="W93" s="126"/>
      <c r="X93" s="126" t="s">
        <v>17</v>
      </c>
      <c r="Y93" s="126" t="s">
        <v>17</v>
      </c>
      <c r="Z93" s="126" t="s">
        <v>17</v>
      </c>
      <c r="AA93" s="126" t="s">
        <v>17</v>
      </c>
      <c r="AB93" s="122" t="s">
        <v>17</v>
      </c>
      <c r="AC93" s="127" t="s">
        <v>3461</v>
      </c>
      <c r="AD93" s="128" t="s">
        <v>24</v>
      </c>
      <c r="AE93" s="125" t="s">
        <v>17</v>
      </c>
      <c r="AF93" s="129" t="s">
        <v>440</v>
      </c>
    </row>
    <row r="94" spans="1:32" ht="99.75" x14ac:dyDescent="0.3">
      <c r="A94" s="91">
        <v>778590</v>
      </c>
      <c r="B94" s="100" t="s">
        <v>31</v>
      </c>
      <c r="C94" s="118" t="s">
        <v>3462</v>
      </c>
      <c r="D94" s="100" t="s">
        <v>36</v>
      </c>
      <c r="E94" s="97" t="s">
        <v>3463</v>
      </c>
      <c r="F94" s="100" t="s">
        <v>3464</v>
      </c>
      <c r="G94" s="16" t="s">
        <v>39</v>
      </c>
      <c r="H94" s="100" t="s">
        <v>3465</v>
      </c>
      <c r="I94" s="100" t="s">
        <v>3466</v>
      </c>
      <c r="J94" s="100" t="s">
        <v>34</v>
      </c>
      <c r="K94" s="100" t="s">
        <v>3427</v>
      </c>
      <c r="L94" s="130" t="s">
        <v>3438</v>
      </c>
      <c r="M94" s="131" t="s">
        <v>89</v>
      </c>
      <c r="N94" s="130" t="s">
        <v>3467</v>
      </c>
      <c r="O94" s="132" t="s">
        <v>17</v>
      </c>
      <c r="P94" s="100" t="s">
        <v>17</v>
      </c>
      <c r="Q94" s="133" t="s">
        <v>17</v>
      </c>
      <c r="R94" s="133" t="s">
        <v>73</v>
      </c>
      <c r="S94" s="133" t="s">
        <v>17</v>
      </c>
      <c r="T94" s="133" t="s">
        <v>252</v>
      </c>
      <c r="U94" s="133" t="s">
        <v>17</v>
      </c>
      <c r="V94" s="133" t="s">
        <v>17</v>
      </c>
      <c r="W94" s="133" t="s">
        <v>17</v>
      </c>
      <c r="X94" s="133" t="s">
        <v>17</v>
      </c>
      <c r="Y94" s="133" t="s">
        <v>17</v>
      </c>
      <c r="Z94" s="133" t="s">
        <v>17</v>
      </c>
      <c r="AA94" s="133" t="s">
        <v>17</v>
      </c>
      <c r="AB94" s="127" t="s">
        <v>17</v>
      </c>
      <c r="AC94" s="127" t="s">
        <v>3468</v>
      </c>
      <c r="AD94" s="108" t="s">
        <v>24</v>
      </c>
      <c r="AE94" s="100" t="s">
        <v>17</v>
      </c>
      <c r="AF94" s="100" t="s">
        <v>2333</v>
      </c>
    </row>
    <row r="95" spans="1:32" ht="71.25" x14ac:dyDescent="0.3">
      <c r="A95" s="91">
        <v>774679</v>
      </c>
      <c r="B95" s="100" t="s">
        <v>31</v>
      </c>
      <c r="C95" s="118" t="s">
        <v>3469</v>
      </c>
      <c r="D95" s="100" t="s">
        <v>36</v>
      </c>
      <c r="E95" s="97" t="s">
        <v>3434</v>
      </c>
      <c r="F95" s="100" t="s">
        <v>3470</v>
      </c>
      <c r="G95" s="16" t="s">
        <v>33</v>
      </c>
      <c r="H95" s="100" t="s">
        <v>3471</v>
      </c>
      <c r="I95" s="100" t="s">
        <v>3472</v>
      </c>
      <c r="J95" s="100" t="s">
        <v>71</v>
      </c>
      <c r="K95" s="100" t="s">
        <v>3427</v>
      </c>
      <c r="L95" s="100" t="s">
        <v>3473</v>
      </c>
      <c r="M95" s="134"/>
      <c r="N95" s="100" t="s">
        <v>3474</v>
      </c>
      <c r="O95" s="135" t="s">
        <v>3475</v>
      </c>
      <c r="P95" s="100" t="s">
        <v>17</v>
      </c>
      <c r="Q95" s="133" t="s">
        <v>17</v>
      </c>
      <c r="R95" s="133" t="s">
        <v>17</v>
      </c>
      <c r="S95" s="136" t="s">
        <v>3476</v>
      </c>
      <c r="T95" s="133" t="s">
        <v>57</v>
      </c>
      <c r="U95" s="133" t="s">
        <v>17</v>
      </c>
      <c r="V95" s="133" t="s">
        <v>17</v>
      </c>
      <c r="W95" s="133" t="s">
        <v>17</v>
      </c>
      <c r="X95" s="133" t="s">
        <v>17</v>
      </c>
      <c r="Y95" s="133" t="s">
        <v>17</v>
      </c>
      <c r="Z95" s="133" t="s">
        <v>17</v>
      </c>
      <c r="AA95" s="133" t="s">
        <v>17</v>
      </c>
      <c r="AB95" s="127" t="s">
        <v>17</v>
      </c>
      <c r="AC95" s="127" t="s">
        <v>3477</v>
      </c>
      <c r="AD95" s="108" t="s">
        <v>106</v>
      </c>
      <c r="AE95" s="100" t="s">
        <v>439</v>
      </c>
      <c r="AF95" s="100" t="s">
        <v>996</v>
      </c>
    </row>
    <row r="96" spans="1:32" ht="299.25" x14ac:dyDescent="0.3">
      <c r="A96" s="91">
        <v>751037</v>
      </c>
      <c r="B96" s="100" t="s">
        <v>31</v>
      </c>
      <c r="C96" s="118" t="s">
        <v>3478</v>
      </c>
      <c r="D96" s="100" t="s">
        <v>36</v>
      </c>
      <c r="E96" s="97">
        <v>410295</v>
      </c>
      <c r="F96" s="100" t="s">
        <v>3479</v>
      </c>
      <c r="G96" s="16" t="s">
        <v>39</v>
      </c>
      <c r="I96" s="100" t="s">
        <v>3480</v>
      </c>
      <c r="J96" s="130" t="s">
        <v>34</v>
      </c>
      <c r="K96" s="130" t="s">
        <v>3427</v>
      </c>
      <c r="L96" s="130" t="s">
        <v>3438</v>
      </c>
      <c r="M96" s="123" t="s">
        <v>17</v>
      </c>
      <c r="N96" s="130" t="s">
        <v>3481</v>
      </c>
      <c r="O96" s="132" t="s">
        <v>17</v>
      </c>
      <c r="P96" s="100" t="s">
        <v>17</v>
      </c>
      <c r="Q96" s="133" t="s">
        <v>17</v>
      </c>
      <c r="R96" s="133" t="s">
        <v>17</v>
      </c>
      <c r="S96" s="137">
        <v>4807</v>
      </c>
      <c r="T96" s="133" t="s">
        <v>55</v>
      </c>
      <c r="U96" s="133" t="s">
        <v>17</v>
      </c>
      <c r="V96" s="133" t="s">
        <v>17</v>
      </c>
      <c r="W96" s="133" t="s">
        <v>17</v>
      </c>
      <c r="X96" s="133" t="s">
        <v>17</v>
      </c>
      <c r="Y96" s="133" t="s">
        <v>17</v>
      </c>
      <c r="Z96" s="133" t="s">
        <v>17</v>
      </c>
      <c r="AA96" s="133" t="s">
        <v>17</v>
      </c>
      <c r="AB96" s="127" t="s">
        <v>17</v>
      </c>
      <c r="AC96" s="127" t="s">
        <v>3482</v>
      </c>
      <c r="AD96" s="108" t="s">
        <v>24</v>
      </c>
      <c r="AE96" s="100" t="s">
        <v>17</v>
      </c>
      <c r="AF96" s="100" t="s">
        <v>2333</v>
      </c>
    </row>
    <row r="97" spans="1:32" s="140" customFormat="1" ht="106.5" customHeight="1" x14ac:dyDescent="0.3">
      <c r="A97" s="103">
        <v>783984</v>
      </c>
      <c r="B97" s="138" t="s">
        <v>31</v>
      </c>
      <c r="C97" s="138" t="s">
        <v>3483</v>
      </c>
      <c r="D97" s="138" t="s">
        <v>36</v>
      </c>
      <c r="E97" s="138" t="s">
        <v>3484</v>
      </c>
      <c r="F97" s="138" t="s">
        <v>3485</v>
      </c>
      <c r="G97" s="9" t="s">
        <v>33</v>
      </c>
      <c r="H97" s="100" t="s">
        <v>3486</v>
      </c>
      <c r="I97" s="100" t="s">
        <v>3487</v>
      </c>
      <c r="J97" s="138" t="s">
        <v>34</v>
      </c>
      <c r="K97" s="138" t="s">
        <v>298</v>
      </c>
      <c r="L97" s="104" t="s">
        <v>2798</v>
      </c>
      <c r="M97" s="104" t="s">
        <v>17</v>
      </c>
      <c r="N97" s="139" t="s">
        <v>3488</v>
      </c>
      <c r="O97" s="138" t="s">
        <v>3489</v>
      </c>
      <c r="P97" s="100" t="s">
        <v>17</v>
      </c>
      <c r="Q97" s="100" t="s">
        <v>17</v>
      </c>
      <c r="R97" s="100" t="s">
        <v>107</v>
      </c>
      <c r="S97" s="138" t="s">
        <v>3490</v>
      </c>
      <c r="T97" s="138" t="s">
        <v>41</v>
      </c>
      <c r="U97" s="138" t="s">
        <v>17</v>
      </c>
      <c r="V97" s="138" t="s">
        <v>17</v>
      </c>
      <c r="W97" s="138" t="s">
        <v>17</v>
      </c>
      <c r="X97" s="138" t="s">
        <v>17</v>
      </c>
      <c r="Y97" s="138" t="s">
        <v>17</v>
      </c>
      <c r="Z97" s="100" t="s">
        <v>23</v>
      </c>
      <c r="AA97" s="100" t="s">
        <v>23</v>
      </c>
      <c r="AB97" s="100" t="s">
        <v>23</v>
      </c>
      <c r="AC97" s="138" t="s">
        <v>3491</v>
      </c>
      <c r="AD97" s="138" t="s">
        <v>19</v>
      </c>
      <c r="AE97" s="138" t="s">
        <v>341</v>
      </c>
      <c r="AF97" s="138" t="s">
        <v>448</v>
      </c>
    </row>
    <row r="98" spans="1:32" ht="85.5" x14ac:dyDescent="0.3">
      <c r="A98" s="103">
        <v>744883</v>
      </c>
      <c r="B98" s="16" t="s">
        <v>31</v>
      </c>
      <c r="C98" s="118" t="s">
        <v>3492</v>
      </c>
      <c r="D98" s="16" t="s">
        <v>36</v>
      </c>
      <c r="E98" s="141" t="s">
        <v>3493</v>
      </c>
      <c r="F98" s="142" t="s">
        <v>3494</v>
      </c>
      <c r="G98" s="16" t="s">
        <v>39</v>
      </c>
      <c r="H98" s="16" t="s">
        <v>3495</v>
      </c>
      <c r="I98" s="16" t="s">
        <v>3496</v>
      </c>
      <c r="J98" s="143" t="s">
        <v>34</v>
      </c>
      <c r="K98" s="143" t="s">
        <v>781</v>
      </c>
      <c r="L98" s="143" t="s">
        <v>3438</v>
      </c>
      <c r="M98" s="144" t="s">
        <v>89</v>
      </c>
      <c r="N98" s="143" t="s">
        <v>3497</v>
      </c>
      <c r="O98" s="145" t="s">
        <v>17</v>
      </c>
      <c r="P98" s="16" t="s">
        <v>17</v>
      </c>
      <c r="Q98" s="146" t="s">
        <v>17</v>
      </c>
      <c r="R98" s="146" t="s">
        <v>17</v>
      </c>
      <c r="S98" s="146" t="s">
        <v>17</v>
      </c>
      <c r="T98" s="146" t="s">
        <v>55</v>
      </c>
      <c r="U98" s="147" t="s">
        <v>17</v>
      </c>
      <c r="V98" s="146" t="s">
        <v>17</v>
      </c>
      <c r="W98" s="146" t="s">
        <v>17</v>
      </c>
      <c r="X98" s="146" t="s">
        <v>17</v>
      </c>
      <c r="Y98" s="146" t="s">
        <v>17</v>
      </c>
      <c r="Z98" s="146" t="s">
        <v>17</v>
      </c>
      <c r="AA98" s="146" t="s">
        <v>17</v>
      </c>
      <c r="AB98" s="127" t="s">
        <v>17</v>
      </c>
      <c r="AC98" s="148" t="s">
        <v>3498</v>
      </c>
      <c r="AD98" s="149" t="s">
        <v>24</v>
      </c>
      <c r="AE98" s="115" t="s">
        <v>17</v>
      </c>
      <c r="AF98" s="114" t="s">
        <v>3499</v>
      </c>
    </row>
    <row r="99" spans="1:32" ht="216.75" customHeight="1" x14ac:dyDescent="0.3">
      <c r="A99" s="150">
        <v>782777</v>
      </c>
      <c r="B99" s="100" t="s">
        <v>31</v>
      </c>
      <c r="C99" s="151" t="s">
        <v>3500</v>
      </c>
      <c r="D99" s="100" t="s">
        <v>36</v>
      </c>
      <c r="E99" s="150" t="s">
        <v>3501</v>
      </c>
      <c r="F99" s="152" t="s">
        <v>3502</v>
      </c>
      <c r="G99" s="9" t="s">
        <v>33</v>
      </c>
      <c r="H99" s="100" t="s">
        <v>3503</v>
      </c>
      <c r="I99" s="100" t="s">
        <v>3504</v>
      </c>
      <c r="J99" s="153" t="s">
        <v>34</v>
      </c>
      <c r="K99" s="152" t="s">
        <v>3427</v>
      </c>
      <c r="L99" s="152" t="s">
        <v>2798</v>
      </c>
      <c r="M99" s="104" t="s">
        <v>17</v>
      </c>
      <c r="N99" s="152" t="s">
        <v>3505</v>
      </c>
      <c r="O99" s="150" t="s">
        <v>1869</v>
      </c>
      <c r="P99" s="100" t="s">
        <v>17</v>
      </c>
      <c r="Q99" s="133" t="s">
        <v>17</v>
      </c>
      <c r="R99" s="154" t="s">
        <v>3506</v>
      </c>
      <c r="S99" s="133" t="s">
        <v>3507</v>
      </c>
      <c r="T99" s="150" t="s">
        <v>3689</v>
      </c>
      <c r="U99" s="154" t="s">
        <v>17</v>
      </c>
      <c r="V99" s="154" t="s">
        <v>17</v>
      </c>
      <c r="W99" s="154" t="s">
        <v>17</v>
      </c>
      <c r="X99" s="133" t="s">
        <v>17</v>
      </c>
      <c r="Y99" s="133" t="s">
        <v>17</v>
      </c>
      <c r="Z99" s="133" t="s">
        <v>17</v>
      </c>
      <c r="AA99" s="133" t="s">
        <v>17</v>
      </c>
      <c r="AB99" s="154" t="s">
        <v>17</v>
      </c>
      <c r="AC99" s="139" t="s">
        <v>3508</v>
      </c>
      <c r="AD99" s="150" t="s">
        <v>19</v>
      </c>
      <c r="AE99" s="138" t="s">
        <v>341</v>
      </c>
      <c r="AF99" s="100" t="s">
        <v>660</v>
      </c>
    </row>
    <row r="100" spans="1:32" ht="71.25" x14ac:dyDescent="0.3">
      <c r="A100" s="150">
        <v>788115</v>
      </c>
      <c r="B100" s="100" t="s">
        <v>31</v>
      </c>
      <c r="C100" s="151" t="s">
        <v>3509</v>
      </c>
      <c r="D100" s="100" t="s">
        <v>36</v>
      </c>
      <c r="E100" s="150" t="s">
        <v>3510</v>
      </c>
      <c r="F100" s="152" t="s">
        <v>3511</v>
      </c>
      <c r="G100" s="16" t="s">
        <v>39</v>
      </c>
      <c r="H100" s="138" t="s">
        <v>3512</v>
      </c>
      <c r="I100" s="100" t="s">
        <v>3513</v>
      </c>
      <c r="J100" s="153" t="s">
        <v>34</v>
      </c>
      <c r="K100" s="152" t="s">
        <v>3427</v>
      </c>
      <c r="L100" s="152" t="s">
        <v>3438</v>
      </c>
      <c r="M100" s="104" t="s">
        <v>17</v>
      </c>
      <c r="N100" s="152" t="s">
        <v>3514</v>
      </c>
      <c r="O100" s="150" t="s">
        <v>3515</v>
      </c>
      <c r="P100" s="100" t="s">
        <v>17</v>
      </c>
      <c r="Q100" s="133" t="s">
        <v>17</v>
      </c>
      <c r="R100" s="154" t="s">
        <v>17</v>
      </c>
      <c r="S100" s="133" t="s">
        <v>17</v>
      </c>
      <c r="T100" s="150" t="s">
        <v>41</v>
      </c>
      <c r="U100" s="154" t="s">
        <v>17</v>
      </c>
      <c r="V100" s="154" t="s">
        <v>17</v>
      </c>
      <c r="W100" s="154" t="s">
        <v>17</v>
      </c>
      <c r="X100" s="133" t="s">
        <v>17</v>
      </c>
      <c r="Y100" s="133" t="s">
        <v>17</v>
      </c>
      <c r="Z100" s="133" t="s">
        <v>17</v>
      </c>
      <c r="AA100" s="133" t="s">
        <v>17</v>
      </c>
      <c r="AB100" s="154" t="s">
        <v>17</v>
      </c>
      <c r="AC100" s="155" t="s">
        <v>3516</v>
      </c>
      <c r="AD100" s="150" t="s">
        <v>19</v>
      </c>
      <c r="AE100" s="138" t="s">
        <v>17</v>
      </c>
      <c r="AF100" s="100" t="s">
        <v>3517</v>
      </c>
    </row>
    <row r="101" spans="1:32" ht="57" x14ac:dyDescent="0.3">
      <c r="A101" s="7">
        <v>413772</v>
      </c>
      <c r="B101" s="7" t="s">
        <v>31</v>
      </c>
      <c r="C101" s="7" t="s">
        <v>3518</v>
      </c>
      <c r="D101" s="156" t="s">
        <v>36</v>
      </c>
      <c r="E101" s="62" t="s">
        <v>3519</v>
      </c>
      <c r="F101" s="156" t="s">
        <v>3229</v>
      </c>
      <c r="G101" s="16" t="s">
        <v>39</v>
      </c>
      <c r="H101" s="7" t="s">
        <v>3520</v>
      </c>
      <c r="I101" s="6" t="s">
        <v>3521</v>
      </c>
      <c r="J101" s="7" t="s">
        <v>34</v>
      </c>
      <c r="K101" s="157" t="s">
        <v>327</v>
      </c>
      <c r="L101" s="7" t="s">
        <v>1930</v>
      </c>
      <c r="M101" s="6" t="s">
        <v>17</v>
      </c>
      <c r="N101" s="36" t="s">
        <v>3522</v>
      </c>
      <c r="O101" s="6" t="s">
        <v>3523</v>
      </c>
      <c r="P101" s="158" t="s">
        <v>65</v>
      </c>
      <c r="Q101" s="158" t="s">
        <v>65</v>
      </c>
      <c r="R101" s="6" t="s">
        <v>108</v>
      </c>
      <c r="S101" s="6" t="s">
        <v>3524</v>
      </c>
      <c r="T101" s="6" t="s">
        <v>85</v>
      </c>
      <c r="U101" s="6" t="s">
        <v>17</v>
      </c>
      <c r="V101" s="6" t="s">
        <v>17</v>
      </c>
      <c r="W101" s="6" t="s">
        <v>17</v>
      </c>
      <c r="X101" s="6" t="s">
        <v>17</v>
      </c>
      <c r="Y101" s="6" t="s">
        <v>17</v>
      </c>
      <c r="Z101" s="6" t="s">
        <v>17</v>
      </c>
      <c r="AA101" s="6" t="s">
        <v>17</v>
      </c>
      <c r="AB101" s="6" t="s">
        <v>17</v>
      </c>
      <c r="AC101" s="7" t="s">
        <v>3525</v>
      </c>
      <c r="AD101" s="10" t="s">
        <v>82</v>
      </c>
      <c r="AE101" s="10"/>
      <c r="AF101" s="7" t="s">
        <v>2829</v>
      </c>
    </row>
    <row r="102" spans="1:32" ht="37.5" customHeight="1" x14ac:dyDescent="0.3">
      <c r="A102" s="159">
        <v>680724</v>
      </c>
      <c r="B102" s="159" t="s">
        <v>31</v>
      </c>
      <c r="C102" s="159" t="s">
        <v>3081</v>
      </c>
      <c r="D102" s="159" t="s">
        <v>36</v>
      </c>
      <c r="E102" s="160" t="s">
        <v>3082</v>
      </c>
      <c r="F102" s="159" t="s">
        <v>3083</v>
      </c>
      <c r="G102" s="16" t="s">
        <v>39</v>
      </c>
      <c r="H102" s="159" t="s">
        <v>3084</v>
      </c>
      <c r="I102" s="159" t="s">
        <v>3085</v>
      </c>
      <c r="J102" s="161" t="s">
        <v>34</v>
      </c>
      <c r="K102" s="161" t="s">
        <v>298</v>
      </c>
      <c r="L102" s="159" t="s">
        <v>3086</v>
      </c>
      <c r="M102" s="161" t="s">
        <v>17</v>
      </c>
      <c r="N102" s="162" t="s">
        <v>3087</v>
      </c>
      <c r="O102" s="161" t="s">
        <v>17</v>
      </c>
      <c r="P102" s="163" t="s">
        <v>17</v>
      </c>
      <c r="Q102" s="161" t="s">
        <v>17</v>
      </c>
      <c r="R102" s="164" t="s">
        <v>17</v>
      </c>
      <c r="S102" s="164" t="s">
        <v>17</v>
      </c>
      <c r="T102" s="164" t="s">
        <v>17</v>
      </c>
      <c r="U102" s="164" t="s">
        <v>17</v>
      </c>
      <c r="V102" s="164" t="s">
        <v>17</v>
      </c>
      <c r="W102" s="164" t="s">
        <v>17</v>
      </c>
      <c r="X102" s="164" t="s">
        <v>17</v>
      </c>
      <c r="Y102" s="164" t="s">
        <v>17</v>
      </c>
      <c r="Z102" s="165" t="s">
        <v>17</v>
      </c>
      <c r="AA102" s="165" t="s">
        <v>17</v>
      </c>
      <c r="AB102" s="166" t="s">
        <v>87</v>
      </c>
      <c r="AC102" s="159" t="s">
        <v>3526</v>
      </c>
      <c r="AD102" s="167" t="s">
        <v>82</v>
      </c>
      <c r="AE102" s="167"/>
      <c r="AF102" s="168" t="s">
        <v>787</v>
      </c>
    </row>
    <row r="103" spans="1:32" s="183" customFormat="1" ht="81.75" customHeight="1" x14ac:dyDescent="0.3">
      <c r="A103" s="169">
        <v>792914</v>
      </c>
      <c r="B103" s="138" t="s">
        <v>31</v>
      </c>
      <c r="C103" s="170" t="s">
        <v>3527</v>
      </c>
      <c r="D103" s="138" t="s">
        <v>36</v>
      </c>
      <c r="E103" s="171">
        <v>45294</v>
      </c>
      <c r="F103" s="138" t="s">
        <v>3528</v>
      </c>
      <c r="G103" s="9" t="s">
        <v>33</v>
      </c>
      <c r="H103" s="100" t="s">
        <v>3529</v>
      </c>
      <c r="I103" s="147" t="s">
        <v>3530</v>
      </c>
      <c r="J103" s="172" t="s">
        <v>71</v>
      </c>
      <c r="K103" s="172" t="s">
        <v>781</v>
      </c>
      <c r="L103" s="173" t="s">
        <v>2798</v>
      </c>
      <c r="M103" s="174" t="s">
        <v>17</v>
      </c>
      <c r="N103" s="175" t="s">
        <v>3531</v>
      </c>
      <c r="O103" s="174" t="s">
        <v>3532</v>
      </c>
      <c r="P103" s="176" t="s">
        <v>17</v>
      </c>
      <c r="Q103" s="177" t="s">
        <v>17</v>
      </c>
      <c r="R103" s="178" t="s">
        <v>98</v>
      </c>
      <c r="S103" s="179" t="s">
        <v>3533</v>
      </c>
      <c r="T103" s="178" t="s">
        <v>38</v>
      </c>
      <c r="U103" s="179" t="s">
        <v>17</v>
      </c>
      <c r="V103" s="179" t="s">
        <v>17</v>
      </c>
      <c r="W103" s="179" t="s">
        <v>17</v>
      </c>
      <c r="X103" s="179" t="s">
        <v>17</v>
      </c>
      <c r="Y103" s="179" t="s">
        <v>17</v>
      </c>
      <c r="Z103" s="180" t="s">
        <v>17</v>
      </c>
      <c r="AA103" s="181" t="s">
        <v>17</v>
      </c>
      <c r="AB103" s="166" t="s">
        <v>87</v>
      </c>
      <c r="AC103" s="182" t="s">
        <v>3534</v>
      </c>
      <c r="AD103" s="172" t="s">
        <v>19</v>
      </c>
      <c r="AE103" s="172" t="s">
        <v>341</v>
      </c>
      <c r="AF103" s="7" t="s">
        <v>660</v>
      </c>
    </row>
    <row r="104" spans="1:32" ht="41.25" customHeight="1" x14ac:dyDescent="0.3">
      <c r="A104" s="7">
        <v>792838</v>
      </c>
      <c r="B104" s="7" t="s">
        <v>31</v>
      </c>
      <c r="C104" s="7" t="s">
        <v>3535</v>
      </c>
      <c r="D104" s="156" t="s">
        <v>36</v>
      </c>
      <c r="E104" s="7" t="s">
        <v>3536</v>
      </c>
      <c r="F104" s="156" t="s">
        <v>3175</v>
      </c>
      <c r="G104" s="9" t="s">
        <v>33</v>
      </c>
      <c r="H104" s="74" t="s">
        <v>3537</v>
      </c>
      <c r="I104" s="74" t="s">
        <v>3538</v>
      </c>
      <c r="J104" s="74" t="s">
        <v>34</v>
      </c>
      <c r="K104" s="184" t="s">
        <v>327</v>
      </c>
      <c r="L104" s="74" t="s">
        <v>3539</v>
      </c>
      <c r="M104" s="185" t="s">
        <v>17</v>
      </c>
      <c r="N104" s="74" t="s">
        <v>3540</v>
      </c>
      <c r="O104" s="185" t="s">
        <v>17</v>
      </c>
      <c r="P104" s="186" t="s">
        <v>65</v>
      </c>
      <c r="Q104" s="186" t="s">
        <v>65</v>
      </c>
      <c r="R104" s="185" t="s">
        <v>109</v>
      </c>
      <c r="S104" s="185" t="s">
        <v>3541</v>
      </c>
      <c r="T104" s="185" t="s">
        <v>68</v>
      </c>
      <c r="U104" s="185" t="s">
        <v>17</v>
      </c>
      <c r="V104" s="185" t="s">
        <v>17</v>
      </c>
      <c r="W104" s="185" t="s">
        <v>17</v>
      </c>
      <c r="X104" s="185" t="s">
        <v>17</v>
      </c>
      <c r="Y104" s="185" t="s">
        <v>17</v>
      </c>
      <c r="Z104" s="185" t="s">
        <v>17</v>
      </c>
      <c r="AA104" s="185" t="s">
        <v>17</v>
      </c>
      <c r="AB104" s="185" t="s">
        <v>17</v>
      </c>
      <c r="AC104" s="74" t="s">
        <v>3542</v>
      </c>
      <c r="AD104" s="187" t="s">
        <v>82</v>
      </c>
      <c r="AE104" s="187" t="s">
        <v>341</v>
      </c>
      <c r="AF104" s="74" t="s">
        <v>996</v>
      </c>
    </row>
    <row r="105" spans="1:32" ht="27" customHeight="1" x14ac:dyDescent="0.3">
      <c r="A105" s="188">
        <v>799047</v>
      </c>
      <c r="B105" s="188" t="s">
        <v>31</v>
      </c>
      <c r="C105" s="188" t="s">
        <v>3543</v>
      </c>
      <c r="D105" s="188" t="s">
        <v>36</v>
      </c>
      <c r="E105" s="189">
        <v>45418</v>
      </c>
      <c r="F105" s="188" t="s">
        <v>3092</v>
      </c>
      <c r="G105" s="16" t="s">
        <v>39</v>
      </c>
      <c r="H105" s="188" t="s">
        <v>3544</v>
      </c>
      <c r="I105" s="188" t="s">
        <v>3545</v>
      </c>
      <c r="J105" s="177" t="s">
        <v>34</v>
      </c>
      <c r="K105" s="177" t="s">
        <v>298</v>
      </c>
      <c r="L105" s="188" t="s">
        <v>3546</v>
      </c>
      <c r="M105" s="177" t="s">
        <v>17</v>
      </c>
      <c r="N105" s="190" t="s">
        <v>3547</v>
      </c>
      <c r="O105" s="177" t="s">
        <v>17</v>
      </c>
      <c r="P105" s="176" t="s">
        <v>17</v>
      </c>
      <c r="Q105" s="177" t="s">
        <v>17</v>
      </c>
      <c r="R105" s="179" t="s">
        <v>17</v>
      </c>
      <c r="S105" s="179" t="s">
        <v>17</v>
      </c>
      <c r="T105" s="179" t="s">
        <v>68</v>
      </c>
      <c r="U105" s="179" t="s">
        <v>17</v>
      </c>
      <c r="V105" s="179" t="s">
        <v>17</v>
      </c>
      <c r="W105" s="179" t="s">
        <v>17</v>
      </c>
      <c r="X105" s="179" t="s">
        <v>17</v>
      </c>
      <c r="Y105" s="179" t="s">
        <v>17</v>
      </c>
      <c r="Z105" s="180" t="s">
        <v>17</v>
      </c>
      <c r="AA105" s="180" t="s">
        <v>17</v>
      </c>
      <c r="AB105" s="191" t="s">
        <v>87</v>
      </c>
      <c r="AC105" s="188" t="s">
        <v>3548</v>
      </c>
      <c r="AD105" s="192">
        <v>2</v>
      </c>
      <c r="AE105" s="192" t="s">
        <v>3690</v>
      </c>
      <c r="AF105" s="74" t="s">
        <v>3549</v>
      </c>
    </row>
    <row r="106" spans="1:32" ht="26.25" customHeight="1" x14ac:dyDescent="0.3">
      <c r="A106" s="188">
        <v>770042</v>
      </c>
      <c r="B106" s="188" t="s">
        <v>31</v>
      </c>
      <c r="C106" s="188" t="s">
        <v>3550</v>
      </c>
      <c r="D106" s="188" t="s">
        <v>36</v>
      </c>
      <c r="E106" s="189" t="s">
        <v>3434</v>
      </c>
      <c r="F106" s="188" t="s">
        <v>3551</v>
      </c>
      <c r="G106" s="16" t="s">
        <v>39</v>
      </c>
      <c r="H106" s="188" t="s">
        <v>3436</v>
      </c>
      <c r="I106" s="188" t="s">
        <v>3552</v>
      </c>
      <c r="J106" s="177" t="s">
        <v>34</v>
      </c>
      <c r="K106" s="177" t="s">
        <v>298</v>
      </c>
      <c r="L106" s="188" t="s">
        <v>3553</v>
      </c>
      <c r="M106" s="177" t="s">
        <v>17</v>
      </c>
      <c r="N106" s="188" t="s">
        <v>3553</v>
      </c>
      <c r="O106" s="177" t="s">
        <v>17</v>
      </c>
      <c r="P106" s="176" t="s">
        <v>17</v>
      </c>
      <c r="Q106" s="177" t="s">
        <v>17</v>
      </c>
      <c r="R106" s="179" t="s">
        <v>73</v>
      </c>
      <c r="S106" s="179" t="s">
        <v>17</v>
      </c>
      <c r="T106" s="179" t="s">
        <v>252</v>
      </c>
      <c r="U106" s="179" t="s">
        <v>17</v>
      </c>
      <c r="V106" s="179" t="s">
        <v>17</v>
      </c>
      <c r="W106" s="179" t="s">
        <v>17</v>
      </c>
      <c r="X106" s="179" t="s">
        <v>17</v>
      </c>
      <c r="Y106" s="179" t="s">
        <v>17</v>
      </c>
      <c r="Z106" s="180" t="s">
        <v>17</v>
      </c>
      <c r="AA106" s="180" t="s">
        <v>17</v>
      </c>
      <c r="AB106" s="191" t="s">
        <v>87</v>
      </c>
      <c r="AC106" s="188" t="s">
        <v>3554</v>
      </c>
      <c r="AD106" s="192" t="s">
        <v>22</v>
      </c>
      <c r="AE106" s="193" t="s">
        <v>341</v>
      </c>
      <c r="AF106" s="104" t="s">
        <v>3555</v>
      </c>
    </row>
    <row r="107" spans="1:32" ht="91.5" customHeight="1" x14ac:dyDescent="0.3">
      <c r="A107" s="159">
        <v>804413</v>
      </c>
      <c r="B107" s="159" t="s">
        <v>31</v>
      </c>
      <c r="C107" s="159" t="s">
        <v>3556</v>
      </c>
      <c r="D107" s="159" t="s">
        <v>36</v>
      </c>
      <c r="E107" s="160" t="s">
        <v>3557</v>
      </c>
      <c r="F107" s="159" t="s">
        <v>3273</v>
      </c>
      <c r="G107" s="16" t="s">
        <v>39</v>
      </c>
      <c r="H107" s="159" t="s">
        <v>3558</v>
      </c>
      <c r="I107" s="159" t="s">
        <v>3559</v>
      </c>
      <c r="J107" s="161" t="s">
        <v>34</v>
      </c>
      <c r="K107" s="161" t="s">
        <v>298</v>
      </c>
      <c r="L107" s="159" t="s">
        <v>3560</v>
      </c>
      <c r="M107" s="161" t="s">
        <v>17</v>
      </c>
      <c r="N107" s="159" t="s">
        <v>3560</v>
      </c>
      <c r="O107" s="161" t="s">
        <v>17</v>
      </c>
      <c r="P107" s="163" t="s">
        <v>17</v>
      </c>
      <c r="Q107" s="161" t="s">
        <v>17</v>
      </c>
      <c r="R107" s="164" t="s">
        <v>73</v>
      </c>
      <c r="S107" s="164" t="s">
        <v>17</v>
      </c>
      <c r="T107" s="164" t="s">
        <v>41</v>
      </c>
      <c r="U107" s="164" t="s">
        <v>17</v>
      </c>
      <c r="V107" s="164" t="s">
        <v>17</v>
      </c>
      <c r="W107" s="164" t="s">
        <v>17</v>
      </c>
      <c r="X107" s="164" t="s">
        <v>17</v>
      </c>
      <c r="Y107" s="164" t="s">
        <v>17</v>
      </c>
      <c r="Z107" s="165" t="s">
        <v>17</v>
      </c>
      <c r="AA107" s="165" t="s">
        <v>17</v>
      </c>
      <c r="AB107" s="166" t="s">
        <v>87</v>
      </c>
      <c r="AC107" s="159" t="s">
        <v>3561</v>
      </c>
      <c r="AD107" s="167" t="s">
        <v>19</v>
      </c>
      <c r="AE107" s="194" t="s">
        <v>341</v>
      </c>
      <c r="AF107" s="106" t="s">
        <v>3562</v>
      </c>
    </row>
    <row r="108" spans="1:32" s="107" customFormat="1" ht="71.25" x14ac:dyDescent="0.3">
      <c r="A108" s="188" t="s">
        <v>110</v>
      </c>
      <c r="B108" s="188" t="s">
        <v>31</v>
      </c>
      <c r="C108" s="188" t="s">
        <v>3563</v>
      </c>
      <c r="D108" s="188" t="s">
        <v>36</v>
      </c>
      <c r="E108" s="189">
        <v>45400</v>
      </c>
      <c r="F108" s="188" t="s">
        <v>3299</v>
      </c>
      <c r="G108" s="9" t="s">
        <v>39</v>
      </c>
      <c r="H108" s="188" t="s">
        <v>3564</v>
      </c>
      <c r="I108" s="195" t="s">
        <v>3565</v>
      </c>
      <c r="J108" s="177" t="s">
        <v>34</v>
      </c>
      <c r="K108" s="177" t="s">
        <v>298</v>
      </c>
      <c r="L108" s="159" t="s">
        <v>3566</v>
      </c>
      <c r="M108" s="177" t="s">
        <v>17</v>
      </c>
      <c r="N108" s="196" t="s">
        <v>3481</v>
      </c>
      <c r="O108" s="177" t="s">
        <v>17</v>
      </c>
      <c r="P108" s="176" t="s">
        <v>17</v>
      </c>
      <c r="Q108" s="177" t="s">
        <v>17</v>
      </c>
      <c r="R108" s="179" t="s">
        <v>17</v>
      </c>
      <c r="S108" s="179" t="s">
        <v>17</v>
      </c>
      <c r="T108" s="179" t="s">
        <v>41</v>
      </c>
      <c r="U108" s="179" t="s">
        <v>17</v>
      </c>
      <c r="V108" s="179" t="s">
        <v>17</v>
      </c>
      <c r="W108" s="179" t="s">
        <v>17</v>
      </c>
      <c r="X108" s="179" t="s">
        <v>17</v>
      </c>
      <c r="Y108" s="179" t="s">
        <v>17</v>
      </c>
      <c r="Z108" s="180" t="s">
        <v>17</v>
      </c>
      <c r="AA108" s="180" t="s">
        <v>17</v>
      </c>
      <c r="AB108" s="191" t="s">
        <v>87</v>
      </c>
      <c r="AC108" s="197" t="s">
        <v>3567</v>
      </c>
      <c r="AD108" s="192" t="s">
        <v>19</v>
      </c>
      <c r="AE108" s="192" t="s">
        <v>341</v>
      </c>
      <c r="AF108" s="104" t="s">
        <v>3562</v>
      </c>
    </row>
    <row r="109" spans="1:32" ht="114" x14ac:dyDescent="0.3">
      <c r="A109" s="188">
        <v>355790</v>
      </c>
      <c r="B109" s="188" t="s">
        <v>31</v>
      </c>
      <c r="C109" s="188" t="s">
        <v>3568</v>
      </c>
      <c r="D109" s="188" t="s">
        <v>36</v>
      </c>
      <c r="E109" s="189">
        <v>40715</v>
      </c>
      <c r="F109" s="188" t="s">
        <v>3569</v>
      </c>
      <c r="G109" s="9" t="s">
        <v>39</v>
      </c>
      <c r="H109" s="188" t="s">
        <v>3570</v>
      </c>
      <c r="I109" s="195" t="s">
        <v>3571</v>
      </c>
      <c r="J109" s="177" t="s">
        <v>34</v>
      </c>
      <c r="K109" s="177" t="s">
        <v>298</v>
      </c>
      <c r="L109" s="159" t="s">
        <v>3572</v>
      </c>
      <c r="M109" s="177" t="s">
        <v>17</v>
      </c>
      <c r="N109" s="159" t="s">
        <v>3573</v>
      </c>
      <c r="O109" s="177" t="s">
        <v>17</v>
      </c>
      <c r="P109" s="176" t="s">
        <v>17</v>
      </c>
      <c r="Q109" s="177" t="s">
        <v>17</v>
      </c>
      <c r="R109" s="179" t="s">
        <v>17</v>
      </c>
      <c r="S109" s="179" t="s">
        <v>17</v>
      </c>
      <c r="T109" s="179" t="s">
        <v>60</v>
      </c>
      <c r="U109" s="179" t="s">
        <v>17</v>
      </c>
      <c r="V109" s="179" t="s">
        <v>17</v>
      </c>
      <c r="W109" s="179" t="s">
        <v>17</v>
      </c>
      <c r="X109" s="179" t="s">
        <v>17</v>
      </c>
      <c r="Y109" s="179" t="s">
        <v>17</v>
      </c>
      <c r="Z109" s="180">
        <v>40942</v>
      </c>
      <c r="AA109" s="180" t="s">
        <v>17</v>
      </c>
      <c r="AB109" s="198"/>
      <c r="AC109" s="197" t="s">
        <v>3574</v>
      </c>
      <c r="AD109" s="192" t="s">
        <v>101</v>
      </c>
      <c r="AE109" s="192" t="s">
        <v>341</v>
      </c>
      <c r="AF109" s="104" t="s">
        <v>2735</v>
      </c>
    </row>
    <row r="110" spans="1:32" ht="71.25" x14ac:dyDescent="0.3">
      <c r="A110" s="199">
        <v>303777</v>
      </c>
      <c r="B110" s="113" t="s">
        <v>31</v>
      </c>
      <c r="C110" s="200" t="s">
        <v>3575</v>
      </c>
      <c r="D110" s="113" t="s">
        <v>36</v>
      </c>
      <c r="E110" s="113" t="s">
        <v>3576</v>
      </c>
      <c r="F110" s="113" t="s">
        <v>3577</v>
      </c>
      <c r="G110" s="16" t="s">
        <v>52</v>
      </c>
      <c r="H110" s="113" t="s">
        <v>3578</v>
      </c>
      <c r="I110" s="113" t="s">
        <v>3579</v>
      </c>
      <c r="J110" s="113" t="s">
        <v>34</v>
      </c>
      <c r="K110" s="113" t="s">
        <v>3427</v>
      </c>
      <c r="L110" s="201" t="s">
        <v>1727</v>
      </c>
      <c r="M110" s="113" t="s">
        <v>17</v>
      </c>
      <c r="N110" s="116" t="s">
        <v>3580</v>
      </c>
      <c r="O110" s="113" t="s">
        <v>3581</v>
      </c>
      <c r="P110" s="113" t="s">
        <v>17</v>
      </c>
      <c r="Q110" s="113" t="s">
        <v>17</v>
      </c>
      <c r="R110" s="113" t="s">
        <v>1727</v>
      </c>
      <c r="S110" s="113" t="s">
        <v>89</v>
      </c>
      <c r="T110" s="113" t="s">
        <v>3691</v>
      </c>
      <c r="U110" s="113" t="s">
        <v>89</v>
      </c>
      <c r="V110" s="113" t="s">
        <v>17</v>
      </c>
      <c r="W110" s="113" t="s">
        <v>17</v>
      </c>
      <c r="X110" s="113" t="s">
        <v>17</v>
      </c>
      <c r="Y110" s="113" t="s">
        <v>17</v>
      </c>
      <c r="Z110" s="113" t="s">
        <v>89</v>
      </c>
      <c r="AA110" s="113" t="s">
        <v>89</v>
      </c>
      <c r="AB110" s="113" t="s">
        <v>89</v>
      </c>
      <c r="AC110" s="113" t="s">
        <v>3582</v>
      </c>
      <c r="AD110" s="113" t="s">
        <v>3692</v>
      </c>
      <c r="AE110" s="113" t="s">
        <v>341</v>
      </c>
      <c r="AF110" s="113" t="s">
        <v>3583</v>
      </c>
    </row>
    <row r="111" spans="1:32" ht="71.25" x14ac:dyDescent="0.3">
      <c r="A111" s="117" t="s">
        <v>111</v>
      </c>
      <c r="B111" s="117" t="s">
        <v>31</v>
      </c>
      <c r="C111" s="117" t="s">
        <v>3584</v>
      </c>
      <c r="D111" s="117" t="s">
        <v>36</v>
      </c>
      <c r="E111" s="117" t="s">
        <v>3585</v>
      </c>
      <c r="F111" s="117" t="s">
        <v>3586</v>
      </c>
      <c r="G111" s="16" t="s">
        <v>52</v>
      </c>
      <c r="H111" s="119" t="s">
        <v>3587</v>
      </c>
      <c r="I111" s="113" t="s">
        <v>3588</v>
      </c>
      <c r="J111" s="113" t="s">
        <v>34</v>
      </c>
      <c r="K111" s="113" t="s">
        <v>3427</v>
      </c>
      <c r="L111" s="201" t="s">
        <v>1727</v>
      </c>
      <c r="M111" s="113" t="s">
        <v>17</v>
      </c>
      <c r="N111" s="116" t="s">
        <v>3589</v>
      </c>
      <c r="O111" s="113" t="s">
        <v>3590</v>
      </c>
      <c r="P111" s="113" t="s">
        <v>17</v>
      </c>
      <c r="Q111" s="113" t="s">
        <v>17</v>
      </c>
      <c r="R111" s="113" t="s">
        <v>1727</v>
      </c>
      <c r="S111" s="113" t="s">
        <v>3591</v>
      </c>
      <c r="T111" s="113" t="s">
        <v>46</v>
      </c>
      <c r="U111" s="113" t="s">
        <v>89</v>
      </c>
      <c r="V111" s="113" t="s">
        <v>17</v>
      </c>
      <c r="W111" s="113" t="s">
        <v>17</v>
      </c>
      <c r="X111" s="113" t="s">
        <v>17</v>
      </c>
      <c r="Y111" s="113" t="s">
        <v>17</v>
      </c>
      <c r="Z111" s="113" t="s">
        <v>17</v>
      </c>
      <c r="AA111" s="113" t="s">
        <v>17</v>
      </c>
      <c r="AB111" s="113" t="s">
        <v>17</v>
      </c>
      <c r="AC111" s="113" t="s">
        <v>3592</v>
      </c>
      <c r="AD111" s="113" t="s">
        <v>24</v>
      </c>
      <c r="AE111" s="113" t="s">
        <v>341</v>
      </c>
      <c r="AF111" s="113" t="s">
        <v>3593</v>
      </c>
    </row>
    <row r="112" spans="1:32" ht="128.25" x14ac:dyDescent="0.3">
      <c r="A112" s="199">
        <v>815956</v>
      </c>
      <c r="B112" s="117" t="s">
        <v>31</v>
      </c>
      <c r="C112" s="117" t="s">
        <v>3594</v>
      </c>
      <c r="D112" s="117" t="s">
        <v>36</v>
      </c>
      <c r="E112" s="117" t="s">
        <v>3595</v>
      </c>
      <c r="F112" s="202" t="s">
        <v>3596</v>
      </c>
      <c r="G112" s="100" t="s">
        <v>33</v>
      </c>
      <c r="H112" s="182" t="s">
        <v>3597</v>
      </c>
      <c r="I112" s="113" t="s">
        <v>3598</v>
      </c>
      <c r="J112" s="203" t="s">
        <v>34</v>
      </c>
      <c r="K112" s="203" t="s">
        <v>3427</v>
      </c>
      <c r="L112" s="204" t="s">
        <v>1727</v>
      </c>
      <c r="M112" s="203" t="s">
        <v>17</v>
      </c>
      <c r="N112" s="205" t="s">
        <v>3599</v>
      </c>
      <c r="O112" s="203" t="s">
        <v>17</v>
      </c>
      <c r="P112" s="203" t="s">
        <v>17</v>
      </c>
      <c r="Q112" s="203" t="s">
        <v>17</v>
      </c>
      <c r="R112" s="203" t="s">
        <v>1727</v>
      </c>
      <c r="S112" s="117" t="s">
        <v>3600</v>
      </c>
      <c r="T112" s="117" t="s">
        <v>112</v>
      </c>
      <c r="U112" s="117" t="s">
        <v>17</v>
      </c>
      <c r="V112" s="117" t="s">
        <v>17</v>
      </c>
      <c r="W112" s="117" t="s">
        <v>17</v>
      </c>
      <c r="X112" s="117" t="s">
        <v>17</v>
      </c>
      <c r="Y112" s="117" t="s">
        <v>17</v>
      </c>
      <c r="Z112" s="117" t="s">
        <v>17</v>
      </c>
      <c r="AA112" s="117" t="s">
        <v>17</v>
      </c>
      <c r="AB112" s="117" t="s">
        <v>17</v>
      </c>
      <c r="AC112" s="117" t="s">
        <v>3601</v>
      </c>
      <c r="AD112" s="117" t="s">
        <v>24</v>
      </c>
      <c r="AE112" s="117" t="s">
        <v>341</v>
      </c>
      <c r="AF112" s="117" t="s">
        <v>660</v>
      </c>
    </row>
    <row r="113" spans="1:36" x14ac:dyDescent="0.3">
      <c r="A113" s="188">
        <v>815997</v>
      </c>
      <c r="B113" s="188" t="s">
        <v>31</v>
      </c>
      <c r="C113" s="188" t="s">
        <v>3602</v>
      </c>
      <c r="D113" s="188" t="s">
        <v>36</v>
      </c>
      <c r="E113" s="189" t="s">
        <v>3603</v>
      </c>
      <c r="F113" s="188" t="s">
        <v>3604</v>
      </c>
      <c r="G113" s="9" t="s">
        <v>39</v>
      </c>
      <c r="H113" s="188" t="s">
        <v>3605</v>
      </c>
      <c r="I113" s="195" t="s">
        <v>3606</v>
      </c>
      <c r="J113" s="177" t="s">
        <v>34</v>
      </c>
      <c r="K113" s="177" t="s">
        <v>298</v>
      </c>
      <c r="L113" s="159" t="s">
        <v>3607</v>
      </c>
      <c r="M113" s="177" t="s">
        <v>17</v>
      </c>
      <c r="N113" s="196" t="s">
        <v>3608</v>
      </c>
      <c r="O113" s="177" t="s">
        <v>17</v>
      </c>
      <c r="P113" s="176" t="s">
        <v>17</v>
      </c>
      <c r="Q113" s="177" t="s">
        <v>17</v>
      </c>
      <c r="R113" s="179" t="s">
        <v>17</v>
      </c>
      <c r="S113" s="179" t="s">
        <v>17</v>
      </c>
      <c r="T113" s="179" t="s">
        <v>43</v>
      </c>
      <c r="U113" s="179" t="s">
        <v>17</v>
      </c>
      <c r="V113" s="179" t="s">
        <v>17</v>
      </c>
      <c r="W113" s="179" t="s">
        <v>17</v>
      </c>
      <c r="X113" s="179" t="s">
        <v>17</v>
      </c>
      <c r="Y113" s="179" t="s">
        <v>17</v>
      </c>
      <c r="Z113" s="180" t="s">
        <v>17</v>
      </c>
      <c r="AA113" s="180" t="s">
        <v>17</v>
      </c>
      <c r="AB113" s="191" t="s">
        <v>87</v>
      </c>
      <c r="AC113" s="197" t="s">
        <v>3609</v>
      </c>
      <c r="AD113" s="192" t="s">
        <v>19</v>
      </c>
      <c r="AE113" s="192" t="s">
        <v>17</v>
      </c>
      <c r="AF113" s="104" t="s">
        <v>3562</v>
      </c>
    </row>
    <row r="114" spans="1:36" ht="71.25" x14ac:dyDescent="0.3">
      <c r="A114" s="206">
        <v>816895</v>
      </c>
      <c r="B114" s="192" t="s">
        <v>31</v>
      </c>
      <c r="C114" s="192" t="s">
        <v>3610</v>
      </c>
      <c r="D114" s="192" t="s">
        <v>36</v>
      </c>
      <c r="E114" s="192" t="s">
        <v>3611</v>
      </c>
      <c r="F114" s="192" t="s">
        <v>3612</v>
      </c>
      <c r="G114" s="192" t="s">
        <v>39</v>
      </c>
      <c r="H114" s="192" t="s">
        <v>3597</v>
      </c>
      <c r="I114" s="192" t="s">
        <v>3588</v>
      </c>
      <c r="J114" s="192" t="s">
        <v>34</v>
      </c>
      <c r="K114" s="192" t="s">
        <v>3427</v>
      </c>
      <c r="L114" s="192" t="s">
        <v>1727</v>
      </c>
      <c r="M114" s="192" t="s">
        <v>17</v>
      </c>
      <c r="N114" s="192" t="s">
        <v>3613</v>
      </c>
      <c r="O114" s="192" t="s">
        <v>17</v>
      </c>
      <c r="P114" s="192" t="s">
        <v>17</v>
      </c>
      <c r="Q114" s="192" t="s">
        <v>17</v>
      </c>
      <c r="R114" s="192" t="s">
        <v>1727</v>
      </c>
      <c r="S114" s="167" t="s">
        <v>3614</v>
      </c>
      <c r="T114" s="192" t="s">
        <v>3693</v>
      </c>
      <c r="U114" s="192" t="s">
        <v>89</v>
      </c>
      <c r="V114" s="192" t="s">
        <v>17</v>
      </c>
      <c r="W114" s="192" t="s">
        <v>17</v>
      </c>
      <c r="X114" s="192" t="s">
        <v>17</v>
      </c>
      <c r="Y114" s="192" t="s">
        <v>17</v>
      </c>
      <c r="Z114" s="192" t="s">
        <v>17</v>
      </c>
      <c r="AA114" s="192" t="s">
        <v>17</v>
      </c>
      <c r="AB114" s="192" t="s">
        <v>17</v>
      </c>
      <c r="AC114" s="192" t="s">
        <v>3615</v>
      </c>
      <c r="AD114" s="192" t="s">
        <v>24</v>
      </c>
      <c r="AE114" s="192" t="s">
        <v>341</v>
      </c>
      <c r="AF114" s="104" t="s">
        <v>2270</v>
      </c>
    </row>
    <row r="115" spans="1:36" ht="98.25" customHeight="1" x14ac:dyDescent="0.3">
      <c r="A115" s="192" t="s">
        <v>3616</v>
      </c>
      <c r="B115" s="192" t="s">
        <v>31</v>
      </c>
      <c r="C115" s="207" t="s">
        <v>3617</v>
      </c>
      <c r="D115" s="192" t="s">
        <v>36</v>
      </c>
      <c r="E115" s="192" t="s">
        <v>3618</v>
      </c>
      <c r="F115" s="192" t="s">
        <v>3619</v>
      </c>
      <c r="G115" s="192" t="s">
        <v>3694</v>
      </c>
      <c r="H115" s="192" t="s">
        <v>3620</v>
      </c>
      <c r="I115" s="192" t="s">
        <v>3621</v>
      </c>
      <c r="J115" s="192" t="s">
        <v>34</v>
      </c>
      <c r="K115" s="192" t="s">
        <v>781</v>
      </c>
      <c r="L115" s="192" t="s">
        <v>3622</v>
      </c>
      <c r="M115" s="192" t="s">
        <v>17</v>
      </c>
      <c r="N115" s="192" t="s">
        <v>3623</v>
      </c>
      <c r="O115" s="192" t="s">
        <v>3624</v>
      </c>
      <c r="P115" s="192" t="s">
        <v>17</v>
      </c>
      <c r="Q115" s="192" t="s">
        <v>17</v>
      </c>
      <c r="R115" s="193" t="s">
        <v>17</v>
      </c>
      <c r="S115" s="150" t="s">
        <v>3625</v>
      </c>
      <c r="T115" s="208" t="s">
        <v>2465</v>
      </c>
      <c r="U115" s="192" t="s">
        <v>17</v>
      </c>
      <c r="V115" s="192" t="s">
        <v>17</v>
      </c>
      <c r="W115" s="192" t="s">
        <v>17</v>
      </c>
      <c r="X115" s="192" t="s">
        <v>17</v>
      </c>
      <c r="Y115" s="192" t="s">
        <v>17</v>
      </c>
      <c r="Z115" s="192" t="s">
        <v>17</v>
      </c>
      <c r="AA115" s="192" t="s">
        <v>17</v>
      </c>
      <c r="AB115" s="192" t="s">
        <v>17</v>
      </c>
      <c r="AC115" s="192" t="s">
        <v>3626</v>
      </c>
      <c r="AD115" s="192" t="s">
        <v>24</v>
      </c>
      <c r="AE115" s="192" t="s">
        <v>341</v>
      </c>
      <c r="AF115" s="192" t="s">
        <v>3627</v>
      </c>
    </row>
    <row r="116" spans="1:36" ht="42.75" x14ac:dyDescent="0.3">
      <c r="A116" s="209">
        <v>827064</v>
      </c>
      <c r="B116" s="192" t="s">
        <v>31</v>
      </c>
      <c r="C116" s="192" t="s">
        <v>3628</v>
      </c>
      <c r="D116" s="192" t="s">
        <v>36</v>
      </c>
      <c r="E116" s="210">
        <v>45577</v>
      </c>
      <c r="F116" s="192" t="s">
        <v>3629</v>
      </c>
      <c r="G116" s="192" t="s">
        <v>3694</v>
      </c>
      <c r="H116" s="192" t="s">
        <v>3630</v>
      </c>
      <c r="I116" s="192" t="s">
        <v>3631</v>
      </c>
      <c r="J116" s="192" t="s">
        <v>34</v>
      </c>
      <c r="K116" s="192" t="s">
        <v>781</v>
      </c>
      <c r="L116" s="192" t="s">
        <v>1727</v>
      </c>
      <c r="M116" s="192" t="s">
        <v>17</v>
      </c>
      <c r="N116" s="192" t="s">
        <v>3632</v>
      </c>
      <c r="O116" s="192" t="s">
        <v>3633</v>
      </c>
      <c r="P116" s="192" t="s">
        <v>17</v>
      </c>
      <c r="Q116" s="192" t="s">
        <v>17</v>
      </c>
      <c r="R116" s="192" t="s">
        <v>98</v>
      </c>
      <c r="S116" s="211" t="s">
        <v>3634</v>
      </c>
      <c r="T116" s="192" t="s">
        <v>55</v>
      </c>
      <c r="U116" s="192" t="s">
        <v>17</v>
      </c>
      <c r="V116" s="192" t="s">
        <v>17</v>
      </c>
      <c r="W116" s="192" t="s">
        <v>17</v>
      </c>
      <c r="X116" s="192" t="s">
        <v>17</v>
      </c>
      <c r="Y116" s="192" t="s">
        <v>17</v>
      </c>
      <c r="Z116" s="192" t="s">
        <v>17</v>
      </c>
      <c r="AA116" s="192" t="s">
        <v>17</v>
      </c>
      <c r="AB116" s="192" t="s">
        <v>17</v>
      </c>
      <c r="AC116" s="192" t="s">
        <v>3635</v>
      </c>
      <c r="AD116" s="192" t="s">
        <v>24</v>
      </c>
      <c r="AE116" s="192" t="s">
        <v>341</v>
      </c>
      <c r="AF116" s="192" t="s">
        <v>3627</v>
      </c>
    </row>
    <row r="117" spans="1:36" ht="90" customHeight="1" x14ac:dyDescent="0.3">
      <c r="A117" s="209" t="s">
        <v>115</v>
      </c>
      <c r="B117" s="192" t="s">
        <v>31</v>
      </c>
      <c r="C117" s="192" t="s">
        <v>3636</v>
      </c>
      <c r="D117" s="192" t="s">
        <v>36</v>
      </c>
      <c r="E117" s="210" t="s">
        <v>3637</v>
      </c>
      <c r="F117" s="192" t="s">
        <v>3638</v>
      </c>
      <c r="G117" s="192" t="s">
        <v>3694</v>
      </c>
      <c r="H117" s="192" t="s">
        <v>3639</v>
      </c>
      <c r="I117" s="192" t="s">
        <v>3640</v>
      </c>
      <c r="J117" s="192" t="s">
        <v>34</v>
      </c>
      <c r="K117" s="192" t="s">
        <v>781</v>
      </c>
      <c r="L117" s="192" t="s">
        <v>3641</v>
      </c>
      <c r="M117" s="192" t="s">
        <v>17</v>
      </c>
      <c r="N117" s="209" t="s">
        <v>3642</v>
      </c>
      <c r="O117" s="192" t="s">
        <v>3643</v>
      </c>
      <c r="P117" s="192" t="s">
        <v>17</v>
      </c>
      <c r="Q117" s="192" t="s">
        <v>17</v>
      </c>
      <c r="R117" s="193" t="s">
        <v>81</v>
      </c>
      <c r="S117" s="150">
        <v>1816</v>
      </c>
      <c r="T117" s="208" t="s">
        <v>3685</v>
      </c>
      <c r="U117" s="192" t="s">
        <v>17</v>
      </c>
      <c r="V117" s="192" t="s">
        <v>17</v>
      </c>
      <c r="W117" s="192" t="s">
        <v>17</v>
      </c>
      <c r="X117" s="192" t="s">
        <v>17</v>
      </c>
      <c r="Y117" s="192" t="s">
        <v>17</v>
      </c>
      <c r="Z117" s="192" t="s">
        <v>17</v>
      </c>
      <c r="AA117" s="192" t="s">
        <v>17</v>
      </c>
      <c r="AB117" s="192" t="s">
        <v>17</v>
      </c>
      <c r="AC117" s="212" t="s">
        <v>3644</v>
      </c>
      <c r="AD117" s="192" t="s">
        <v>24</v>
      </c>
      <c r="AE117" s="192" t="s">
        <v>341</v>
      </c>
      <c r="AF117" s="192" t="s">
        <v>2333</v>
      </c>
    </row>
    <row r="118" spans="1:36" ht="57" x14ac:dyDescent="0.3">
      <c r="A118" s="7">
        <v>791193</v>
      </c>
      <c r="B118" s="7" t="s">
        <v>31</v>
      </c>
      <c r="C118" s="7" t="s">
        <v>3645</v>
      </c>
      <c r="D118" s="7" t="s">
        <v>36</v>
      </c>
      <c r="E118" s="30">
        <v>43781</v>
      </c>
      <c r="F118" s="7" t="s">
        <v>3646</v>
      </c>
      <c r="G118" s="16" t="s">
        <v>39</v>
      </c>
      <c r="H118" s="7" t="s">
        <v>3647</v>
      </c>
      <c r="I118" s="7" t="s">
        <v>3648</v>
      </c>
      <c r="J118" s="46" t="s">
        <v>3649</v>
      </c>
      <c r="K118" s="7" t="s">
        <v>327</v>
      </c>
      <c r="L118" s="7" t="s">
        <v>3650</v>
      </c>
      <c r="M118" s="7" t="s">
        <v>17</v>
      </c>
      <c r="N118" s="36" t="s">
        <v>3651</v>
      </c>
      <c r="O118" s="7" t="s">
        <v>3652</v>
      </c>
      <c r="P118" s="32" t="s">
        <v>17</v>
      </c>
      <c r="Q118" s="32" t="s">
        <v>17</v>
      </c>
      <c r="R118" s="32" t="s">
        <v>17</v>
      </c>
      <c r="S118" s="213" t="s">
        <v>339</v>
      </c>
      <c r="T118" s="32" t="s">
        <v>157</v>
      </c>
      <c r="U118" s="33" t="s">
        <v>17</v>
      </c>
      <c r="V118" s="32" t="s">
        <v>17</v>
      </c>
      <c r="W118" s="37" t="s">
        <v>17</v>
      </c>
      <c r="X118" s="33" t="s">
        <v>17</v>
      </c>
      <c r="Y118" s="32" t="s">
        <v>17</v>
      </c>
      <c r="Z118" s="44" t="s">
        <v>17</v>
      </c>
      <c r="AA118" s="44" t="s">
        <v>17</v>
      </c>
      <c r="AB118" s="32" t="s">
        <v>17</v>
      </c>
      <c r="AC118" s="35" t="s">
        <v>3653</v>
      </c>
      <c r="AD118" s="32" t="s">
        <v>19</v>
      </c>
      <c r="AE118" s="10" t="s">
        <v>439</v>
      </c>
      <c r="AF118" s="46" t="s">
        <v>2333</v>
      </c>
      <c r="AG118" s="5"/>
      <c r="AH118" s="14"/>
      <c r="AI118" s="14"/>
      <c r="AJ118" s="14"/>
    </row>
    <row r="119" spans="1:36" ht="171" x14ac:dyDescent="0.3">
      <c r="A119" s="23">
        <v>729523</v>
      </c>
      <c r="B119" s="23" t="s">
        <v>31</v>
      </c>
      <c r="C119" s="23" t="s">
        <v>3405</v>
      </c>
      <c r="D119" s="23" t="s">
        <v>36</v>
      </c>
      <c r="E119" s="23" t="s">
        <v>3406</v>
      </c>
      <c r="F119" s="23" t="s">
        <v>3654</v>
      </c>
      <c r="G119" s="16" t="s">
        <v>39</v>
      </c>
      <c r="H119" s="6" t="s">
        <v>904</v>
      </c>
      <c r="I119" s="23" t="s">
        <v>3655</v>
      </c>
      <c r="J119" s="23" t="s">
        <v>116</v>
      </c>
      <c r="K119" s="23" t="s">
        <v>3656</v>
      </c>
      <c r="L119" s="214" t="s">
        <v>35</v>
      </c>
      <c r="M119" s="7" t="s">
        <v>17</v>
      </c>
      <c r="N119" s="39" t="s">
        <v>3657</v>
      </c>
      <c r="O119" s="23" t="s">
        <v>3658</v>
      </c>
      <c r="P119" s="6" t="s">
        <v>17</v>
      </c>
      <c r="Q119" s="6" t="s">
        <v>17</v>
      </c>
      <c r="R119" s="6" t="s">
        <v>35</v>
      </c>
      <c r="S119" s="35" t="s">
        <v>339</v>
      </c>
      <c r="T119" s="23" t="s">
        <v>3688</v>
      </c>
      <c r="U119" s="23" t="s">
        <v>17</v>
      </c>
      <c r="V119" s="23" t="s">
        <v>17</v>
      </c>
      <c r="W119" s="23" t="s">
        <v>17</v>
      </c>
      <c r="X119" s="23" t="s">
        <v>17</v>
      </c>
      <c r="Y119" s="23" t="s">
        <v>17</v>
      </c>
      <c r="Z119" s="32" t="s">
        <v>17</v>
      </c>
      <c r="AA119" s="32" t="s">
        <v>17</v>
      </c>
      <c r="AB119" s="32" t="s">
        <v>17</v>
      </c>
      <c r="AC119" s="23" t="s">
        <v>3659</v>
      </c>
      <c r="AD119" s="23" t="s">
        <v>19</v>
      </c>
      <c r="AE119" s="23" t="s">
        <v>439</v>
      </c>
      <c r="AF119" s="23" t="s">
        <v>2333</v>
      </c>
      <c r="AG119" s="215"/>
      <c r="AH119" s="14"/>
      <c r="AI119" s="14"/>
      <c r="AJ119" s="14"/>
    </row>
    <row r="120" spans="1:36" ht="213.75" x14ac:dyDescent="0.3">
      <c r="A120" s="7">
        <v>271268</v>
      </c>
      <c r="B120" s="7" t="s">
        <v>31</v>
      </c>
      <c r="C120" s="7" t="s">
        <v>2821</v>
      </c>
      <c r="D120" s="61" t="s">
        <v>36</v>
      </c>
      <c r="E120" s="62">
        <v>39902</v>
      </c>
      <c r="F120" s="65" t="s">
        <v>2891</v>
      </c>
      <c r="G120" s="9" t="s">
        <v>39</v>
      </c>
      <c r="H120" s="66" t="s">
        <v>3660</v>
      </c>
      <c r="I120" s="66" t="s">
        <v>3661</v>
      </c>
      <c r="J120" s="66" t="s">
        <v>34</v>
      </c>
      <c r="K120" s="7" t="s">
        <v>298</v>
      </c>
      <c r="L120" s="66" t="s">
        <v>81</v>
      </c>
      <c r="M120" s="67" t="s">
        <v>17</v>
      </c>
      <c r="N120" s="68" t="s">
        <v>3662</v>
      </c>
      <c r="O120" s="10" t="s">
        <v>2827</v>
      </c>
      <c r="P120" s="10" t="s">
        <v>17</v>
      </c>
      <c r="Q120" s="10" t="s">
        <v>17</v>
      </c>
      <c r="R120" s="10" t="s">
        <v>17</v>
      </c>
      <c r="S120" s="69" t="s">
        <v>3663</v>
      </c>
      <c r="T120" s="10" t="s">
        <v>41</v>
      </c>
      <c r="U120" s="69" t="s">
        <v>117</v>
      </c>
      <c r="V120" s="10" t="s">
        <v>17</v>
      </c>
      <c r="W120" s="10" t="s">
        <v>17</v>
      </c>
      <c r="X120" s="10" t="s">
        <v>17</v>
      </c>
      <c r="Y120" s="10" t="s">
        <v>17</v>
      </c>
      <c r="Z120" s="180">
        <v>43689</v>
      </c>
      <c r="AA120" s="10" t="s">
        <v>3664</v>
      </c>
      <c r="AB120" s="11" t="s">
        <v>17</v>
      </c>
      <c r="AC120" s="11" t="s">
        <v>3665</v>
      </c>
      <c r="AD120" s="10" t="s">
        <v>19</v>
      </c>
      <c r="AE120" s="10" t="s">
        <v>439</v>
      </c>
      <c r="AF120" s="10" t="s">
        <v>546</v>
      </c>
      <c r="AG120" s="5"/>
    </row>
    <row r="121" spans="1:36" ht="42.75" x14ac:dyDescent="0.3">
      <c r="A121" s="7">
        <v>707444</v>
      </c>
      <c r="B121" s="7" t="s">
        <v>31</v>
      </c>
      <c r="C121" s="7" t="s">
        <v>3666</v>
      </c>
      <c r="D121" s="61" t="s">
        <v>36</v>
      </c>
      <c r="E121" s="62">
        <v>39902</v>
      </c>
      <c r="F121" s="65" t="s">
        <v>3667</v>
      </c>
      <c r="G121" s="9" t="s">
        <v>39</v>
      </c>
      <c r="H121" s="66" t="s">
        <v>3668</v>
      </c>
      <c r="I121" s="66" t="s">
        <v>3669</v>
      </c>
      <c r="J121" s="66" t="s">
        <v>34</v>
      </c>
      <c r="K121" s="7" t="s">
        <v>298</v>
      </c>
      <c r="L121" s="66" t="s">
        <v>81</v>
      </c>
      <c r="M121" s="67" t="s">
        <v>17</v>
      </c>
      <c r="N121" s="68" t="s">
        <v>3670</v>
      </c>
      <c r="O121" s="10" t="s">
        <v>3671</v>
      </c>
      <c r="P121" s="10" t="s">
        <v>17</v>
      </c>
      <c r="Q121" s="10" t="s">
        <v>17</v>
      </c>
      <c r="R121" s="10" t="s">
        <v>17</v>
      </c>
      <c r="S121" s="69" t="s">
        <v>3332</v>
      </c>
      <c r="T121" s="10" t="s">
        <v>41</v>
      </c>
      <c r="U121" s="33" t="s">
        <v>17</v>
      </c>
      <c r="V121" s="33" t="s">
        <v>17</v>
      </c>
      <c r="W121" s="10" t="s">
        <v>17</v>
      </c>
      <c r="X121" s="10" t="s">
        <v>17</v>
      </c>
      <c r="Y121" s="10" t="s">
        <v>17</v>
      </c>
      <c r="Z121" s="69" t="s">
        <v>3672</v>
      </c>
      <c r="AA121" s="10" t="s">
        <v>3673</v>
      </c>
      <c r="AB121" s="11" t="s">
        <v>17</v>
      </c>
      <c r="AC121" s="11" t="s">
        <v>3665</v>
      </c>
      <c r="AD121" s="10" t="s">
        <v>19</v>
      </c>
      <c r="AE121" s="10" t="s">
        <v>3695</v>
      </c>
      <c r="AF121" s="10" t="s">
        <v>546</v>
      </c>
      <c r="AG121" s="5"/>
    </row>
  </sheetData>
  <mergeCells count="4">
    <mergeCell ref="A1:AF1"/>
    <mergeCell ref="A2:AF2"/>
    <mergeCell ref="A3:AF3"/>
    <mergeCell ref="A4:AF4"/>
  </mergeCells>
  <phoneticPr fontId="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C3FE-D5B6-4F55-A8D2-E8CD1139676E}">
  <sheetPr codeName="Hoja2"/>
  <dimension ref="B1:AA385"/>
  <sheetViews>
    <sheetView showGridLines="0" topLeftCell="L6" zoomScaleNormal="100" workbookViewId="0">
      <selection activeCell="Q9" sqref="Q9"/>
    </sheetView>
  </sheetViews>
  <sheetFormatPr baseColWidth="10" defaultColWidth="11.42578125" defaultRowHeight="13.5" x14ac:dyDescent="0.25"/>
  <cols>
    <col min="1" max="1" width="11.42578125" style="683"/>
    <col min="2" max="2" width="14.42578125" style="683" bestFit="1" customWidth="1"/>
    <col min="3" max="4" width="11.42578125" style="683"/>
    <col min="5" max="5" width="30" style="683" bestFit="1" customWidth="1"/>
    <col min="6" max="6" width="29.7109375" style="683" bestFit="1" customWidth="1"/>
    <col min="7" max="7" width="11.42578125" style="683"/>
    <col min="8" max="8" width="42" style="683" bestFit="1" customWidth="1"/>
    <col min="9" max="9" width="33" style="683" bestFit="1" customWidth="1"/>
    <col min="10" max="10" width="11.42578125" style="683"/>
    <col min="11" max="11" width="18.42578125" style="683" bestFit="1" customWidth="1"/>
    <col min="12" max="12" width="53.7109375" style="683" bestFit="1" customWidth="1"/>
    <col min="13" max="13" width="10.140625" style="683" bestFit="1" customWidth="1"/>
    <col min="14" max="14" width="35.85546875" style="683" bestFit="1" customWidth="1"/>
    <col min="15" max="15" width="37.28515625" style="683" bestFit="1" customWidth="1"/>
    <col min="16" max="16" width="10.140625" style="683" bestFit="1" customWidth="1"/>
    <col min="17" max="17" width="18.42578125" style="683" bestFit="1" customWidth="1"/>
    <col min="18" max="18" width="63" style="683" bestFit="1" customWidth="1"/>
    <col min="19" max="19" width="10.140625" style="683" bestFit="1" customWidth="1"/>
    <col min="20" max="20" width="26.42578125" style="683" bestFit="1" customWidth="1"/>
    <col min="21" max="21" width="27.42578125" style="683" bestFit="1" customWidth="1"/>
    <col min="22" max="22" width="10.140625" style="683" bestFit="1" customWidth="1"/>
    <col min="23" max="23" width="18.42578125" style="683" bestFit="1" customWidth="1"/>
    <col min="24" max="24" width="38.7109375" style="683" bestFit="1" customWidth="1"/>
    <col min="25" max="25" width="10.140625" style="683" bestFit="1" customWidth="1"/>
    <col min="26" max="26" width="37.42578125" style="683" bestFit="1" customWidth="1"/>
    <col min="27" max="27" width="33.7109375" style="683" bestFit="1" customWidth="1"/>
    <col min="28" max="16384" width="11.42578125" style="683"/>
  </cols>
  <sheetData>
    <row r="1" spans="2:27" x14ac:dyDescent="0.25">
      <c r="E1" s="684"/>
      <c r="F1" s="684"/>
      <c r="K1" s="684"/>
      <c r="L1" s="684"/>
      <c r="M1" s="684"/>
      <c r="N1" s="684"/>
      <c r="O1" s="684"/>
      <c r="P1" s="684"/>
      <c r="Q1" s="684"/>
      <c r="R1" s="684"/>
      <c r="S1" s="684"/>
      <c r="T1" s="684"/>
      <c r="U1" s="684"/>
      <c r="V1" s="684"/>
      <c r="W1" s="684"/>
      <c r="X1" s="684"/>
      <c r="Y1" s="684"/>
      <c r="Z1" s="684"/>
      <c r="AA1" s="684"/>
    </row>
    <row r="2" spans="2:27" x14ac:dyDescent="0.25">
      <c r="B2" s="685" t="s">
        <v>3696</v>
      </c>
      <c r="C2" s="683">
        <f>GETPIVOTDATA("Data.JURISDICCIÓN",$E$2)</f>
        <v>428</v>
      </c>
      <c r="E2" s="834" t="s">
        <v>3697</v>
      </c>
      <c r="F2" s="835" t="s">
        <v>3698</v>
      </c>
      <c r="G2" s="684"/>
      <c r="H2" s="834" t="s">
        <v>3697</v>
      </c>
      <c r="I2" s="835" t="s">
        <v>3699</v>
      </c>
      <c r="K2" s="834" t="s">
        <v>3697</v>
      </c>
      <c r="L2" s="835" t="s">
        <v>3700</v>
      </c>
      <c r="M2" s="684"/>
      <c r="N2" s="834" t="s">
        <v>3697</v>
      </c>
      <c r="O2" s="835" t="s">
        <v>3701</v>
      </c>
      <c r="P2" s="684"/>
      <c r="Q2" s="834" t="s">
        <v>3697</v>
      </c>
      <c r="R2" s="835" t="s">
        <v>3702</v>
      </c>
      <c r="S2" s="684"/>
      <c r="T2" s="834" t="s">
        <v>3697</v>
      </c>
      <c r="U2" s="835" t="s">
        <v>3703</v>
      </c>
      <c r="V2" s="684"/>
      <c r="W2" s="834" t="s">
        <v>3697</v>
      </c>
      <c r="X2" s="835" t="s">
        <v>3704</v>
      </c>
      <c r="Y2" s="684"/>
      <c r="Z2" s="2" t="s">
        <v>3697</v>
      </c>
      <c r="AA2" t="s">
        <v>3705</v>
      </c>
    </row>
    <row r="3" spans="2:27" x14ac:dyDescent="0.25">
      <c r="B3" s="685" t="s">
        <v>3706</v>
      </c>
      <c r="C3" s="683">
        <f>IFERROR(GETPIVOTDATA("Data.JURISDICCIÓN",$E$2,"Data.JURISDICCIÓN","LABORAL"),"")</f>
        <v>5</v>
      </c>
      <c r="E3" s="836" t="s">
        <v>143</v>
      </c>
      <c r="F3" s="835">
        <v>127</v>
      </c>
      <c r="G3" s="684"/>
      <c r="H3" s="836" t="s">
        <v>20</v>
      </c>
      <c r="I3" s="835">
        <v>1</v>
      </c>
      <c r="K3" s="836" t="s">
        <v>3707</v>
      </c>
      <c r="L3" s="835">
        <v>2</v>
      </c>
      <c r="M3" s="684"/>
      <c r="N3" s="836" t="s">
        <v>15</v>
      </c>
      <c r="O3" s="835">
        <v>57</v>
      </c>
      <c r="P3" s="684"/>
      <c r="Q3" s="836" t="s">
        <v>116</v>
      </c>
      <c r="R3" s="835">
        <v>1</v>
      </c>
      <c r="S3" s="684"/>
      <c r="T3" s="836" t="s">
        <v>140</v>
      </c>
      <c r="U3" s="835">
        <v>1</v>
      </c>
      <c r="V3" s="684"/>
      <c r="W3" s="836">
        <v>2</v>
      </c>
      <c r="X3" s="835">
        <v>1</v>
      </c>
      <c r="Y3" s="684"/>
      <c r="Z3" s="1" t="s">
        <v>15</v>
      </c>
      <c r="AA3">
        <v>2</v>
      </c>
    </row>
    <row r="4" spans="2:27" x14ac:dyDescent="0.25">
      <c r="B4" s="685" t="s">
        <v>27</v>
      </c>
      <c r="C4" s="683">
        <f>IFERROR(GETPIVOTDATA("Data.JURISDICCIÓN",$E$2,"Data.JURISDICCIÓN","MASC"),"")</f>
        <v>1</v>
      </c>
      <c r="E4" s="836" t="s">
        <v>31</v>
      </c>
      <c r="F4" s="835">
        <v>160</v>
      </c>
      <c r="G4" s="684"/>
      <c r="H4" s="836" t="s">
        <v>66</v>
      </c>
      <c r="I4" s="835">
        <v>2</v>
      </c>
      <c r="K4" s="836" t="s">
        <v>3708</v>
      </c>
      <c r="L4" s="835">
        <v>1</v>
      </c>
      <c r="M4" s="684"/>
      <c r="N4" s="836" t="s">
        <v>147</v>
      </c>
      <c r="O4" s="835">
        <v>47</v>
      </c>
      <c r="P4" s="684"/>
      <c r="Q4" s="836" t="s">
        <v>16</v>
      </c>
      <c r="R4" s="835">
        <v>311</v>
      </c>
      <c r="S4" s="684"/>
      <c r="T4" s="836" t="s">
        <v>84</v>
      </c>
      <c r="U4" s="835">
        <v>1</v>
      </c>
      <c r="V4" s="684"/>
      <c r="W4" s="836" t="s">
        <v>141</v>
      </c>
      <c r="X4" s="835">
        <v>1</v>
      </c>
      <c r="Y4" s="684"/>
      <c r="Z4" s="1" t="s">
        <v>147</v>
      </c>
      <c r="AA4">
        <v>2</v>
      </c>
    </row>
    <row r="5" spans="2:27" x14ac:dyDescent="0.25">
      <c r="B5" s="685" t="s">
        <v>3709</v>
      </c>
      <c r="C5" s="683">
        <f>IFERROR(GETPIVOTDATA("Data.JURISDICCIÓN",$E$2,"Data.JURISDICCIÓN","CONSTITUCIONAL"),"")</f>
        <v>160</v>
      </c>
      <c r="E5" s="836" t="s">
        <v>137</v>
      </c>
      <c r="F5" s="835">
        <v>81</v>
      </c>
      <c r="G5" s="684"/>
      <c r="H5" s="836" t="s">
        <v>32</v>
      </c>
      <c r="I5" s="835">
        <v>2</v>
      </c>
      <c r="K5" s="836" t="s">
        <v>3710</v>
      </c>
      <c r="L5" s="835">
        <v>1</v>
      </c>
      <c r="M5" s="684"/>
      <c r="N5" s="836" t="s">
        <v>29</v>
      </c>
      <c r="O5" s="835">
        <v>57</v>
      </c>
      <c r="P5" s="684"/>
      <c r="Q5" s="836" t="s">
        <v>34</v>
      </c>
      <c r="R5" s="835">
        <v>108</v>
      </c>
      <c r="S5" s="684"/>
      <c r="T5" s="836" t="s">
        <v>69</v>
      </c>
      <c r="U5" s="835">
        <v>1</v>
      </c>
      <c r="V5" s="684"/>
      <c r="W5" s="836" t="s">
        <v>77</v>
      </c>
      <c r="X5" s="835">
        <v>5</v>
      </c>
      <c r="Y5" s="684"/>
      <c r="Z5" s="1" t="s">
        <v>29</v>
      </c>
      <c r="AA5">
        <v>5</v>
      </c>
    </row>
    <row r="6" spans="2:27" x14ac:dyDescent="0.25">
      <c r="B6" s="685" t="s">
        <v>3711</v>
      </c>
      <c r="C6" s="683">
        <f>IFERROR(GETPIVOTDATA("Data.JURISDICCIÓN",$E$2,"Data.JURISDICCIÓN","CIVIL"),"")</f>
        <v>127</v>
      </c>
      <c r="E6" s="836" t="s">
        <v>13</v>
      </c>
      <c r="F6" s="835">
        <v>5</v>
      </c>
      <c r="G6" s="684"/>
      <c r="H6" s="836" t="s">
        <v>36</v>
      </c>
      <c r="I6" s="835">
        <v>147</v>
      </c>
      <c r="K6" s="836" t="s">
        <v>3712</v>
      </c>
      <c r="L6" s="835">
        <v>4</v>
      </c>
      <c r="M6" s="684"/>
      <c r="N6" s="836" t="s">
        <v>229</v>
      </c>
      <c r="O6" s="835">
        <v>54</v>
      </c>
      <c r="P6" s="684"/>
      <c r="Q6" s="836" t="s">
        <v>71</v>
      </c>
      <c r="R6" s="835">
        <v>8</v>
      </c>
      <c r="S6" s="684"/>
      <c r="T6" s="836" t="s">
        <v>65</v>
      </c>
      <c r="U6" s="835">
        <v>1</v>
      </c>
      <c r="V6" s="684"/>
      <c r="W6" s="836" t="s">
        <v>82</v>
      </c>
      <c r="X6" s="835">
        <v>18</v>
      </c>
      <c r="Y6" s="684"/>
      <c r="Z6" s="1" t="s">
        <v>229</v>
      </c>
      <c r="AA6">
        <v>6</v>
      </c>
    </row>
    <row r="7" spans="2:27" x14ac:dyDescent="0.25">
      <c r="B7" s="685" t="s">
        <v>3713</v>
      </c>
      <c r="C7" s="683">
        <f>IFERROR(GETPIVOTDATA("Data.JURISDICCIÓN",$E$2,"Data.JURISDICCIÓN","PENAL "),"")</f>
        <v>54</v>
      </c>
      <c r="E7" s="836" t="s">
        <v>27</v>
      </c>
      <c r="F7" s="835">
        <v>1</v>
      </c>
      <c r="G7" s="684"/>
      <c r="H7" s="836" t="s">
        <v>78</v>
      </c>
      <c r="I7" s="835">
        <v>9</v>
      </c>
      <c r="K7" s="836" t="s">
        <v>3714</v>
      </c>
      <c r="L7" s="835">
        <v>1</v>
      </c>
      <c r="M7" s="684"/>
      <c r="N7" s="836" t="s">
        <v>52</v>
      </c>
      <c r="O7" s="835">
        <v>23</v>
      </c>
      <c r="P7" s="684"/>
      <c r="Q7" s="836" t="s">
        <v>3715</v>
      </c>
      <c r="R7" s="835">
        <v>428</v>
      </c>
      <c r="S7" s="684"/>
      <c r="T7" s="836" t="s">
        <v>95</v>
      </c>
      <c r="U7" s="835">
        <v>1</v>
      </c>
      <c r="V7" s="684"/>
      <c r="W7" s="836" t="s">
        <v>257</v>
      </c>
      <c r="X7" s="835">
        <v>1</v>
      </c>
      <c r="Y7" s="684"/>
      <c r="Z7" s="1" t="s">
        <v>52</v>
      </c>
      <c r="AA7">
        <v>4</v>
      </c>
    </row>
    <row r="8" spans="2:27" x14ac:dyDescent="0.25">
      <c r="B8" s="685" t="s">
        <v>3716</v>
      </c>
      <c r="C8" s="683">
        <f>IFERROR(GETPIVOTDATA("Data.JURISDICCIÓN",$E$2,"Data.JURISDICCIÓN","CONTENCIOSO ADMINISTRATIVA"),"")</f>
        <v>81</v>
      </c>
      <c r="E8" s="836" t="s">
        <v>227</v>
      </c>
      <c r="F8" s="835">
        <v>54</v>
      </c>
      <c r="G8" s="684"/>
      <c r="H8" s="836" t="s">
        <v>248</v>
      </c>
      <c r="I8" s="835">
        <v>22</v>
      </c>
      <c r="K8" s="836" t="s">
        <v>3717</v>
      </c>
      <c r="L8" s="835">
        <v>4</v>
      </c>
      <c r="M8" s="684"/>
      <c r="N8" s="836" t="s">
        <v>145</v>
      </c>
      <c r="O8" s="835">
        <v>52</v>
      </c>
      <c r="P8" s="684"/>
      <c r="Q8" s="684"/>
      <c r="R8" s="684"/>
      <c r="S8" s="684"/>
      <c r="T8" s="836" t="s">
        <v>167</v>
      </c>
      <c r="U8" s="835">
        <v>1</v>
      </c>
      <c r="V8" s="684"/>
      <c r="W8" s="836" t="s">
        <v>87</v>
      </c>
      <c r="X8" s="835">
        <v>1</v>
      </c>
      <c r="Y8" s="684"/>
      <c r="Z8" s="1" t="s">
        <v>145</v>
      </c>
      <c r="AA8">
        <v>3</v>
      </c>
    </row>
    <row r="9" spans="2:27" x14ac:dyDescent="0.25">
      <c r="E9" s="836" t="s">
        <v>3715</v>
      </c>
      <c r="F9" s="835">
        <v>428</v>
      </c>
      <c r="G9" s="684"/>
      <c r="H9" s="836" t="s">
        <v>225</v>
      </c>
      <c r="I9" s="835">
        <v>1</v>
      </c>
      <c r="K9" s="836" t="s">
        <v>3718</v>
      </c>
      <c r="L9" s="835">
        <v>1</v>
      </c>
      <c r="M9" s="684"/>
      <c r="N9" s="836" t="s">
        <v>33</v>
      </c>
      <c r="O9" s="835">
        <v>68</v>
      </c>
      <c r="P9" s="684"/>
      <c r="Q9" s="684" t="s">
        <v>296</v>
      </c>
      <c r="R9" s="684"/>
      <c r="S9" s="684"/>
      <c r="T9" s="836" t="s">
        <v>61</v>
      </c>
      <c r="U9" s="835">
        <v>9</v>
      </c>
      <c r="V9" s="684"/>
      <c r="W9" s="836" t="s">
        <v>22</v>
      </c>
      <c r="X9" s="835">
        <v>88</v>
      </c>
      <c r="Y9" s="684"/>
      <c r="Z9" s="1" t="s">
        <v>33</v>
      </c>
      <c r="AA9">
        <v>3</v>
      </c>
    </row>
    <row r="10" spans="2:27" x14ac:dyDescent="0.25">
      <c r="E10" s="684"/>
      <c r="F10" s="684"/>
      <c r="G10" s="684"/>
      <c r="H10" s="836" t="s">
        <v>156</v>
      </c>
      <c r="I10" s="835">
        <v>6</v>
      </c>
      <c r="K10" s="836" t="s">
        <v>3719</v>
      </c>
      <c r="L10" s="835">
        <v>8</v>
      </c>
      <c r="M10" s="684"/>
      <c r="N10" s="836" t="s">
        <v>39</v>
      </c>
      <c r="O10" s="835">
        <v>70</v>
      </c>
      <c r="P10" s="684"/>
      <c r="Q10" s="684" t="s">
        <v>3720</v>
      </c>
      <c r="R10" s="684"/>
      <c r="S10" s="684"/>
      <c r="T10" s="836" t="s">
        <v>187</v>
      </c>
      <c r="U10" s="835">
        <v>3</v>
      </c>
      <c r="V10" s="684"/>
      <c r="W10" s="836" t="s">
        <v>101</v>
      </c>
      <c r="X10" s="835">
        <v>2</v>
      </c>
      <c r="Y10" s="684"/>
      <c r="Z10" s="1" t="s">
        <v>39</v>
      </c>
      <c r="AA10">
        <v>1</v>
      </c>
    </row>
    <row r="11" spans="2:27" x14ac:dyDescent="0.25">
      <c r="E11" s="684"/>
      <c r="F11" s="684"/>
      <c r="G11" s="684"/>
      <c r="H11" s="836" t="s">
        <v>160</v>
      </c>
      <c r="I11" s="835">
        <v>1</v>
      </c>
      <c r="K11" s="836" t="s">
        <v>3721</v>
      </c>
      <c r="L11" s="835">
        <v>9</v>
      </c>
      <c r="M11" s="684"/>
      <c r="N11" s="836" t="s">
        <v>3715</v>
      </c>
      <c r="O11" s="835">
        <v>428</v>
      </c>
      <c r="P11" s="684"/>
      <c r="Q11" s="684"/>
      <c r="R11" s="684"/>
      <c r="S11" s="684"/>
      <c r="T11" s="836" t="s">
        <v>76</v>
      </c>
      <c r="U11" s="835">
        <v>1</v>
      </c>
      <c r="V11" s="684"/>
      <c r="W11" s="836" t="s">
        <v>122</v>
      </c>
      <c r="X11" s="835">
        <v>1</v>
      </c>
      <c r="Y11" s="684"/>
      <c r="Z11" s="1" t="s">
        <v>3715</v>
      </c>
      <c r="AA11">
        <v>26</v>
      </c>
    </row>
    <row r="12" spans="2:27" x14ac:dyDescent="0.25">
      <c r="E12" s="684"/>
      <c r="F12" s="684"/>
      <c r="G12" s="684"/>
      <c r="H12" s="836" t="s">
        <v>166</v>
      </c>
      <c r="I12" s="835">
        <v>18</v>
      </c>
      <c r="K12" s="836" t="s">
        <v>3722</v>
      </c>
      <c r="L12" s="835">
        <v>9</v>
      </c>
      <c r="M12" s="684"/>
      <c r="N12" s="684"/>
      <c r="O12" s="684"/>
      <c r="P12" s="684"/>
      <c r="Q12" s="684"/>
      <c r="R12" s="684"/>
      <c r="S12" s="684"/>
      <c r="T12" s="836" t="s">
        <v>64</v>
      </c>
      <c r="U12" s="835">
        <v>13</v>
      </c>
      <c r="V12" s="684"/>
      <c r="W12" s="836" t="s">
        <v>106</v>
      </c>
      <c r="X12" s="835">
        <v>1</v>
      </c>
      <c r="Y12" s="684"/>
      <c r="Z12"/>
      <c r="AA12"/>
    </row>
    <row r="13" spans="2:27" x14ac:dyDescent="0.25">
      <c r="E13" s="684"/>
      <c r="F13" s="684"/>
      <c r="G13" s="684"/>
      <c r="H13" s="836" t="s">
        <v>151</v>
      </c>
      <c r="I13" s="835">
        <v>17</v>
      </c>
      <c r="K13" s="836" t="s">
        <v>3723</v>
      </c>
      <c r="L13" s="835">
        <v>5</v>
      </c>
      <c r="M13" s="684"/>
      <c r="N13" s="684"/>
      <c r="O13" s="684"/>
      <c r="P13" s="684"/>
      <c r="Q13" s="684" t="s">
        <v>2710</v>
      </c>
      <c r="R13" s="684"/>
      <c r="S13" s="684"/>
      <c r="T13" s="836" t="s">
        <v>91</v>
      </c>
      <c r="U13" s="835">
        <v>2</v>
      </c>
      <c r="V13" s="684"/>
      <c r="W13" s="836" t="s">
        <v>19</v>
      </c>
      <c r="X13" s="835">
        <v>271</v>
      </c>
      <c r="Y13" s="684"/>
      <c r="Z13"/>
      <c r="AA13"/>
    </row>
    <row r="14" spans="2:27" x14ac:dyDescent="0.25">
      <c r="E14" s="684"/>
      <c r="F14" s="684"/>
      <c r="G14" s="684"/>
      <c r="H14" s="836" t="s">
        <v>258</v>
      </c>
      <c r="I14" s="835">
        <v>1</v>
      </c>
      <c r="K14" s="836" t="s">
        <v>3724</v>
      </c>
      <c r="L14" s="835">
        <v>13</v>
      </c>
      <c r="M14" s="684"/>
      <c r="N14" s="684" t="s">
        <v>3725</v>
      </c>
      <c r="O14" s="684"/>
      <c r="P14" s="684"/>
      <c r="Q14" s="684" t="s">
        <v>2722</v>
      </c>
      <c r="R14" s="684"/>
      <c r="S14" s="684"/>
      <c r="T14" s="836" t="s">
        <v>75</v>
      </c>
      <c r="U14" s="835">
        <v>13</v>
      </c>
      <c r="V14" s="684"/>
      <c r="W14" s="836" t="s">
        <v>24</v>
      </c>
      <c r="X14" s="835">
        <v>33</v>
      </c>
      <c r="Y14" s="684"/>
      <c r="Z14"/>
      <c r="AA14"/>
    </row>
    <row r="15" spans="2:27" x14ac:dyDescent="0.25">
      <c r="E15" s="684"/>
      <c r="F15" s="684"/>
      <c r="G15" s="684"/>
      <c r="H15" s="836" t="s">
        <v>152</v>
      </c>
      <c r="I15" s="835">
        <v>1</v>
      </c>
      <c r="K15" s="836" t="s">
        <v>3726</v>
      </c>
      <c r="L15" s="835">
        <v>12</v>
      </c>
      <c r="M15" s="684"/>
      <c r="N15" s="836" t="s">
        <v>39</v>
      </c>
      <c r="O15" s="684"/>
      <c r="P15" s="684"/>
      <c r="Q15" s="684" t="s">
        <v>298</v>
      </c>
      <c r="R15" s="684"/>
      <c r="S15" s="684"/>
      <c r="T15" s="836" t="s">
        <v>50</v>
      </c>
      <c r="U15" s="835">
        <v>1</v>
      </c>
      <c r="V15" s="684"/>
      <c r="W15" s="836" t="s">
        <v>188</v>
      </c>
      <c r="X15" s="835">
        <v>2</v>
      </c>
      <c r="Y15" s="684"/>
      <c r="Z15"/>
      <c r="AA15"/>
    </row>
    <row r="16" spans="2:27" x14ac:dyDescent="0.25">
      <c r="E16" s="684"/>
      <c r="F16" s="684"/>
      <c r="G16" s="684"/>
      <c r="H16" s="836" t="s">
        <v>173</v>
      </c>
      <c r="I16" s="835">
        <v>1</v>
      </c>
      <c r="K16" s="836" t="s">
        <v>3727</v>
      </c>
      <c r="L16" s="835">
        <v>10</v>
      </c>
      <c r="M16" s="684"/>
      <c r="N16" s="836" t="s">
        <v>33</v>
      </c>
      <c r="O16" s="684"/>
      <c r="P16" s="684"/>
      <c r="Q16" s="684" t="s">
        <v>327</v>
      </c>
      <c r="R16" s="684"/>
      <c r="S16" s="684"/>
      <c r="T16" s="836" t="s">
        <v>55</v>
      </c>
      <c r="U16" s="835">
        <v>11</v>
      </c>
      <c r="V16" s="684"/>
      <c r="W16" s="836" t="s">
        <v>247</v>
      </c>
      <c r="X16" s="835">
        <v>1</v>
      </c>
      <c r="Y16" s="684"/>
      <c r="Z16"/>
      <c r="AA16"/>
    </row>
    <row r="17" spans="5:27" x14ac:dyDescent="0.25">
      <c r="E17" s="684"/>
      <c r="F17" s="684"/>
      <c r="G17" s="684"/>
      <c r="H17" s="836" t="s">
        <v>28</v>
      </c>
      <c r="I17" s="835">
        <v>1</v>
      </c>
      <c r="K17" s="836" t="s">
        <v>3728</v>
      </c>
      <c r="L17" s="835">
        <v>4</v>
      </c>
      <c r="M17" s="684"/>
      <c r="N17" s="836" t="s">
        <v>3729</v>
      </c>
      <c r="O17" s="684"/>
      <c r="P17" s="684"/>
      <c r="Q17" s="684" t="s">
        <v>3656</v>
      </c>
      <c r="R17" s="684"/>
      <c r="S17" s="684"/>
      <c r="T17" s="836" t="s">
        <v>174</v>
      </c>
      <c r="U17" s="835">
        <v>1</v>
      </c>
      <c r="V17" s="684"/>
      <c r="W17" s="836" t="s">
        <v>3730</v>
      </c>
      <c r="X17" s="835"/>
      <c r="Y17" s="684"/>
      <c r="Z17"/>
      <c r="AA17"/>
    </row>
    <row r="18" spans="5:27" x14ac:dyDescent="0.25">
      <c r="E18" s="684"/>
      <c r="F18" s="684"/>
      <c r="G18" s="684"/>
      <c r="H18" s="836" t="s">
        <v>144</v>
      </c>
      <c r="I18" s="835">
        <v>20</v>
      </c>
      <c r="K18" s="836" t="s">
        <v>3731</v>
      </c>
      <c r="L18" s="835">
        <v>15</v>
      </c>
      <c r="M18" s="684"/>
      <c r="N18" s="836" t="s">
        <v>15</v>
      </c>
      <c r="O18" s="684"/>
      <c r="P18" s="684"/>
      <c r="Q18" s="684"/>
      <c r="R18" s="684"/>
      <c r="S18" s="684"/>
      <c r="T18" s="836" t="s">
        <v>74</v>
      </c>
      <c r="U18" s="835">
        <v>5</v>
      </c>
      <c r="V18" s="684"/>
      <c r="W18" s="836" t="s">
        <v>3715</v>
      </c>
      <c r="X18" s="835">
        <v>426</v>
      </c>
      <c r="Y18" s="684"/>
      <c r="Z18"/>
      <c r="AA18"/>
    </row>
    <row r="19" spans="5:27" x14ac:dyDescent="0.25">
      <c r="E19" s="684"/>
      <c r="F19" s="684"/>
      <c r="G19" s="684"/>
      <c r="H19" s="836" t="s">
        <v>139</v>
      </c>
      <c r="I19" s="835">
        <v>9</v>
      </c>
      <c r="K19" s="836" t="s">
        <v>3732</v>
      </c>
      <c r="L19" s="835">
        <v>16</v>
      </c>
      <c r="M19" s="684"/>
      <c r="N19" s="684" t="s">
        <v>3733</v>
      </c>
      <c r="O19" s="684"/>
      <c r="P19" s="684"/>
      <c r="Q19" s="684" t="s">
        <v>3734</v>
      </c>
      <c r="R19" s="684"/>
      <c r="S19" s="684"/>
      <c r="T19" s="836" t="s">
        <v>21</v>
      </c>
      <c r="U19" s="835">
        <v>16</v>
      </c>
      <c r="V19" s="684"/>
      <c r="W19" s="684"/>
      <c r="X19" s="684"/>
      <c r="Y19" s="684"/>
      <c r="Z19"/>
      <c r="AA19"/>
    </row>
    <row r="20" spans="5:27" x14ac:dyDescent="0.25">
      <c r="E20" s="684"/>
      <c r="F20" s="684"/>
      <c r="H20" s="836" t="s">
        <v>138</v>
      </c>
      <c r="I20" s="835">
        <v>2</v>
      </c>
      <c r="K20" s="836" t="s">
        <v>3735</v>
      </c>
      <c r="L20" s="835">
        <v>26</v>
      </c>
      <c r="M20" s="684"/>
      <c r="N20" s="684" t="s">
        <v>3736</v>
      </c>
      <c r="O20" s="684"/>
      <c r="P20" s="684"/>
      <c r="Q20" s="684" t="s">
        <v>3737</v>
      </c>
      <c r="R20" s="684"/>
      <c r="S20" s="684"/>
      <c r="T20" s="836" t="s">
        <v>112</v>
      </c>
      <c r="U20" s="835">
        <v>1</v>
      </c>
      <c r="V20" s="684"/>
      <c r="W20" s="684"/>
      <c r="X20" s="684"/>
      <c r="Y20" s="684"/>
      <c r="Z20"/>
      <c r="AA20"/>
    </row>
    <row r="21" spans="5:27" x14ac:dyDescent="0.25">
      <c r="E21" s="684"/>
      <c r="F21" s="684"/>
      <c r="H21" s="836" t="s">
        <v>243</v>
      </c>
      <c r="I21" s="835">
        <v>14</v>
      </c>
      <c r="K21" s="836" t="s">
        <v>3738</v>
      </c>
      <c r="L21" s="835">
        <v>24</v>
      </c>
      <c r="M21" s="684"/>
      <c r="N21" s="836" t="s">
        <v>15</v>
      </c>
      <c r="O21" s="684"/>
      <c r="P21" s="684"/>
      <c r="Q21" s="684" t="s">
        <v>3739</v>
      </c>
      <c r="R21" s="684"/>
      <c r="S21" s="684"/>
      <c r="T21" s="836" t="s">
        <v>43</v>
      </c>
      <c r="U21" s="835">
        <v>15</v>
      </c>
      <c r="V21" s="684"/>
      <c r="W21" s="684"/>
      <c r="X21" s="684"/>
      <c r="Y21" s="684"/>
      <c r="Z21"/>
      <c r="AA21"/>
    </row>
    <row r="22" spans="5:27" x14ac:dyDescent="0.25">
      <c r="E22" s="684"/>
      <c r="F22" s="684"/>
      <c r="H22" s="836" t="s">
        <v>204</v>
      </c>
      <c r="I22" s="835">
        <v>2</v>
      </c>
      <c r="K22" s="836" t="s">
        <v>3740</v>
      </c>
      <c r="L22" s="835">
        <v>25</v>
      </c>
      <c r="M22" s="684"/>
      <c r="N22" s="836" t="s">
        <v>147</v>
      </c>
      <c r="O22" s="684"/>
      <c r="P22" s="684"/>
      <c r="Q22" s="684" t="s">
        <v>3741</v>
      </c>
      <c r="R22" s="684"/>
      <c r="S22" s="684"/>
      <c r="T22" s="836" t="s">
        <v>68</v>
      </c>
      <c r="U22" s="835">
        <v>36</v>
      </c>
      <c r="V22" s="684"/>
      <c r="W22" s="684"/>
      <c r="X22" s="684"/>
      <c r="Y22" s="684"/>
      <c r="Z22"/>
      <c r="AA22"/>
    </row>
    <row r="23" spans="5:27" x14ac:dyDescent="0.25">
      <c r="E23" s="684"/>
      <c r="F23" s="684"/>
      <c r="H23" s="836" t="s">
        <v>14</v>
      </c>
      <c r="I23" s="835">
        <v>4</v>
      </c>
      <c r="K23" s="836" t="s">
        <v>3742</v>
      </c>
      <c r="L23" s="835">
        <v>25</v>
      </c>
      <c r="M23" s="684"/>
      <c r="N23" s="836" t="s">
        <v>145</v>
      </c>
      <c r="O23" s="684"/>
      <c r="P23" s="684"/>
      <c r="Q23" s="684" t="s">
        <v>3743</v>
      </c>
      <c r="R23" s="684"/>
      <c r="S23" s="684"/>
      <c r="T23" s="836" t="s">
        <v>59</v>
      </c>
      <c r="U23" s="835">
        <v>24</v>
      </c>
      <c r="V23" s="684"/>
      <c r="W23" s="684"/>
      <c r="X23" s="684"/>
      <c r="Y23" s="684"/>
      <c r="Z23"/>
      <c r="AA23"/>
    </row>
    <row r="24" spans="5:27" x14ac:dyDescent="0.25">
      <c r="E24" s="684"/>
      <c r="F24" s="684"/>
      <c r="H24" s="836" t="s">
        <v>228</v>
      </c>
      <c r="I24" s="835">
        <v>45</v>
      </c>
      <c r="K24" s="836" t="s">
        <v>3744</v>
      </c>
      <c r="L24" s="835">
        <v>43</v>
      </c>
      <c r="M24" s="684"/>
      <c r="N24" s="684"/>
      <c r="O24" s="684"/>
      <c r="P24" s="684"/>
      <c r="Q24" s="684" t="s">
        <v>3745</v>
      </c>
      <c r="R24" s="684"/>
      <c r="S24" s="684"/>
      <c r="T24" s="836" t="s">
        <v>223</v>
      </c>
      <c r="U24" s="835">
        <v>1</v>
      </c>
      <c r="V24" s="684"/>
      <c r="W24" s="684"/>
      <c r="X24" s="684"/>
      <c r="Y24" s="684"/>
      <c r="Z24"/>
      <c r="AA24"/>
    </row>
    <row r="25" spans="5:27" x14ac:dyDescent="0.25">
      <c r="E25" s="684"/>
      <c r="F25" s="684"/>
      <c r="H25" s="836" t="s">
        <v>227</v>
      </c>
      <c r="I25" s="835">
        <v>9</v>
      </c>
      <c r="K25" s="836" t="s">
        <v>3746</v>
      </c>
      <c r="L25" s="835">
        <v>23</v>
      </c>
      <c r="M25" s="684"/>
      <c r="N25" s="684"/>
      <c r="O25" s="684"/>
      <c r="P25" s="684"/>
      <c r="Q25" s="684" t="s">
        <v>3747</v>
      </c>
      <c r="R25" s="684"/>
      <c r="S25" s="684"/>
      <c r="T25" s="836" t="s">
        <v>38</v>
      </c>
      <c r="U25" s="835">
        <v>48</v>
      </c>
      <c r="V25" s="684"/>
      <c r="W25" s="684"/>
      <c r="X25" s="684"/>
      <c r="Y25" s="684"/>
      <c r="Z25"/>
      <c r="AA25"/>
    </row>
    <row r="26" spans="5:27" x14ac:dyDescent="0.25">
      <c r="E26" s="684"/>
      <c r="F26" s="684"/>
      <c r="H26" s="836" t="s">
        <v>149</v>
      </c>
      <c r="I26" s="835">
        <v>49</v>
      </c>
      <c r="K26" s="836" t="s">
        <v>3748</v>
      </c>
      <c r="L26" s="835">
        <v>39</v>
      </c>
      <c r="M26" s="684"/>
      <c r="N26" s="684" t="s">
        <v>228</v>
      </c>
      <c r="O26" s="684"/>
      <c r="P26" s="684"/>
      <c r="Q26" s="684" t="s">
        <v>3749</v>
      </c>
      <c r="R26" s="684"/>
      <c r="S26" s="684"/>
      <c r="T26" s="836" t="s">
        <v>104</v>
      </c>
      <c r="U26" s="835">
        <v>1</v>
      </c>
      <c r="V26" s="684"/>
      <c r="W26" s="684"/>
      <c r="X26" s="684"/>
      <c r="Y26" s="684"/>
      <c r="Z26"/>
      <c r="AA26"/>
    </row>
    <row r="27" spans="5:27" x14ac:dyDescent="0.25">
      <c r="E27" s="684"/>
      <c r="F27" s="684"/>
      <c r="H27" s="836" t="s">
        <v>189</v>
      </c>
      <c r="I27" s="835">
        <v>5</v>
      </c>
      <c r="K27" s="836" t="s">
        <v>3750</v>
      </c>
      <c r="L27" s="835">
        <v>40</v>
      </c>
      <c r="M27" s="684"/>
      <c r="N27" s="684" t="s">
        <v>316</v>
      </c>
      <c r="O27" s="684"/>
      <c r="P27" s="684"/>
      <c r="Q27" s="684" t="s">
        <v>3751</v>
      </c>
      <c r="R27" s="684"/>
      <c r="S27" s="684"/>
      <c r="T27" s="836" t="s">
        <v>60</v>
      </c>
      <c r="U27" s="835">
        <v>4</v>
      </c>
      <c r="V27" s="684"/>
      <c r="W27" s="684"/>
      <c r="X27" s="684"/>
      <c r="Y27" s="684"/>
      <c r="Z27"/>
      <c r="AA27"/>
    </row>
    <row r="28" spans="5:27" x14ac:dyDescent="0.25">
      <c r="E28" s="684"/>
      <c r="F28" s="684"/>
      <c r="H28" s="836" t="s">
        <v>195</v>
      </c>
      <c r="I28" s="835">
        <v>1</v>
      </c>
      <c r="K28" s="836" t="s">
        <v>3752</v>
      </c>
      <c r="L28" s="835">
        <v>38</v>
      </c>
      <c r="M28" s="684"/>
      <c r="N28" s="684" t="s">
        <v>327</v>
      </c>
      <c r="O28" s="684"/>
      <c r="P28" s="684"/>
      <c r="Q28" s="684" t="s">
        <v>3753</v>
      </c>
      <c r="R28" s="684"/>
      <c r="S28" s="684"/>
      <c r="T28" s="836" t="s">
        <v>170</v>
      </c>
      <c r="U28" s="835">
        <v>1</v>
      </c>
      <c r="V28" s="684"/>
      <c r="W28" s="684"/>
      <c r="X28" s="684"/>
      <c r="Y28" s="684"/>
      <c r="Z28"/>
      <c r="AA28"/>
    </row>
    <row r="29" spans="5:27" x14ac:dyDescent="0.25">
      <c r="E29" s="684"/>
      <c r="F29" s="684"/>
      <c r="H29" s="836" t="s">
        <v>159</v>
      </c>
      <c r="I29" s="835">
        <v>16</v>
      </c>
      <c r="K29" s="836" t="s">
        <v>3754</v>
      </c>
      <c r="L29" s="835">
        <v>29</v>
      </c>
      <c r="M29" s="684"/>
      <c r="N29" s="684"/>
      <c r="O29" s="684"/>
      <c r="P29" s="684"/>
      <c r="Q29" s="684" t="s">
        <v>3755</v>
      </c>
      <c r="R29" s="684"/>
      <c r="S29" s="684"/>
      <c r="T29" s="836" t="s">
        <v>17</v>
      </c>
      <c r="U29" s="835">
        <v>56</v>
      </c>
      <c r="V29" s="684"/>
      <c r="W29" s="684"/>
      <c r="X29" s="684"/>
      <c r="Y29" s="684"/>
      <c r="Z29"/>
      <c r="AA29"/>
    </row>
    <row r="30" spans="5:27" x14ac:dyDescent="0.25">
      <c r="E30" s="684"/>
      <c r="F30" s="684"/>
      <c r="H30" s="836" t="s">
        <v>242</v>
      </c>
      <c r="I30" s="835">
        <v>17</v>
      </c>
      <c r="K30" s="836" t="s">
        <v>3756</v>
      </c>
      <c r="L30" s="835">
        <v>1</v>
      </c>
      <c r="M30" s="684"/>
      <c r="N30" s="684" t="s">
        <v>322</v>
      </c>
      <c r="O30" s="684"/>
      <c r="P30" s="684"/>
      <c r="Q30" s="684" t="s">
        <v>3757</v>
      </c>
      <c r="R30" s="684"/>
      <c r="S30" s="684"/>
      <c r="T30" s="836" t="s">
        <v>23</v>
      </c>
      <c r="U30" s="835">
        <v>6</v>
      </c>
      <c r="V30" s="684"/>
      <c r="W30" s="684"/>
      <c r="X30" s="684"/>
      <c r="Y30" s="684"/>
      <c r="Z30"/>
      <c r="AA30"/>
    </row>
    <row r="31" spans="5:27" x14ac:dyDescent="0.25">
      <c r="E31" s="684"/>
      <c r="F31" s="684"/>
      <c r="H31" s="836" t="s">
        <v>146</v>
      </c>
      <c r="I31" s="835">
        <v>2</v>
      </c>
      <c r="K31" s="836" t="s">
        <v>3715</v>
      </c>
      <c r="L31" s="835">
        <v>428</v>
      </c>
      <c r="M31" s="684"/>
      <c r="N31" s="684" t="s">
        <v>2066</v>
      </c>
      <c r="O31" s="684"/>
      <c r="P31" s="684"/>
      <c r="Q31" s="684" t="s">
        <v>3758</v>
      </c>
      <c r="R31" s="684"/>
      <c r="S31" s="684"/>
      <c r="T31" s="836" t="s">
        <v>202</v>
      </c>
      <c r="U31" s="835">
        <v>2</v>
      </c>
      <c r="V31" s="684"/>
      <c r="W31" s="684"/>
      <c r="X31" s="684"/>
      <c r="Y31" s="684"/>
      <c r="Z31"/>
      <c r="AA31"/>
    </row>
    <row r="32" spans="5:27" x14ac:dyDescent="0.25">
      <c r="E32" s="684"/>
      <c r="F32" s="684"/>
      <c r="H32" s="836" t="s">
        <v>162</v>
      </c>
      <c r="I32" s="835">
        <v>2</v>
      </c>
      <c r="K32"/>
      <c r="L32"/>
      <c r="M32" s="684"/>
      <c r="N32" s="684" t="s">
        <v>1890</v>
      </c>
      <c r="O32" s="684"/>
      <c r="P32" s="684"/>
      <c r="Q32" s="684" t="s">
        <v>3759</v>
      </c>
      <c r="R32" s="684"/>
      <c r="S32" s="684"/>
      <c r="T32" s="836" t="s">
        <v>85</v>
      </c>
      <c r="U32" s="835">
        <v>7</v>
      </c>
      <c r="V32" s="684"/>
      <c r="W32" s="684"/>
      <c r="X32" s="684"/>
      <c r="Y32" s="684"/>
      <c r="Z32"/>
      <c r="AA32"/>
    </row>
    <row r="33" spans="5:27" x14ac:dyDescent="0.25">
      <c r="E33" s="684"/>
      <c r="F33" s="684"/>
      <c r="H33" s="836" t="s">
        <v>186</v>
      </c>
      <c r="I33" s="835">
        <v>1</v>
      </c>
      <c r="K33"/>
      <c r="L33"/>
      <c r="M33" s="684"/>
      <c r="N33" s="684" t="s">
        <v>3760</v>
      </c>
      <c r="O33" s="684"/>
      <c r="P33" s="684"/>
      <c r="Q33" s="684" t="s">
        <v>3761</v>
      </c>
      <c r="R33" s="684"/>
      <c r="S33" s="684"/>
      <c r="T33" s="836" t="s">
        <v>135</v>
      </c>
      <c r="U33" s="835">
        <v>1</v>
      </c>
      <c r="V33" s="684"/>
      <c r="W33" s="684"/>
      <c r="X33" s="684"/>
      <c r="Y33" s="684"/>
      <c r="Z33"/>
      <c r="AA33"/>
    </row>
    <row r="34" spans="5:27" x14ac:dyDescent="0.25">
      <c r="E34" s="684"/>
      <c r="F34" s="684"/>
      <c r="H34" s="836" t="s">
        <v>3715</v>
      </c>
      <c r="I34" s="835">
        <v>428</v>
      </c>
      <c r="K34"/>
      <c r="L34"/>
      <c r="M34" s="684"/>
      <c r="N34" s="684" t="s">
        <v>1635</v>
      </c>
      <c r="O34" s="684"/>
      <c r="P34" s="684"/>
      <c r="Q34" s="684" t="s">
        <v>3762</v>
      </c>
      <c r="R34" s="684"/>
      <c r="S34" s="684"/>
      <c r="T34" s="836" t="s">
        <v>51</v>
      </c>
      <c r="U34" s="835">
        <v>11</v>
      </c>
      <c r="V34" s="684"/>
      <c r="W34" s="684"/>
      <c r="X34" s="684"/>
      <c r="Y34" s="684"/>
      <c r="Z34"/>
      <c r="AA34"/>
    </row>
    <row r="35" spans="5:27" x14ac:dyDescent="0.25">
      <c r="E35" s="684"/>
      <c r="F35" s="684"/>
      <c r="H35" s="684"/>
      <c r="I35" s="684"/>
      <c r="K35"/>
      <c r="L35"/>
      <c r="M35" s="684"/>
      <c r="N35" s="684" t="s">
        <v>635</v>
      </c>
      <c r="O35" s="684"/>
      <c r="P35" s="684"/>
      <c r="Q35" s="684" t="s">
        <v>3763</v>
      </c>
      <c r="R35" s="684"/>
      <c r="S35" s="684"/>
      <c r="T35" s="836" t="s">
        <v>18</v>
      </c>
      <c r="U35" s="835">
        <v>11</v>
      </c>
      <c r="V35" s="684"/>
      <c r="W35" s="684"/>
      <c r="X35" s="684"/>
      <c r="Y35" s="684"/>
      <c r="Z35"/>
      <c r="AA35"/>
    </row>
    <row r="36" spans="5:27" x14ac:dyDescent="0.25">
      <c r="E36" s="684"/>
      <c r="F36" s="684"/>
      <c r="H36" s="684"/>
      <c r="I36" s="684"/>
      <c r="K36"/>
      <c r="L36"/>
      <c r="M36" s="684"/>
      <c r="N36" s="684" t="s">
        <v>354</v>
      </c>
      <c r="O36" s="684"/>
      <c r="P36" s="684"/>
      <c r="Q36" s="684" t="s">
        <v>3764</v>
      </c>
      <c r="R36" s="684"/>
      <c r="S36" s="684"/>
      <c r="T36" s="836" t="s">
        <v>252</v>
      </c>
      <c r="U36" s="835">
        <v>2</v>
      </c>
      <c r="V36" s="684"/>
      <c r="W36" s="684"/>
      <c r="X36" s="684"/>
      <c r="Y36" s="684"/>
      <c r="Z36"/>
      <c r="AA36"/>
    </row>
    <row r="37" spans="5:27" x14ac:dyDescent="0.25">
      <c r="E37" s="684"/>
      <c r="F37" s="684"/>
      <c r="H37" s="684"/>
      <c r="I37" s="684"/>
      <c r="K37"/>
      <c r="L37"/>
      <c r="M37" s="684"/>
      <c r="N37" s="684" t="s">
        <v>692</v>
      </c>
      <c r="O37" s="684"/>
      <c r="P37" s="684"/>
      <c r="Q37" s="684" t="s">
        <v>3765</v>
      </c>
      <c r="R37" s="684"/>
      <c r="S37" s="684"/>
      <c r="T37" s="836" t="s">
        <v>46</v>
      </c>
      <c r="U37" s="835">
        <v>20</v>
      </c>
      <c r="V37" s="684"/>
      <c r="W37" s="684"/>
      <c r="X37" s="684"/>
      <c r="Y37" s="684"/>
      <c r="Z37"/>
      <c r="AA37"/>
    </row>
    <row r="38" spans="5:27" x14ac:dyDescent="0.25">
      <c r="E38" s="684"/>
      <c r="F38" s="684"/>
      <c r="H38" s="684"/>
      <c r="I38" s="684"/>
      <c r="K38"/>
      <c r="L38"/>
      <c r="M38" s="684"/>
      <c r="N38" s="684" t="s">
        <v>423</v>
      </c>
      <c r="O38" s="684"/>
      <c r="P38" s="684"/>
      <c r="Q38" s="684" t="s">
        <v>3766</v>
      </c>
      <c r="R38" s="684"/>
      <c r="S38" s="684"/>
      <c r="T38" s="836" t="s">
        <v>41</v>
      </c>
      <c r="U38" s="835">
        <v>60</v>
      </c>
      <c r="V38" s="684"/>
      <c r="W38" s="684"/>
      <c r="X38" s="684"/>
      <c r="Y38" s="684"/>
      <c r="Z38"/>
      <c r="AA38"/>
    </row>
    <row r="39" spans="5:27" x14ac:dyDescent="0.25">
      <c r="E39" s="684"/>
      <c r="F39" s="684"/>
      <c r="H39" s="684"/>
      <c r="I39" s="684"/>
      <c r="K39"/>
      <c r="L39"/>
      <c r="M39" s="684"/>
      <c r="N39" s="684" t="s">
        <v>1030</v>
      </c>
      <c r="O39" s="684"/>
      <c r="P39" s="684"/>
      <c r="Q39" s="684"/>
      <c r="R39" s="684"/>
      <c r="S39" s="684"/>
      <c r="T39" s="836" t="s">
        <v>177</v>
      </c>
      <c r="U39" s="835">
        <v>1</v>
      </c>
      <c r="V39" s="684"/>
      <c r="W39" s="684"/>
      <c r="X39" s="684"/>
      <c r="Y39" s="684"/>
      <c r="Z39"/>
      <c r="AA39"/>
    </row>
    <row r="40" spans="5:27" x14ac:dyDescent="0.25">
      <c r="E40" s="684"/>
      <c r="F40" s="684"/>
      <c r="H40" s="684"/>
      <c r="I40" s="684"/>
      <c r="K40"/>
      <c r="L40"/>
      <c r="M40" s="684"/>
      <c r="N40" s="684" t="s">
        <v>3767</v>
      </c>
      <c r="O40" s="684"/>
      <c r="P40" s="684"/>
      <c r="Q40" s="684"/>
      <c r="R40" s="684"/>
      <c r="S40" s="684"/>
      <c r="T40" s="836" t="s">
        <v>57</v>
      </c>
      <c r="U40" s="835">
        <v>11</v>
      </c>
      <c r="V40" s="684"/>
      <c r="W40" s="684"/>
      <c r="X40" s="684"/>
      <c r="Y40" s="684"/>
      <c r="Z40"/>
      <c r="AA40"/>
    </row>
    <row r="41" spans="5:27" x14ac:dyDescent="0.25">
      <c r="E41" s="684"/>
      <c r="F41" s="684"/>
      <c r="H41" s="684"/>
      <c r="I41" s="684"/>
      <c r="K41"/>
      <c r="L41"/>
      <c r="M41" s="684"/>
      <c r="N41" s="684"/>
      <c r="O41" s="684"/>
      <c r="P41" s="684"/>
      <c r="Q41" s="840" t="s">
        <v>19</v>
      </c>
      <c r="R41" s="684"/>
      <c r="S41" s="684"/>
      <c r="T41" s="836" t="s">
        <v>119</v>
      </c>
      <c r="U41" s="835">
        <v>1</v>
      </c>
      <c r="V41" s="684"/>
      <c r="W41" s="684"/>
      <c r="X41" s="684"/>
      <c r="Y41" s="684"/>
      <c r="Z41"/>
      <c r="AA41"/>
    </row>
    <row r="42" spans="5:27" x14ac:dyDescent="0.25">
      <c r="E42" s="684"/>
      <c r="F42" s="684"/>
      <c r="H42" s="684"/>
      <c r="I42" s="684"/>
      <c r="K42"/>
      <c r="L42"/>
      <c r="M42" s="684"/>
      <c r="N42" s="836" t="s">
        <v>229</v>
      </c>
      <c r="O42" s="684" t="s">
        <v>47</v>
      </c>
      <c r="P42" s="684"/>
      <c r="Q42" s="684" t="s">
        <v>22</v>
      </c>
      <c r="R42" s="684"/>
      <c r="S42" s="684"/>
      <c r="T42" s="836" t="s">
        <v>157</v>
      </c>
      <c r="U42" s="835">
        <v>21</v>
      </c>
      <c r="V42" s="684"/>
      <c r="W42" s="684"/>
      <c r="X42" s="684"/>
      <c r="Y42" s="684"/>
      <c r="Z42"/>
      <c r="AA42"/>
    </row>
    <row r="43" spans="5:27" x14ac:dyDescent="0.25">
      <c r="E43" s="684"/>
      <c r="F43" s="684"/>
      <c r="H43" s="684"/>
      <c r="I43" s="684"/>
      <c r="K43"/>
      <c r="L43"/>
      <c r="M43" s="684"/>
      <c r="N43" s="836" t="s">
        <v>147</v>
      </c>
      <c r="O43" s="684" t="s">
        <v>163</v>
      </c>
      <c r="P43" s="684"/>
      <c r="Q43" s="684"/>
      <c r="R43" s="684"/>
      <c r="S43" s="684"/>
      <c r="T43" s="836" t="s">
        <v>212</v>
      </c>
      <c r="U43" s="835">
        <v>5</v>
      </c>
      <c r="V43" s="684"/>
      <c r="W43" s="684"/>
      <c r="X43" s="684"/>
      <c r="Y43" s="684"/>
      <c r="Z43"/>
      <c r="AA43"/>
    </row>
    <row r="44" spans="5:27" x14ac:dyDescent="0.25">
      <c r="E44" s="684"/>
      <c r="F44" s="684"/>
      <c r="H44" s="684"/>
      <c r="I44" s="684"/>
      <c r="K44"/>
      <c r="L44"/>
      <c r="M44" s="684"/>
      <c r="N44" s="684"/>
      <c r="O44" s="684" t="s">
        <v>148</v>
      </c>
      <c r="P44" s="684"/>
      <c r="Q44" s="684" t="s">
        <v>3768</v>
      </c>
      <c r="R44" s="684"/>
      <c r="S44" s="684"/>
      <c r="T44" s="836" t="s">
        <v>3730</v>
      </c>
      <c r="U44" s="835"/>
      <c r="V44" s="684"/>
      <c r="W44" s="684"/>
      <c r="X44" s="684"/>
      <c r="Y44" s="684"/>
      <c r="Z44"/>
      <c r="AA44"/>
    </row>
    <row r="45" spans="5:27" x14ac:dyDescent="0.25">
      <c r="E45" s="684"/>
      <c r="F45" s="684"/>
      <c r="H45" s="684"/>
      <c r="I45" s="684"/>
      <c r="K45"/>
      <c r="L45"/>
      <c r="M45" s="684"/>
      <c r="N45" s="684"/>
      <c r="O45" s="684"/>
      <c r="P45" s="684"/>
      <c r="Q45" s="684" t="s">
        <v>2475</v>
      </c>
      <c r="R45" s="684"/>
      <c r="S45" s="684"/>
      <c r="T45" s="836" t="s">
        <v>3715</v>
      </c>
      <c r="U45" s="835">
        <v>427</v>
      </c>
      <c r="V45" s="684"/>
      <c r="W45" s="684"/>
      <c r="X45" s="684"/>
      <c r="Y45" s="684"/>
      <c r="Z45" s="684"/>
      <c r="AA45" s="684"/>
    </row>
    <row r="46" spans="5:27" x14ac:dyDescent="0.25">
      <c r="E46" s="684"/>
      <c r="F46" s="684"/>
      <c r="H46" s="684"/>
      <c r="I46" s="684"/>
      <c r="K46"/>
      <c r="L46"/>
      <c r="M46" s="684"/>
      <c r="N46" s="684"/>
      <c r="O46" s="684"/>
      <c r="P46" s="684"/>
      <c r="Q46" s="684" t="s">
        <v>439</v>
      </c>
      <c r="R46" s="684"/>
      <c r="S46" s="684"/>
      <c r="T46" s="684"/>
      <c r="U46" s="684"/>
      <c r="V46" s="684"/>
      <c r="W46" s="684"/>
      <c r="X46" s="684"/>
      <c r="Y46" s="684"/>
      <c r="Z46" s="684"/>
      <c r="AA46" s="684"/>
    </row>
    <row r="47" spans="5:27" x14ac:dyDescent="0.25">
      <c r="E47" s="684"/>
      <c r="F47" s="684"/>
      <c r="H47" s="684"/>
      <c r="I47" s="684"/>
      <c r="K47"/>
      <c r="L47"/>
      <c r="M47" s="684"/>
      <c r="N47" s="684" t="s">
        <v>139</v>
      </c>
      <c r="O47" s="684"/>
      <c r="P47" s="684"/>
      <c r="Q47" s="684" t="s">
        <v>341</v>
      </c>
      <c r="R47" s="684"/>
      <c r="S47" s="684"/>
      <c r="T47" s="684"/>
      <c r="U47" s="684"/>
      <c r="V47" s="684"/>
      <c r="W47" s="684"/>
      <c r="X47" s="684"/>
      <c r="Y47" s="684"/>
      <c r="Z47" s="684"/>
      <c r="AA47" s="684"/>
    </row>
    <row r="48" spans="5:27" x14ac:dyDescent="0.25">
      <c r="E48" s="684"/>
      <c r="F48" s="684"/>
      <c r="H48" s="684"/>
      <c r="I48" s="684"/>
      <c r="K48"/>
      <c r="L48"/>
      <c r="M48" s="684"/>
      <c r="N48" s="684" t="s">
        <v>151</v>
      </c>
      <c r="O48" s="684"/>
      <c r="P48" s="684"/>
      <c r="Q48" s="684"/>
      <c r="R48" s="684"/>
      <c r="S48" s="684"/>
      <c r="T48" s="684"/>
      <c r="U48" s="684"/>
      <c r="V48" s="684"/>
      <c r="W48" s="684"/>
      <c r="X48" s="684"/>
      <c r="Y48" s="684"/>
      <c r="Z48" s="684"/>
      <c r="AA48" s="684"/>
    </row>
    <row r="49" spans="5:27" x14ac:dyDescent="0.25">
      <c r="E49" s="684"/>
      <c r="F49" s="684"/>
      <c r="H49" s="684"/>
      <c r="I49" s="684"/>
      <c r="K49"/>
      <c r="L49"/>
      <c r="M49" s="684"/>
      <c r="N49" s="684" t="s">
        <v>242</v>
      </c>
      <c r="O49" s="684"/>
      <c r="P49" s="684"/>
      <c r="Q49" s="684" t="s">
        <v>28</v>
      </c>
      <c r="R49" s="684"/>
      <c r="S49" s="684"/>
      <c r="T49" s="684"/>
      <c r="U49" s="684"/>
      <c r="V49" s="684"/>
      <c r="W49" s="684"/>
      <c r="X49" s="684"/>
      <c r="Y49" s="684"/>
      <c r="Z49" s="684"/>
      <c r="AA49" s="684"/>
    </row>
    <row r="50" spans="5:27" x14ac:dyDescent="0.25">
      <c r="E50" s="684"/>
      <c r="F50" s="684"/>
      <c r="K50"/>
      <c r="L50"/>
      <c r="M50" s="684"/>
      <c r="N50" s="684" t="s">
        <v>243</v>
      </c>
      <c r="O50" s="684"/>
      <c r="P50" s="684"/>
      <c r="Q50" s="684" t="s">
        <v>3769</v>
      </c>
      <c r="R50" s="684"/>
      <c r="S50" s="684"/>
      <c r="T50" s="684"/>
      <c r="U50" s="684"/>
      <c r="V50" s="684"/>
      <c r="W50" s="684"/>
      <c r="X50" s="684"/>
      <c r="Y50" s="684"/>
      <c r="Z50" s="684"/>
      <c r="AA50" s="684"/>
    </row>
    <row r="51" spans="5:27" x14ac:dyDescent="0.25">
      <c r="E51" s="684"/>
      <c r="F51" s="684"/>
      <c r="K51"/>
      <c r="L51"/>
      <c r="M51" s="684"/>
      <c r="N51" s="684" t="s">
        <v>248</v>
      </c>
      <c r="O51" s="684"/>
      <c r="P51" s="684"/>
      <c r="Q51" s="684"/>
      <c r="R51" s="684"/>
      <c r="S51" s="684"/>
      <c r="T51" s="684"/>
      <c r="U51" s="684"/>
      <c r="V51" s="684"/>
      <c r="W51" s="684"/>
      <c r="X51" s="684"/>
      <c r="Y51" s="684"/>
      <c r="Z51" s="684"/>
      <c r="AA51" s="684"/>
    </row>
    <row r="52" spans="5:27" x14ac:dyDescent="0.25">
      <c r="E52" s="684"/>
      <c r="F52" s="684"/>
      <c r="K52"/>
      <c r="L52"/>
      <c r="M52" s="684"/>
      <c r="N52" s="684"/>
      <c r="O52" s="684"/>
      <c r="P52" s="684"/>
      <c r="Q52" s="684"/>
      <c r="R52" s="684"/>
      <c r="S52" s="684"/>
      <c r="T52" s="684"/>
      <c r="U52" s="684"/>
      <c r="V52" s="684"/>
      <c r="W52" s="684"/>
      <c r="X52" s="684"/>
      <c r="Y52" s="684"/>
      <c r="Z52" s="684"/>
      <c r="AA52" s="684"/>
    </row>
    <row r="53" spans="5:27" x14ac:dyDescent="0.25">
      <c r="E53" s="684"/>
      <c r="F53" s="684"/>
      <c r="K53"/>
      <c r="L53"/>
      <c r="M53" s="684"/>
      <c r="N53" s="684"/>
      <c r="O53" s="684"/>
      <c r="P53" s="684"/>
      <c r="Q53" s="684"/>
      <c r="R53" s="684"/>
      <c r="S53" s="684"/>
      <c r="T53" s="684"/>
      <c r="U53" s="684"/>
      <c r="V53" s="684"/>
      <c r="W53" s="684"/>
      <c r="X53" s="684"/>
      <c r="Y53" s="684"/>
      <c r="Z53" s="684"/>
      <c r="AA53" s="684"/>
    </row>
    <row r="54" spans="5:27" x14ac:dyDescent="0.25">
      <c r="E54" s="684"/>
      <c r="F54" s="684"/>
      <c r="K54"/>
      <c r="L54"/>
      <c r="M54" s="684"/>
      <c r="N54" s="684"/>
      <c r="O54" s="684"/>
      <c r="P54" s="684"/>
      <c r="Q54" s="684"/>
      <c r="R54" s="684"/>
      <c r="S54" s="684"/>
      <c r="T54" s="684"/>
      <c r="U54" s="684"/>
      <c r="V54" s="684"/>
      <c r="W54" s="684"/>
      <c r="X54" s="684"/>
      <c r="Y54" s="684"/>
      <c r="Z54" s="684"/>
      <c r="AA54" s="684"/>
    </row>
    <row r="55" spans="5:27" x14ac:dyDescent="0.25">
      <c r="E55" s="684"/>
      <c r="F55" s="684"/>
      <c r="K55"/>
      <c r="L55"/>
      <c r="M55" s="684"/>
      <c r="N55" s="684"/>
      <c r="O55" s="684"/>
      <c r="P55" s="684"/>
      <c r="Q55" s="684"/>
      <c r="R55" s="684"/>
      <c r="S55" s="684"/>
      <c r="T55" s="684"/>
      <c r="U55" s="684"/>
      <c r="V55" s="684"/>
      <c r="W55" s="684"/>
      <c r="X55" s="684"/>
      <c r="Y55" s="684"/>
      <c r="Z55" s="684"/>
      <c r="AA55" s="684"/>
    </row>
    <row r="56" spans="5:27" x14ac:dyDescent="0.25">
      <c r="E56" s="684"/>
      <c r="F56" s="684"/>
      <c r="K56"/>
      <c r="L56"/>
      <c r="M56" s="684"/>
      <c r="N56" s="684"/>
      <c r="O56" s="684"/>
      <c r="P56" s="684"/>
      <c r="Q56" s="684"/>
      <c r="R56" s="684"/>
      <c r="S56" s="684"/>
      <c r="T56" s="684"/>
      <c r="U56" s="684"/>
      <c r="V56" s="684"/>
      <c r="W56" s="684"/>
      <c r="X56" s="684"/>
      <c r="Y56" s="684"/>
      <c r="Z56" s="684"/>
      <c r="AA56" s="684"/>
    </row>
    <row r="57" spans="5:27" x14ac:dyDescent="0.25">
      <c r="E57" s="684"/>
      <c r="F57" s="684"/>
      <c r="K57"/>
      <c r="L57"/>
      <c r="M57" s="684"/>
      <c r="N57" s="684"/>
      <c r="O57" s="684"/>
      <c r="P57" s="684"/>
      <c r="Q57" s="684"/>
      <c r="R57" s="684"/>
      <c r="S57" s="684"/>
      <c r="T57" s="684"/>
      <c r="U57" s="684"/>
      <c r="V57" s="684"/>
      <c r="W57" s="684"/>
      <c r="X57" s="684"/>
      <c r="Y57" s="684"/>
      <c r="Z57" s="684"/>
      <c r="AA57" s="684"/>
    </row>
    <row r="58" spans="5:27" x14ac:dyDescent="0.25">
      <c r="E58" s="684"/>
      <c r="F58" s="684"/>
      <c r="K58"/>
      <c r="L58"/>
      <c r="M58" s="684"/>
      <c r="N58" s="684"/>
      <c r="O58" s="684"/>
      <c r="P58" s="684"/>
      <c r="Q58" s="684"/>
      <c r="R58" s="684"/>
      <c r="S58" s="684"/>
      <c r="T58" s="684"/>
      <c r="U58" s="684"/>
      <c r="V58" s="684"/>
      <c r="W58" s="684"/>
      <c r="X58" s="684"/>
      <c r="Y58" s="684"/>
      <c r="Z58" s="684"/>
      <c r="AA58" s="684"/>
    </row>
    <row r="59" spans="5:27" x14ac:dyDescent="0.25">
      <c r="E59" s="684"/>
      <c r="F59" s="684"/>
      <c r="K59"/>
      <c r="L59"/>
      <c r="M59" s="684"/>
      <c r="N59" s="684"/>
      <c r="O59" s="684"/>
      <c r="P59" s="684"/>
      <c r="Q59" s="684"/>
      <c r="R59" s="684"/>
      <c r="S59" s="684"/>
      <c r="T59" s="684"/>
      <c r="U59" s="684"/>
      <c r="V59" s="684"/>
      <c r="W59" s="684"/>
      <c r="X59" s="684"/>
      <c r="Y59" s="684"/>
      <c r="Z59" s="684"/>
      <c r="AA59" s="684"/>
    </row>
    <row r="60" spans="5:27" x14ac:dyDescent="0.25">
      <c r="E60" s="684"/>
      <c r="F60" s="684"/>
      <c r="K60"/>
      <c r="L60"/>
      <c r="M60" s="684"/>
      <c r="N60" s="684"/>
      <c r="O60" s="684"/>
      <c r="P60" s="684"/>
      <c r="Q60" s="684"/>
      <c r="R60" s="684"/>
      <c r="S60" s="684"/>
      <c r="T60" s="684"/>
      <c r="U60" s="684"/>
      <c r="V60" s="684"/>
      <c r="W60" s="684"/>
      <c r="X60" s="684"/>
      <c r="Y60" s="684"/>
      <c r="Z60" s="684"/>
      <c r="AA60" s="684"/>
    </row>
    <row r="61" spans="5:27" x14ac:dyDescent="0.25">
      <c r="E61" s="684"/>
      <c r="F61" s="684"/>
      <c r="K61"/>
      <c r="L61"/>
      <c r="M61" s="684"/>
      <c r="N61" s="684"/>
      <c r="O61" s="684"/>
      <c r="P61" s="684"/>
      <c r="Q61" s="684"/>
      <c r="R61" s="684"/>
      <c r="S61" s="684"/>
      <c r="T61" s="684"/>
      <c r="U61" s="684"/>
      <c r="V61" s="684"/>
      <c r="W61" s="684"/>
      <c r="X61" s="684"/>
      <c r="Y61" s="684"/>
      <c r="Z61" s="684"/>
      <c r="AA61" s="684"/>
    </row>
    <row r="62" spans="5:27" x14ac:dyDescent="0.25">
      <c r="E62" s="684"/>
      <c r="F62" s="684"/>
      <c r="K62"/>
      <c r="L62"/>
      <c r="M62" s="684"/>
      <c r="N62" s="684"/>
      <c r="O62" s="684"/>
      <c r="P62" s="684"/>
      <c r="Q62" s="684"/>
      <c r="R62" s="684"/>
      <c r="S62" s="684"/>
      <c r="T62" s="684"/>
      <c r="U62" s="684"/>
      <c r="V62" s="684"/>
      <c r="W62" s="684"/>
      <c r="X62" s="684"/>
      <c r="Y62" s="684"/>
      <c r="Z62" s="684"/>
      <c r="AA62" s="684"/>
    </row>
    <row r="63" spans="5:27" x14ac:dyDescent="0.25">
      <c r="E63" s="684"/>
      <c r="F63" s="684"/>
      <c r="K63"/>
      <c r="L63"/>
      <c r="M63" s="684"/>
      <c r="N63" s="684"/>
      <c r="O63" s="684"/>
      <c r="P63" s="684"/>
      <c r="Q63" s="684"/>
      <c r="R63" s="684"/>
      <c r="S63" s="684"/>
      <c r="T63" s="684"/>
      <c r="U63" s="684"/>
      <c r="V63" s="684"/>
      <c r="W63" s="684"/>
      <c r="X63" s="684"/>
      <c r="Y63" s="684"/>
      <c r="Z63" s="684"/>
      <c r="AA63" s="684"/>
    </row>
    <row r="64" spans="5:27" x14ac:dyDescent="0.25">
      <c r="E64" s="684"/>
      <c r="F64" s="684"/>
      <c r="K64"/>
      <c r="L64"/>
      <c r="M64" s="684"/>
      <c r="N64" s="684"/>
      <c r="O64" s="684"/>
      <c r="P64" s="684"/>
      <c r="Q64" s="684"/>
      <c r="R64" s="684"/>
      <c r="S64" s="684"/>
      <c r="T64" s="684"/>
      <c r="U64" s="684"/>
      <c r="V64" s="684"/>
      <c r="W64" s="684"/>
      <c r="X64" s="684"/>
      <c r="Y64" s="684"/>
      <c r="Z64" s="684"/>
      <c r="AA64" s="684"/>
    </row>
    <row r="65" spans="5:27" x14ac:dyDescent="0.25">
      <c r="E65" s="684"/>
      <c r="F65" s="684"/>
      <c r="K65"/>
      <c r="L65"/>
      <c r="M65" s="684"/>
      <c r="N65" s="684"/>
      <c r="O65" s="684"/>
      <c r="P65" s="684"/>
      <c r="Q65" s="684"/>
      <c r="R65" s="684"/>
      <c r="S65" s="684"/>
      <c r="T65" s="684"/>
      <c r="U65" s="684"/>
      <c r="V65" s="684"/>
      <c r="W65" s="684"/>
      <c r="X65" s="684"/>
      <c r="Y65" s="684"/>
      <c r="Z65" s="684"/>
      <c r="AA65" s="684"/>
    </row>
    <row r="66" spans="5:27" x14ac:dyDescent="0.25">
      <c r="E66" s="684"/>
      <c r="F66" s="684"/>
      <c r="K66"/>
      <c r="L66"/>
      <c r="M66" s="684"/>
      <c r="N66" s="684"/>
      <c r="O66" s="684"/>
      <c r="P66" s="684"/>
      <c r="Q66" s="684"/>
      <c r="R66" s="684"/>
      <c r="S66" s="684"/>
      <c r="T66" s="684"/>
      <c r="U66" s="684"/>
      <c r="V66" s="684"/>
      <c r="W66" s="684"/>
      <c r="X66" s="684"/>
      <c r="Y66" s="684"/>
      <c r="Z66" s="684"/>
      <c r="AA66" s="684"/>
    </row>
    <row r="67" spans="5:27" x14ac:dyDescent="0.25">
      <c r="E67" s="684"/>
      <c r="F67" s="684"/>
      <c r="K67"/>
      <c r="L67"/>
      <c r="M67" s="684"/>
      <c r="N67" s="684"/>
      <c r="O67" s="684"/>
      <c r="P67" s="684"/>
      <c r="Q67" s="684"/>
      <c r="R67" s="684"/>
      <c r="S67" s="684"/>
      <c r="T67" s="684"/>
      <c r="U67" s="684"/>
      <c r="V67" s="684"/>
      <c r="W67" s="684"/>
      <c r="X67" s="684"/>
      <c r="Y67" s="684"/>
      <c r="Z67" s="684"/>
      <c r="AA67" s="684"/>
    </row>
    <row r="68" spans="5:27" x14ac:dyDescent="0.25">
      <c r="E68" s="684"/>
      <c r="F68" s="684"/>
      <c r="K68"/>
      <c r="L68"/>
      <c r="M68" s="684"/>
      <c r="N68" s="684"/>
      <c r="O68" s="684"/>
      <c r="P68" s="684"/>
      <c r="Q68" s="684"/>
      <c r="R68" s="684"/>
      <c r="S68" s="684"/>
      <c r="T68" s="684"/>
      <c r="U68" s="684"/>
      <c r="V68" s="684"/>
      <c r="W68" s="684"/>
      <c r="X68" s="684"/>
      <c r="Y68" s="684"/>
      <c r="Z68" s="684"/>
      <c r="AA68" s="684"/>
    </row>
    <row r="69" spans="5:27" x14ac:dyDescent="0.25">
      <c r="E69" s="684"/>
      <c r="F69" s="684"/>
      <c r="K69"/>
      <c r="L69"/>
      <c r="M69" s="684"/>
      <c r="N69" s="684"/>
      <c r="O69" s="684"/>
      <c r="P69" s="684"/>
      <c r="Q69" s="684"/>
      <c r="R69" s="684"/>
      <c r="S69" s="684"/>
      <c r="T69" s="684"/>
      <c r="U69" s="684"/>
      <c r="V69" s="684"/>
      <c r="W69" s="684"/>
      <c r="X69" s="684"/>
      <c r="Y69" s="684"/>
      <c r="Z69" s="684"/>
      <c r="AA69" s="684"/>
    </row>
    <row r="70" spans="5:27" x14ac:dyDescent="0.25">
      <c r="E70" s="684"/>
      <c r="F70" s="684"/>
      <c r="K70"/>
      <c r="L70"/>
      <c r="M70" s="684"/>
      <c r="N70" s="684"/>
      <c r="O70" s="684"/>
      <c r="P70" s="684"/>
      <c r="Q70" s="684"/>
      <c r="R70" s="684"/>
      <c r="S70" s="684"/>
      <c r="T70" s="684"/>
      <c r="U70" s="684"/>
      <c r="V70" s="684"/>
      <c r="W70" s="684"/>
      <c r="X70" s="684"/>
      <c r="Y70" s="684"/>
      <c r="Z70" s="684"/>
      <c r="AA70" s="684"/>
    </row>
    <row r="71" spans="5:27" x14ac:dyDescent="0.25">
      <c r="E71" s="684"/>
      <c r="F71" s="684"/>
      <c r="K71"/>
      <c r="L71"/>
      <c r="M71" s="684"/>
      <c r="N71" s="684"/>
      <c r="O71" s="684"/>
      <c r="P71" s="684"/>
      <c r="Q71" s="684"/>
      <c r="R71" s="684"/>
      <c r="S71" s="684"/>
      <c r="T71" s="684"/>
      <c r="U71" s="684"/>
      <c r="V71" s="684"/>
      <c r="W71" s="684"/>
      <c r="X71" s="684"/>
      <c r="Y71" s="684"/>
      <c r="Z71" s="684"/>
      <c r="AA71" s="684"/>
    </row>
    <row r="72" spans="5:27" x14ac:dyDescent="0.25">
      <c r="E72" s="684"/>
      <c r="F72" s="684"/>
      <c r="K72"/>
      <c r="L72"/>
      <c r="M72" s="684"/>
      <c r="N72" s="684"/>
      <c r="O72" s="684"/>
      <c r="P72" s="684"/>
      <c r="Q72" s="684"/>
      <c r="R72" s="684"/>
      <c r="S72" s="684"/>
      <c r="T72" s="684"/>
      <c r="U72" s="684"/>
      <c r="V72" s="684"/>
      <c r="W72" s="684"/>
      <c r="X72" s="684"/>
      <c r="Y72" s="684"/>
      <c r="Z72" s="684"/>
      <c r="AA72" s="684"/>
    </row>
    <row r="73" spans="5:27" x14ac:dyDescent="0.25">
      <c r="E73" s="684"/>
      <c r="F73" s="684"/>
      <c r="K73"/>
      <c r="L73"/>
      <c r="M73" s="684"/>
      <c r="N73" s="684"/>
      <c r="O73" s="684"/>
      <c r="P73" s="684"/>
      <c r="Q73" s="684"/>
      <c r="R73" s="684"/>
      <c r="S73" s="684"/>
      <c r="T73" s="684"/>
      <c r="U73" s="684"/>
      <c r="V73" s="684"/>
      <c r="W73" s="684"/>
      <c r="X73" s="684"/>
      <c r="Y73" s="684"/>
      <c r="Z73" s="684"/>
      <c r="AA73" s="684"/>
    </row>
    <row r="74" spans="5:27" x14ac:dyDescent="0.25">
      <c r="E74" s="684"/>
      <c r="F74" s="684"/>
      <c r="K74"/>
      <c r="L74"/>
      <c r="M74" s="684"/>
      <c r="N74" s="684"/>
      <c r="O74" s="684"/>
      <c r="P74" s="684"/>
      <c r="Q74" s="684"/>
      <c r="R74" s="684"/>
      <c r="S74" s="684"/>
      <c r="T74" s="684"/>
      <c r="U74" s="684"/>
      <c r="V74" s="684"/>
      <c r="W74" s="684"/>
      <c r="X74" s="684"/>
      <c r="Y74" s="684"/>
      <c r="Z74" s="684"/>
      <c r="AA74" s="684"/>
    </row>
    <row r="75" spans="5:27" x14ac:dyDescent="0.25">
      <c r="E75" s="684"/>
      <c r="F75" s="684"/>
      <c r="K75"/>
      <c r="L75"/>
      <c r="M75" s="684"/>
      <c r="N75" s="684"/>
      <c r="O75" s="684"/>
      <c r="P75" s="684"/>
      <c r="Q75" s="684"/>
      <c r="R75" s="684"/>
      <c r="S75" s="684"/>
      <c r="T75" s="684"/>
      <c r="U75" s="684"/>
      <c r="V75" s="684"/>
      <c r="W75" s="684"/>
      <c r="X75" s="684"/>
      <c r="Y75" s="684"/>
      <c r="Z75" s="684"/>
      <c r="AA75" s="684"/>
    </row>
    <row r="76" spans="5:27" x14ac:dyDescent="0.25">
      <c r="E76" s="684"/>
      <c r="F76" s="684"/>
      <c r="K76"/>
      <c r="L76"/>
      <c r="M76" s="684"/>
      <c r="N76" s="684"/>
      <c r="O76" s="684"/>
      <c r="P76" s="684"/>
      <c r="Q76" s="684"/>
      <c r="R76" s="684"/>
      <c r="S76" s="684"/>
      <c r="T76" s="684"/>
      <c r="U76" s="684"/>
      <c r="V76" s="684"/>
      <c r="W76" s="684"/>
      <c r="X76" s="684"/>
      <c r="Y76" s="684"/>
      <c r="Z76" s="684"/>
      <c r="AA76" s="684"/>
    </row>
    <row r="77" spans="5:27" x14ac:dyDescent="0.25">
      <c r="E77" s="684"/>
      <c r="F77" s="684"/>
      <c r="K77"/>
      <c r="L77"/>
      <c r="M77" s="684"/>
      <c r="N77" s="684"/>
      <c r="O77" s="684"/>
      <c r="P77" s="684"/>
      <c r="Q77" s="684"/>
      <c r="R77" s="684"/>
      <c r="S77" s="684"/>
      <c r="T77" s="684"/>
      <c r="U77" s="684"/>
      <c r="V77" s="684"/>
      <c r="W77" s="684"/>
      <c r="X77" s="684"/>
      <c r="Y77" s="684"/>
      <c r="Z77" s="684"/>
      <c r="AA77" s="684"/>
    </row>
    <row r="78" spans="5:27" x14ac:dyDescent="0.25">
      <c r="E78" s="684"/>
      <c r="F78" s="684"/>
      <c r="K78"/>
      <c r="L78"/>
      <c r="M78" s="684"/>
      <c r="N78" s="684"/>
      <c r="O78" s="684"/>
      <c r="P78" s="684"/>
      <c r="Q78" s="684"/>
      <c r="R78" s="684"/>
      <c r="S78" s="684"/>
      <c r="T78" s="684"/>
      <c r="U78" s="684"/>
      <c r="V78" s="684"/>
      <c r="W78" s="684"/>
      <c r="X78" s="684"/>
      <c r="Y78" s="684"/>
      <c r="Z78" s="684"/>
      <c r="AA78" s="684"/>
    </row>
    <row r="79" spans="5:27" x14ac:dyDescent="0.25">
      <c r="E79" s="684"/>
      <c r="F79" s="684"/>
      <c r="K79"/>
      <c r="L79"/>
      <c r="M79" s="684"/>
      <c r="N79" s="684"/>
      <c r="O79" s="684"/>
      <c r="P79" s="684"/>
      <c r="Q79" s="684"/>
      <c r="R79" s="684"/>
      <c r="S79" s="684"/>
      <c r="T79" s="684"/>
      <c r="U79" s="684"/>
      <c r="V79" s="684"/>
      <c r="W79" s="684"/>
      <c r="X79" s="684"/>
      <c r="Y79" s="684"/>
      <c r="Z79" s="684"/>
      <c r="AA79" s="684"/>
    </row>
    <row r="80" spans="5:27" x14ac:dyDescent="0.25">
      <c r="E80" s="684"/>
      <c r="F80" s="684"/>
      <c r="K80"/>
      <c r="L80"/>
      <c r="M80" s="684"/>
      <c r="N80" s="684"/>
      <c r="O80" s="684"/>
      <c r="P80" s="684"/>
      <c r="Q80" s="684"/>
      <c r="R80" s="684"/>
      <c r="S80" s="684"/>
      <c r="T80" s="684"/>
      <c r="U80" s="684"/>
      <c r="V80" s="684"/>
      <c r="W80" s="684"/>
      <c r="X80" s="684"/>
      <c r="Y80" s="684"/>
      <c r="Z80" s="684"/>
      <c r="AA80" s="684"/>
    </row>
    <row r="81" spans="5:27" x14ac:dyDescent="0.25">
      <c r="E81" s="684"/>
      <c r="F81" s="684"/>
      <c r="K81"/>
      <c r="L81"/>
      <c r="M81" s="684"/>
      <c r="N81" s="684"/>
      <c r="O81" s="684"/>
      <c r="P81" s="684"/>
      <c r="Q81" s="684"/>
      <c r="R81" s="684"/>
      <c r="S81" s="684"/>
      <c r="T81" s="684"/>
      <c r="U81" s="684"/>
      <c r="V81" s="684"/>
      <c r="W81" s="684"/>
      <c r="X81" s="684"/>
      <c r="Y81" s="684"/>
      <c r="Z81" s="684"/>
      <c r="AA81" s="684"/>
    </row>
    <row r="82" spans="5:27" x14ac:dyDescent="0.25">
      <c r="E82" s="684"/>
      <c r="F82" s="684"/>
      <c r="K82"/>
      <c r="L82"/>
      <c r="M82" s="684"/>
      <c r="N82" s="684"/>
      <c r="O82" s="684"/>
      <c r="P82" s="684"/>
      <c r="Q82" s="684"/>
      <c r="R82" s="684"/>
      <c r="S82" s="684"/>
      <c r="T82" s="684"/>
      <c r="U82" s="684"/>
      <c r="V82" s="684"/>
      <c r="W82" s="684"/>
      <c r="X82" s="684"/>
      <c r="Y82" s="684"/>
      <c r="Z82" s="684"/>
      <c r="AA82" s="684"/>
    </row>
    <row r="83" spans="5:27" x14ac:dyDescent="0.25">
      <c r="E83" s="684"/>
      <c r="F83" s="684"/>
      <c r="K83"/>
      <c r="L83"/>
      <c r="M83" s="684"/>
      <c r="N83" s="684"/>
      <c r="O83" s="684"/>
      <c r="P83" s="684"/>
      <c r="Q83" s="684"/>
      <c r="R83" s="684"/>
      <c r="S83" s="684"/>
      <c r="T83" s="684"/>
      <c r="U83" s="684"/>
      <c r="V83" s="684"/>
      <c r="W83" s="684"/>
      <c r="X83" s="684"/>
      <c r="Y83" s="684"/>
      <c r="Z83" s="684"/>
      <c r="AA83" s="684"/>
    </row>
    <row r="84" spans="5:27" x14ac:dyDescent="0.25">
      <c r="E84" s="684"/>
      <c r="F84" s="684"/>
      <c r="K84"/>
      <c r="L84"/>
      <c r="M84" s="684"/>
      <c r="N84" s="684"/>
      <c r="O84" s="684"/>
      <c r="P84" s="684"/>
      <c r="Q84" s="684"/>
      <c r="R84" s="684"/>
      <c r="S84" s="684"/>
      <c r="T84" s="684"/>
      <c r="U84" s="684"/>
      <c r="V84" s="684"/>
      <c r="W84" s="684"/>
      <c r="X84" s="684"/>
      <c r="Y84" s="684"/>
      <c r="Z84" s="684"/>
      <c r="AA84" s="684"/>
    </row>
    <row r="85" spans="5:27" x14ac:dyDescent="0.25">
      <c r="E85" s="684"/>
      <c r="F85" s="684"/>
      <c r="K85"/>
      <c r="L85"/>
      <c r="M85" s="684"/>
      <c r="N85" s="684"/>
      <c r="O85" s="684"/>
      <c r="P85" s="684"/>
      <c r="Q85" s="684"/>
      <c r="R85" s="684"/>
      <c r="S85" s="684"/>
      <c r="T85" s="684"/>
      <c r="U85" s="684"/>
      <c r="V85" s="684"/>
      <c r="W85" s="684"/>
      <c r="X85" s="684"/>
      <c r="Y85" s="684"/>
      <c r="Z85" s="684"/>
      <c r="AA85" s="684"/>
    </row>
    <row r="86" spans="5:27" x14ac:dyDescent="0.25">
      <c r="E86" s="684"/>
      <c r="F86" s="684"/>
      <c r="K86"/>
      <c r="L86"/>
      <c r="M86" s="684"/>
      <c r="N86" s="684"/>
      <c r="O86" s="684"/>
      <c r="P86" s="684"/>
      <c r="Q86" s="684"/>
      <c r="R86" s="684"/>
      <c r="S86" s="684"/>
      <c r="T86" s="684"/>
      <c r="U86" s="684"/>
      <c r="V86" s="684"/>
      <c r="W86" s="684"/>
      <c r="X86" s="684"/>
      <c r="Y86" s="684"/>
      <c r="Z86" s="684"/>
      <c r="AA86" s="684"/>
    </row>
    <row r="87" spans="5:27" x14ac:dyDescent="0.25">
      <c r="E87" s="684"/>
      <c r="F87" s="684"/>
      <c r="K87"/>
      <c r="L87"/>
      <c r="M87" s="684"/>
      <c r="N87" s="684"/>
      <c r="O87" s="684"/>
      <c r="P87" s="684"/>
      <c r="Q87" s="684"/>
      <c r="R87" s="684"/>
      <c r="S87" s="684"/>
      <c r="T87" s="684"/>
      <c r="U87" s="684"/>
      <c r="V87" s="684"/>
      <c r="W87" s="684"/>
      <c r="X87" s="684"/>
      <c r="Y87" s="684"/>
      <c r="Z87" s="684"/>
      <c r="AA87" s="684"/>
    </row>
    <row r="88" spans="5:27" x14ac:dyDescent="0.25">
      <c r="E88" s="684"/>
      <c r="F88" s="684"/>
      <c r="K88"/>
      <c r="L88"/>
      <c r="M88" s="684"/>
      <c r="N88" s="684"/>
      <c r="O88" s="684"/>
      <c r="P88" s="684"/>
      <c r="Q88" s="684"/>
      <c r="R88" s="684"/>
      <c r="S88" s="684"/>
      <c r="T88" s="684"/>
      <c r="U88" s="684"/>
      <c r="V88" s="684"/>
      <c r="W88" s="684"/>
      <c r="X88" s="684"/>
      <c r="Y88" s="684"/>
      <c r="Z88" s="684"/>
      <c r="AA88" s="684"/>
    </row>
    <row r="89" spans="5:27" x14ac:dyDescent="0.25">
      <c r="E89" s="684"/>
      <c r="F89" s="684"/>
      <c r="K89"/>
      <c r="L89"/>
      <c r="M89" s="684"/>
      <c r="N89" s="684"/>
      <c r="O89" s="684"/>
      <c r="P89" s="684"/>
      <c r="Q89" s="684"/>
      <c r="R89" s="684"/>
      <c r="S89" s="684"/>
      <c r="T89" s="684"/>
      <c r="U89" s="684"/>
      <c r="V89" s="684"/>
      <c r="W89" s="684"/>
      <c r="X89" s="684"/>
      <c r="Y89" s="684"/>
      <c r="Z89" s="684"/>
      <c r="AA89" s="684"/>
    </row>
    <row r="90" spans="5:27" x14ac:dyDescent="0.25">
      <c r="E90" s="684"/>
      <c r="F90" s="684"/>
      <c r="K90"/>
      <c r="L90"/>
      <c r="M90" s="684"/>
      <c r="N90" s="684"/>
      <c r="O90" s="684"/>
      <c r="P90" s="684"/>
      <c r="Q90" s="684"/>
      <c r="R90" s="684"/>
      <c r="S90" s="684"/>
      <c r="T90" s="684"/>
      <c r="U90" s="684"/>
      <c r="V90" s="684"/>
      <c r="W90" s="684"/>
      <c r="X90" s="684"/>
      <c r="Y90" s="684"/>
      <c r="Z90" s="684"/>
      <c r="AA90" s="684"/>
    </row>
    <row r="91" spans="5:27" x14ac:dyDescent="0.25">
      <c r="E91" s="684"/>
      <c r="F91" s="684"/>
      <c r="K91"/>
      <c r="L91"/>
      <c r="M91" s="684"/>
      <c r="N91" s="684"/>
      <c r="O91" s="684"/>
      <c r="P91" s="684"/>
      <c r="Q91" s="684"/>
      <c r="R91" s="684"/>
      <c r="S91" s="684"/>
      <c r="T91" s="684"/>
      <c r="U91" s="684"/>
      <c r="V91" s="684"/>
      <c r="W91" s="684"/>
      <c r="X91" s="684"/>
      <c r="Y91" s="684"/>
      <c r="Z91" s="684"/>
      <c r="AA91" s="684"/>
    </row>
    <row r="92" spans="5:27" x14ac:dyDescent="0.25">
      <c r="E92" s="684"/>
      <c r="F92" s="684"/>
      <c r="K92"/>
      <c r="L92"/>
      <c r="M92" s="684"/>
      <c r="N92" s="684"/>
      <c r="O92" s="684"/>
      <c r="P92" s="684"/>
      <c r="Q92" s="684"/>
      <c r="R92" s="684"/>
      <c r="S92" s="684"/>
      <c r="T92" s="684"/>
      <c r="U92" s="684"/>
      <c r="V92" s="684"/>
      <c r="W92" s="684"/>
      <c r="X92" s="684"/>
      <c r="Y92" s="684"/>
      <c r="Z92" s="684"/>
      <c r="AA92" s="684"/>
    </row>
    <row r="93" spans="5:27" x14ac:dyDescent="0.25">
      <c r="E93" s="684"/>
      <c r="F93" s="684"/>
      <c r="K93"/>
      <c r="L93"/>
      <c r="M93" s="684"/>
      <c r="N93" s="684"/>
      <c r="O93" s="684"/>
      <c r="P93" s="684"/>
      <c r="Q93" s="684"/>
      <c r="R93" s="684"/>
      <c r="S93" s="684"/>
      <c r="T93" s="684"/>
      <c r="U93" s="684"/>
      <c r="V93" s="684"/>
      <c r="W93" s="684"/>
      <c r="X93" s="684"/>
      <c r="Y93" s="684"/>
      <c r="Z93" s="684"/>
      <c r="AA93" s="684"/>
    </row>
    <row r="94" spans="5:27" x14ac:dyDescent="0.25">
      <c r="E94" s="684"/>
      <c r="F94" s="684"/>
      <c r="K94"/>
      <c r="L94"/>
      <c r="M94" s="684"/>
      <c r="N94" s="684"/>
      <c r="O94" s="684"/>
      <c r="P94" s="684"/>
      <c r="Q94" s="684"/>
      <c r="R94" s="684"/>
      <c r="S94" s="684"/>
      <c r="T94" s="684"/>
      <c r="U94" s="684"/>
      <c r="V94" s="684"/>
      <c r="W94" s="684"/>
      <c r="X94" s="684"/>
      <c r="Y94" s="684"/>
      <c r="Z94" s="684"/>
      <c r="AA94" s="684"/>
    </row>
    <row r="95" spans="5:27" x14ac:dyDescent="0.25">
      <c r="E95" s="684"/>
      <c r="F95" s="684"/>
      <c r="K95"/>
      <c r="L95"/>
      <c r="M95" s="684"/>
      <c r="N95" s="684"/>
      <c r="O95" s="684"/>
      <c r="P95" s="684"/>
      <c r="Q95" s="684"/>
      <c r="R95" s="684"/>
      <c r="S95" s="684"/>
      <c r="T95" s="684"/>
      <c r="U95" s="684"/>
      <c r="V95" s="684"/>
      <c r="W95" s="684"/>
      <c r="X95" s="684"/>
      <c r="Y95" s="684"/>
      <c r="Z95" s="684"/>
      <c r="AA95" s="684"/>
    </row>
    <row r="96" spans="5:27" x14ac:dyDescent="0.25">
      <c r="E96" s="684"/>
      <c r="F96" s="684"/>
      <c r="K96"/>
      <c r="L96"/>
      <c r="M96" s="684"/>
      <c r="N96" s="684"/>
      <c r="O96" s="684"/>
      <c r="P96" s="684"/>
      <c r="Q96" s="684"/>
      <c r="R96" s="684"/>
      <c r="S96" s="684"/>
      <c r="T96" s="684"/>
      <c r="U96" s="684"/>
      <c r="V96" s="684"/>
      <c r="W96" s="684"/>
      <c r="X96" s="684"/>
      <c r="Y96" s="684"/>
      <c r="Z96" s="684"/>
      <c r="AA96" s="684"/>
    </row>
    <row r="97" spans="5:27" x14ac:dyDescent="0.25">
      <c r="E97" s="684"/>
      <c r="F97" s="684"/>
      <c r="K97"/>
      <c r="L97"/>
      <c r="M97" s="684"/>
      <c r="N97" s="684"/>
      <c r="O97" s="684"/>
      <c r="P97" s="684"/>
      <c r="Q97" s="684"/>
      <c r="R97" s="684"/>
      <c r="S97" s="684"/>
      <c r="T97" s="684"/>
      <c r="U97" s="684"/>
      <c r="V97" s="684"/>
      <c r="W97" s="684"/>
      <c r="X97" s="684"/>
      <c r="Y97" s="684"/>
      <c r="Z97" s="684"/>
      <c r="AA97" s="684"/>
    </row>
    <row r="98" spans="5:27" x14ac:dyDescent="0.25">
      <c r="E98" s="684"/>
      <c r="F98" s="684"/>
      <c r="K98"/>
      <c r="L98"/>
      <c r="M98" s="684"/>
      <c r="N98" s="684"/>
      <c r="O98" s="684"/>
      <c r="P98" s="684"/>
      <c r="Q98" s="684"/>
      <c r="R98" s="684"/>
      <c r="S98" s="684"/>
      <c r="T98" s="684"/>
      <c r="U98" s="684"/>
      <c r="V98" s="684"/>
      <c r="W98" s="684"/>
      <c r="X98" s="684"/>
      <c r="Y98" s="684"/>
      <c r="Z98" s="684"/>
      <c r="AA98" s="684"/>
    </row>
    <row r="99" spans="5:27" x14ac:dyDescent="0.25">
      <c r="E99" s="684"/>
      <c r="F99" s="684"/>
      <c r="K99"/>
      <c r="L99"/>
      <c r="M99" s="684"/>
      <c r="N99" s="684"/>
      <c r="O99" s="684"/>
      <c r="P99" s="684"/>
      <c r="Q99" s="684"/>
      <c r="R99" s="684"/>
      <c r="S99" s="684"/>
      <c r="T99" s="684"/>
      <c r="U99" s="684"/>
      <c r="V99" s="684"/>
      <c r="W99" s="684"/>
      <c r="X99" s="684"/>
      <c r="Y99" s="684"/>
      <c r="Z99" s="684"/>
      <c r="AA99" s="684"/>
    </row>
    <row r="100" spans="5:27" x14ac:dyDescent="0.25">
      <c r="E100" s="684"/>
      <c r="F100" s="684"/>
      <c r="K100"/>
      <c r="L100"/>
      <c r="M100" s="684"/>
      <c r="N100" s="684"/>
      <c r="O100" s="684"/>
      <c r="P100" s="684"/>
      <c r="Q100" s="684"/>
      <c r="R100" s="684"/>
      <c r="S100" s="684"/>
      <c r="T100" s="684"/>
      <c r="U100" s="684"/>
      <c r="V100" s="684"/>
      <c r="W100" s="684"/>
      <c r="X100" s="684"/>
      <c r="Y100" s="684"/>
      <c r="Z100" s="684"/>
      <c r="AA100" s="684"/>
    </row>
    <row r="101" spans="5:27" x14ac:dyDescent="0.25">
      <c r="E101" s="684"/>
      <c r="F101" s="684"/>
      <c r="K101"/>
      <c r="L101"/>
      <c r="M101" s="684"/>
      <c r="N101" s="684"/>
      <c r="O101" s="684"/>
      <c r="P101" s="684"/>
      <c r="Q101" s="684"/>
      <c r="R101" s="684"/>
      <c r="S101" s="684"/>
      <c r="T101" s="684"/>
      <c r="U101" s="684"/>
      <c r="V101" s="684"/>
      <c r="W101" s="684"/>
      <c r="X101" s="684"/>
      <c r="Y101" s="684"/>
      <c r="Z101" s="684"/>
      <c r="AA101" s="684"/>
    </row>
    <row r="102" spans="5:27" x14ac:dyDescent="0.25">
      <c r="E102" s="684"/>
      <c r="F102" s="684"/>
      <c r="K102"/>
      <c r="L102"/>
      <c r="M102" s="684"/>
      <c r="N102" s="684"/>
      <c r="O102" s="684"/>
      <c r="P102" s="684"/>
      <c r="Q102" s="684"/>
      <c r="R102" s="684"/>
      <c r="S102" s="684"/>
      <c r="T102" s="684"/>
      <c r="U102" s="684"/>
      <c r="V102" s="684"/>
      <c r="W102" s="684"/>
      <c r="X102" s="684"/>
      <c r="Y102" s="684"/>
      <c r="Z102" s="684"/>
      <c r="AA102" s="684"/>
    </row>
    <row r="103" spans="5:27" x14ac:dyDescent="0.25">
      <c r="E103" s="684"/>
      <c r="F103" s="684"/>
      <c r="K103"/>
      <c r="L103"/>
      <c r="M103" s="684"/>
      <c r="N103" s="684"/>
      <c r="O103" s="684"/>
      <c r="P103" s="684"/>
      <c r="Q103" s="684"/>
      <c r="R103" s="684"/>
      <c r="S103" s="684"/>
      <c r="T103" s="684"/>
      <c r="U103" s="684"/>
      <c r="V103" s="684"/>
      <c r="W103" s="684"/>
      <c r="X103" s="684"/>
      <c r="Y103" s="684"/>
      <c r="Z103" s="684"/>
      <c r="AA103" s="684"/>
    </row>
    <row r="104" spans="5:27" x14ac:dyDescent="0.25">
      <c r="E104" s="684"/>
      <c r="F104" s="684"/>
      <c r="K104"/>
      <c r="L104"/>
      <c r="M104" s="684"/>
      <c r="N104" s="684"/>
      <c r="O104" s="684"/>
      <c r="P104" s="684"/>
      <c r="Q104" s="684"/>
      <c r="R104" s="684"/>
      <c r="S104" s="684"/>
      <c r="T104" s="684"/>
      <c r="U104" s="684"/>
      <c r="V104" s="684"/>
      <c r="W104" s="684"/>
      <c r="X104" s="684"/>
      <c r="Y104" s="684"/>
      <c r="Z104" s="684"/>
      <c r="AA104" s="684"/>
    </row>
    <row r="105" spans="5:27" x14ac:dyDescent="0.25">
      <c r="E105" s="684"/>
      <c r="F105" s="684"/>
      <c r="K105"/>
      <c r="L105"/>
      <c r="M105" s="684"/>
      <c r="N105" s="684"/>
      <c r="O105" s="684"/>
      <c r="P105" s="684"/>
      <c r="Q105" s="684"/>
      <c r="R105" s="684"/>
      <c r="S105" s="684"/>
      <c r="T105" s="684"/>
      <c r="U105" s="684"/>
      <c r="V105" s="684"/>
      <c r="W105" s="684"/>
      <c r="X105" s="684"/>
      <c r="Y105" s="684"/>
      <c r="Z105" s="684"/>
      <c r="AA105" s="684"/>
    </row>
    <row r="106" spans="5:27" x14ac:dyDescent="0.25">
      <c r="E106" s="684"/>
      <c r="F106" s="684"/>
      <c r="K106"/>
      <c r="L106"/>
      <c r="M106" s="684"/>
      <c r="N106" s="684"/>
      <c r="O106" s="684"/>
      <c r="P106" s="684"/>
      <c r="Q106" s="684"/>
      <c r="R106" s="684"/>
      <c r="S106" s="684"/>
      <c r="T106" s="684"/>
      <c r="U106" s="684"/>
      <c r="V106" s="684"/>
      <c r="W106" s="684"/>
      <c r="X106" s="684"/>
      <c r="Y106" s="684"/>
      <c r="Z106" s="684"/>
      <c r="AA106" s="684"/>
    </row>
    <row r="107" spans="5:27" x14ac:dyDescent="0.25">
      <c r="E107" s="684"/>
      <c r="F107" s="684"/>
      <c r="K107"/>
      <c r="L107"/>
      <c r="M107" s="684"/>
      <c r="N107" s="684"/>
      <c r="O107" s="684"/>
      <c r="P107" s="684"/>
      <c r="Q107" s="684"/>
      <c r="R107" s="684"/>
      <c r="S107" s="684"/>
      <c r="T107" s="684"/>
      <c r="U107" s="684"/>
      <c r="V107" s="684"/>
      <c r="W107" s="684"/>
      <c r="X107" s="684"/>
      <c r="Y107" s="684"/>
      <c r="Z107" s="684"/>
      <c r="AA107" s="684"/>
    </row>
    <row r="108" spans="5:27" x14ac:dyDescent="0.25">
      <c r="E108" s="684"/>
      <c r="F108" s="684"/>
      <c r="K108"/>
      <c r="L108"/>
      <c r="M108" s="684"/>
      <c r="N108" s="684"/>
      <c r="O108" s="684"/>
      <c r="P108" s="684"/>
      <c r="Q108" s="684"/>
      <c r="R108" s="684"/>
      <c r="S108" s="684"/>
      <c r="T108" s="684"/>
      <c r="U108" s="684"/>
      <c r="V108" s="684"/>
      <c r="W108" s="684"/>
      <c r="X108" s="684"/>
      <c r="Y108" s="684"/>
      <c r="Z108" s="684"/>
      <c r="AA108" s="684"/>
    </row>
    <row r="109" spans="5:27" x14ac:dyDescent="0.25">
      <c r="E109" s="684"/>
      <c r="F109" s="684"/>
      <c r="K109"/>
      <c r="L109"/>
      <c r="M109" s="684"/>
      <c r="N109" s="684"/>
      <c r="O109" s="684"/>
      <c r="P109" s="684"/>
      <c r="Q109" s="684"/>
      <c r="R109" s="684"/>
      <c r="S109" s="684"/>
      <c r="T109" s="684"/>
      <c r="U109" s="684"/>
      <c r="V109" s="684"/>
      <c r="W109" s="684"/>
      <c r="X109" s="684"/>
      <c r="Y109" s="684"/>
      <c r="Z109" s="684"/>
      <c r="AA109" s="684"/>
    </row>
    <row r="110" spans="5:27" x14ac:dyDescent="0.25">
      <c r="E110" s="684"/>
      <c r="F110" s="684"/>
      <c r="K110"/>
      <c r="L110"/>
      <c r="M110" s="684"/>
      <c r="N110" s="684"/>
      <c r="O110" s="684"/>
      <c r="P110" s="684"/>
      <c r="Q110" s="684"/>
      <c r="R110" s="684"/>
      <c r="S110" s="684"/>
      <c r="T110" s="684"/>
      <c r="U110" s="684"/>
      <c r="V110" s="684"/>
      <c r="W110" s="684"/>
      <c r="X110" s="684"/>
      <c r="Y110" s="684"/>
      <c r="Z110" s="684"/>
      <c r="AA110" s="684"/>
    </row>
    <row r="111" spans="5:27" x14ac:dyDescent="0.25">
      <c r="E111" s="684"/>
      <c r="F111" s="684"/>
      <c r="K111"/>
      <c r="L111"/>
      <c r="M111" s="684"/>
      <c r="N111" s="684"/>
      <c r="O111" s="684"/>
      <c r="P111" s="684"/>
      <c r="Q111" s="684"/>
      <c r="R111" s="684"/>
      <c r="S111" s="684"/>
      <c r="T111" s="684"/>
      <c r="U111" s="684"/>
      <c r="V111" s="684"/>
      <c r="W111" s="684"/>
      <c r="X111" s="684"/>
      <c r="Y111" s="684"/>
      <c r="Z111" s="684"/>
      <c r="AA111" s="684"/>
    </row>
    <row r="112" spans="5:27" x14ac:dyDescent="0.25">
      <c r="E112" s="684"/>
      <c r="F112" s="684"/>
      <c r="K112"/>
      <c r="L112"/>
      <c r="M112" s="684"/>
      <c r="N112" s="684"/>
      <c r="O112" s="684"/>
      <c r="P112" s="684"/>
      <c r="Q112" s="684"/>
      <c r="R112" s="684"/>
      <c r="S112" s="684"/>
      <c r="T112" s="684"/>
      <c r="U112" s="684"/>
      <c r="V112" s="684"/>
      <c r="W112" s="684"/>
      <c r="X112" s="684"/>
      <c r="Y112" s="684"/>
      <c r="Z112" s="684"/>
      <c r="AA112" s="684"/>
    </row>
    <row r="113" spans="5:27" x14ac:dyDescent="0.25">
      <c r="E113" s="684"/>
      <c r="F113" s="684"/>
      <c r="K113"/>
      <c r="L113"/>
      <c r="M113" s="684"/>
      <c r="N113" s="684"/>
      <c r="O113" s="684"/>
      <c r="P113" s="684"/>
      <c r="Q113" s="684"/>
      <c r="R113" s="684"/>
      <c r="S113" s="684"/>
      <c r="T113" s="684"/>
      <c r="U113" s="684"/>
      <c r="V113" s="684"/>
      <c r="W113" s="684"/>
      <c r="X113" s="684"/>
      <c r="Y113" s="684"/>
      <c r="Z113" s="684"/>
      <c r="AA113" s="684"/>
    </row>
    <row r="114" spans="5:27" x14ac:dyDescent="0.25">
      <c r="E114" s="684"/>
      <c r="F114" s="684"/>
      <c r="K114"/>
      <c r="L114"/>
      <c r="M114" s="684"/>
      <c r="N114" s="684"/>
      <c r="O114" s="684"/>
      <c r="P114" s="684"/>
      <c r="Q114" s="684"/>
      <c r="R114" s="684"/>
      <c r="S114" s="684"/>
      <c r="T114" s="684"/>
      <c r="U114" s="684"/>
      <c r="V114" s="684"/>
      <c r="W114" s="684"/>
      <c r="X114" s="684"/>
      <c r="Y114" s="684"/>
      <c r="Z114" s="684"/>
      <c r="AA114" s="684"/>
    </row>
    <row r="115" spans="5:27" x14ac:dyDescent="0.25">
      <c r="E115" s="684"/>
      <c r="F115" s="684"/>
      <c r="K115"/>
      <c r="L115"/>
      <c r="M115" s="684"/>
      <c r="N115" s="684"/>
      <c r="O115" s="684"/>
      <c r="P115" s="684"/>
      <c r="Q115" s="684"/>
      <c r="R115" s="684"/>
      <c r="S115" s="684"/>
      <c r="T115" s="684"/>
      <c r="U115" s="684"/>
      <c r="V115" s="684"/>
      <c r="W115" s="684"/>
      <c r="X115" s="684"/>
      <c r="Y115" s="684"/>
      <c r="Z115" s="684"/>
      <c r="AA115" s="684"/>
    </row>
    <row r="116" spans="5:27" x14ac:dyDescent="0.25">
      <c r="E116" s="684"/>
      <c r="F116" s="684"/>
      <c r="K116"/>
      <c r="L116"/>
      <c r="M116" s="684"/>
      <c r="N116" s="684"/>
      <c r="O116" s="684"/>
      <c r="P116" s="684"/>
      <c r="Q116" s="684"/>
      <c r="R116" s="684"/>
      <c r="S116" s="684"/>
      <c r="T116" s="684"/>
      <c r="U116" s="684"/>
      <c r="V116" s="684"/>
      <c r="W116" s="684"/>
      <c r="X116" s="684"/>
      <c r="Y116" s="684"/>
      <c r="Z116" s="684"/>
      <c r="AA116" s="684"/>
    </row>
    <row r="117" spans="5:27" x14ac:dyDescent="0.25">
      <c r="E117" s="684"/>
      <c r="F117" s="684"/>
      <c r="K117"/>
      <c r="L117"/>
      <c r="M117" s="684"/>
      <c r="N117" s="684"/>
      <c r="O117" s="684"/>
      <c r="P117" s="684"/>
      <c r="Q117" s="684"/>
      <c r="R117" s="684"/>
      <c r="S117" s="684"/>
      <c r="T117" s="684"/>
      <c r="U117" s="684"/>
      <c r="V117" s="684"/>
      <c r="W117" s="684"/>
      <c r="X117" s="684"/>
      <c r="Y117" s="684"/>
      <c r="Z117" s="684"/>
      <c r="AA117" s="684"/>
    </row>
    <row r="118" spans="5:27" x14ac:dyDescent="0.25">
      <c r="E118" s="684"/>
      <c r="F118" s="684"/>
      <c r="K118"/>
      <c r="L118"/>
      <c r="M118" s="684"/>
      <c r="N118" s="684"/>
      <c r="O118" s="684"/>
      <c r="P118" s="684"/>
      <c r="Q118" s="684"/>
      <c r="R118" s="684"/>
      <c r="S118" s="684"/>
      <c r="T118" s="684"/>
      <c r="U118" s="684"/>
      <c r="V118" s="684"/>
      <c r="W118" s="684"/>
      <c r="X118" s="684"/>
      <c r="Y118" s="684"/>
      <c r="Z118" s="684"/>
      <c r="AA118" s="684"/>
    </row>
    <row r="119" spans="5:27" x14ac:dyDescent="0.25">
      <c r="E119" s="684"/>
      <c r="F119" s="684"/>
      <c r="K119"/>
      <c r="L119"/>
      <c r="M119" s="684"/>
      <c r="N119" s="684"/>
      <c r="O119" s="684"/>
      <c r="P119" s="684"/>
      <c r="Q119" s="684"/>
      <c r="R119" s="684"/>
      <c r="S119" s="684"/>
      <c r="T119" s="684"/>
      <c r="U119" s="684"/>
      <c r="V119" s="684"/>
      <c r="W119" s="684"/>
      <c r="X119" s="684"/>
      <c r="Y119" s="684"/>
      <c r="Z119" s="684"/>
      <c r="AA119" s="684"/>
    </row>
    <row r="120" spans="5:27" x14ac:dyDescent="0.25">
      <c r="E120" s="684"/>
      <c r="F120" s="684"/>
      <c r="K120"/>
      <c r="L120"/>
      <c r="M120" s="684"/>
      <c r="N120" s="684"/>
      <c r="O120" s="684"/>
      <c r="P120" s="684"/>
      <c r="Q120" s="684"/>
      <c r="R120" s="684"/>
      <c r="S120" s="684"/>
      <c r="T120" s="684"/>
      <c r="U120" s="684"/>
      <c r="V120" s="684"/>
      <c r="W120" s="684"/>
      <c r="X120" s="684"/>
      <c r="Y120" s="684"/>
      <c r="Z120" s="684"/>
      <c r="AA120" s="684"/>
    </row>
    <row r="121" spans="5:27" x14ac:dyDescent="0.25">
      <c r="E121" s="684"/>
      <c r="F121" s="684"/>
      <c r="K121"/>
      <c r="L121"/>
      <c r="M121" s="684"/>
      <c r="N121" s="684"/>
      <c r="O121" s="684"/>
      <c r="P121" s="684"/>
      <c r="Q121" s="684"/>
      <c r="R121" s="684"/>
      <c r="S121" s="684"/>
      <c r="T121" s="684"/>
      <c r="U121" s="684"/>
      <c r="V121" s="684"/>
      <c r="W121" s="684"/>
      <c r="X121" s="684"/>
      <c r="Y121" s="684"/>
      <c r="Z121" s="684"/>
      <c r="AA121" s="684"/>
    </row>
    <row r="122" spans="5:27" x14ac:dyDescent="0.25">
      <c r="E122" s="684"/>
      <c r="F122" s="684"/>
      <c r="K122"/>
      <c r="L122"/>
      <c r="M122" s="684"/>
      <c r="N122" s="684"/>
      <c r="O122" s="684"/>
      <c r="P122" s="684"/>
      <c r="Q122" s="684"/>
      <c r="R122" s="684"/>
      <c r="S122" s="684"/>
      <c r="T122" s="684"/>
      <c r="U122" s="684"/>
      <c r="V122" s="684"/>
      <c r="W122" s="684"/>
      <c r="X122" s="684"/>
      <c r="Y122" s="684"/>
      <c r="Z122" s="684"/>
      <c r="AA122" s="684"/>
    </row>
    <row r="123" spans="5:27" x14ac:dyDescent="0.25">
      <c r="E123" s="684"/>
      <c r="F123" s="684"/>
      <c r="K123"/>
      <c r="L123"/>
      <c r="M123" s="684"/>
      <c r="N123" s="684"/>
      <c r="O123" s="684"/>
      <c r="P123" s="684"/>
      <c r="Q123" s="684"/>
      <c r="R123" s="684"/>
      <c r="S123" s="684"/>
      <c r="T123" s="684"/>
      <c r="U123" s="684"/>
      <c r="V123" s="684"/>
      <c r="W123" s="684"/>
      <c r="X123" s="684"/>
      <c r="Y123" s="684"/>
      <c r="Z123" s="684"/>
      <c r="AA123" s="684"/>
    </row>
    <row r="124" spans="5:27" x14ac:dyDescent="0.25">
      <c r="E124" s="684"/>
      <c r="F124" s="684"/>
      <c r="K124"/>
      <c r="L124"/>
      <c r="M124" s="684"/>
      <c r="N124" s="684"/>
      <c r="O124" s="684"/>
      <c r="P124" s="684"/>
      <c r="Q124" s="684"/>
      <c r="R124" s="684"/>
      <c r="S124" s="684"/>
      <c r="T124" s="684"/>
      <c r="U124" s="684"/>
      <c r="V124" s="684"/>
      <c r="W124" s="684"/>
      <c r="X124" s="684"/>
      <c r="Y124" s="684"/>
      <c r="Z124" s="684"/>
      <c r="AA124" s="684"/>
    </row>
    <row r="125" spans="5:27" x14ac:dyDescent="0.25">
      <c r="E125" s="684"/>
      <c r="F125" s="684"/>
      <c r="K125"/>
      <c r="L125"/>
      <c r="M125" s="684"/>
      <c r="N125" s="684"/>
      <c r="O125" s="684"/>
      <c r="P125" s="684"/>
      <c r="Q125" s="684"/>
      <c r="R125" s="684"/>
      <c r="S125" s="684"/>
      <c r="T125" s="684"/>
      <c r="U125" s="684"/>
      <c r="V125" s="684"/>
      <c r="W125" s="684"/>
      <c r="X125" s="684"/>
      <c r="Y125" s="684"/>
      <c r="Z125" s="684"/>
      <c r="AA125" s="684"/>
    </row>
    <row r="126" spans="5:27" x14ac:dyDescent="0.25">
      <c r="E126" s="684"/>
      <c r="F126" s="684"/>
      <c r="K126"/>
      <c r="L126"/>
      <c r="M126" s="684"/>
      <c r="N126" s="684"/>
      <c r="O126" s="684"/>
      <c r="P126" s="684"/>
      <c r="Q126" s="684"/>
      <c r="R126" s="684"/>
      <c r="S126" s="684"/>
      <c r="T126" s="684"/>
      <c r="U126" s="684"/>
      <c r="V126" s="684"/>
      <c r="W126" s="684"/>
      <c r="X126" s="684"/>
      <c r="Y126" s="684"/>
      <c r="Z126" s="684"/>
      <c r="AA126" s="684"/>
    </row>
    <row r="127" spans="5:27" x14ac:dyDescent="0.25">
      <c r="E127" s="684"/>
      <c r="F127" s="684"/>
      <c r="K127"/>
      <c r="L127"/>
      <c r="M127" s="684"/>
      <c r="N127" s="684"/>
      <c r="O127" s="684"/>
      <c r="P127" s="684"/>
      <c r="Q127" s="684"/>
      <c r="R127" s="684"/>
      <c r="S127" s="684"/>
      <c r="T127" s="684"/>
      <c r="U127" s="684"/>
      <c r="V127" s="684"/>
      <c r="W127" s="684"/>
      <c r="X127" s="684"/>
      <c r="Y127" s="684"/>
      <c r="Z127" s="684"/>
      <c r="AA127" s="684"/>
    </row>
    <row r="128" spans="5:27" x14ac:dyDescent="0.25">
      <c r="E128" s="684"/>
      <c r="F128" s="684"/>
      <c r="K128"/>
      <c r="L128"/>
      <c r="M128" s="684"/>
      <c r="N128" s="684"/>
      <c r="O128" s="684"/>
      <c r="P128" s="684"/>
      <c r="Q128" s="684"/>
      <c r="R128" s="684"/>
      <c r="S128" s="684"/>
      <c r="T128" s="684"/>
      <c r="U128" s="684"/>
      <c r="V128" s="684"/>
      <c r="W128" s="684"/>
      <c r="X128" s="684"/>
      <c r="Y128" s="684"/>
      <c r="Z128" s="684"/>
      <c r="AA128" s="684"/>
    </row>
    <row r="129" spans="5:27" x14ac:dyDescent="0.25">
      <c r="E129" s="684"/>
      <c r="F129" s="684"/>
      <c r="K129"/>
      <c r="L129"/>
      <c r="M129" s="684"/>
      <c r="N129" s="684"/>
      <c r="O129" s="684"/>
      <c r="P129" s="684"/>
      <c r="Q129" s="684"/>
      <c r="R129" s="684"/>
      <c r="S129" s="684"/>
      <c r="T129" s="684"/>
      <c r="U129" s="684"/>
      <c r="V129" s="684"/>
      <c r="W129" s="684"/>
      <c r="X129" s="684"/>
      <c r="Y129" s="684"/>
      <c r="Z129" s="684"/>
      <c r="AA129" s="684"/>
    </row>
    <row r="130" spans="5:27" x14ac:dyDescent="0.25">
      <c r="E130" s="684"/>
      <c r="F130" s="684"/>
      <c r="K130"/>
      <c r="L130"/>
      <c r="M130" s="684"/>
      <c r="N130" s="684"/>
      <c r="O130" s="684"/>
      <c r="P130" s="684"/>
      <c r="Q130" s="684"/>
      <c r="R130" s="684"/>
      <c r="S130" s="684"/>
      <c r="T130" s="684"/>
      <c r="U130" s="684"/>
      <c r="V130" s="684"/>
      <c r="W130" s="684"/>
      <c r="X130" s="684"/>
      <c r="Y130" s="684"/>
      <c r="Z130" s="684"/>
      <c r="AA130" s="684"/>
    </row>
    <row r="131" spans="5:27" x14ac:dyDescent="0.25">
      <c r="E131" s="684"/>
      <c r="F131" s="684"/>
      <c r="K131"/>
      <c r="L131"/>
      <c r="M131" s="684"/>
      <c r="N131" s="684"/>
      <c r="O131" s="684"/>
      <c r="P131" s="684"/>
      <c r="Q131" s="684"/>
      <c r="R131" s="684"/>
      <c r="S131" s="684"/>
      <c r="T131" s="684"/>
      <c r="U131" s="684"/>
      <c r="V131" s="684"/>
      <c r="W131" s="684"/>
      <c r="X131" s="684"/>
      <c r="Y131" s="684"/>
      <c r="Z131" s="684"/>
      <c r="AA131" s="684"/>
    </row>
    <row r="132" spans="5:27" x14ac:dyDescent="0.25">
      <c r="E132" s="684"/>
      <c r="F132" s="684"/>
      <c r="K132"/>
      <c r="L132"/>
      <c r="M132" s="684"/>
      <c r="N132" s="684"/>
      <c r="O132" s="684"/>
      <c r="P132" s="684"/>
      <c r="Q132" s="684"/>
      <c r="R132" s="684"/>
      <c r="S132" s="684"/>
      <c r="T132" s="684"/>
      <c r="U132" s="684"/>
      <c r="V132" s="684"/>
      <c r="W132" s="684"/>
      <c r="X132" s="684"/>
      <c r="Y132" s="684"/>
      <c r="Z132" s="684"/>
      <c r="AA132" s="684"/>
    </row>
    <row r="133" spans="5:27" x14ac:dyDescent="0.25">
      <c r="E133" s="684"/>
      <c r="F133" s="684"/>
      <c r="K133"/>
      <c r="L133"/>
      <c r="M133" s="684"/>
      <c r="N133" s="684"/>
      <c r="O133" s="684"/>
      <c r="P133" s="684"/>
      <c r="Q133" s="684"/>
      <c r="R133" s="684"/>
      <c r="S133" s="684"/>
      <c r="T133" s="684"/>
      <c r="U133" s="684"/>
      <c r="V133" s="684"/>
      <c r="W133" s="684"/>
      <c r="X133" s="684"/>
      <c r="Y133" s="684"/>
      <c r="Z133" s="684"/>
      <c r="AA133" s="684"/>
    </row>
    <row r="134" spans="5:27" x14ac:dyDescent="0.25">
      <c r="E134" s="684"/>
      <c r="F134" s="684"/>
      <c r="K134"/>
      <c r="L134"/>
      <c r="M134" s="684"/>
      <c r="N134" s="684"/>
      <c r="O134" s="684"/>
      <c r="P134" s="684"/>
      <c r="Q134" s="684"/>
      <c r="R134" s="684"/>
      <c r="S134" s="684"/>
      <c r="T134" s="684"/>
      <c r="U134" s="684"/>
      <c r="V134" s="684"/>
      <c r="W134" s="684"/>
      <c r="X134" s="684"/>
      <c r="Y134" s="684"/>
      <c r="Z134" s="684"/>
      <c r="AA134" s="684"/>
    </row>
    <row r="135" spans="5:27" x14ac:dyDescent="0.25">
      <c r="E135" s="684"/>
      <c r="F135" s="684"/>
      <c r="K135"/>
      <c r="L135"/>
      <c r="M135" s="684"/>
      <c r="N135" s="684"/>
      <c r="O135" s="684"/>
      <c r="P135" s="684"/>
      <c r="Q135" s="684"/>
      <c r="R135" s="684"/>
      <c r="S135" s="684"/>
      <c r="T135" s="684"/>
      <c r="U135" s="684"/>
      <c r="V135" s="684"/>
      <c r="W135" s="684"/>
      <c r="X135" s="684"/>
      <c r="Y135" s="684"/>
      <c r="Z135" s="684"/>
      <c r="AA135" s="684"/>
    </row>
    <row r="136" spans="5:27" x14ac:dyDescent="0.25">
      <c r="E136" s="684"/>
      <c r="F136" s="684"/>
      <c r="K136"/>
      <c r="L136"/>
      <c r="M136" s="684"/>
      <c r="N136" s="684"/>
      <c r="O136" s="684"/>
      <c r="P136" s="684"/>
      <c r="Q136" s="684"/>
      <c r="R136" s="684"/>
      <c r="S136" s="684"/>
      <c r="T136" s="684"/>
      <c r="U136" s="684"/>
      <c r="V136" s="684"/>
      <c r="W136" s="684"/>
      <c r="X136" s="684"/>
      <c r="Y136" s="684"/>
      <c r="Z136" s="684"/>
      <c r="AA136" s="684"/>
    </row>
    <row r="137" spans="5:27" x14ac:dyDescent="0.25">
      <c r="E137" s="684"/>
      <c r="F137" s="684"/>
      <c r="K137"/>
      <c r="L137"/>
      <c r="M137" s="684"/>
      <c r="N137" s="684"/>
      <c r="O137" s="684"/>
      <c r="P137" s="684"/>
      <c r="Q137" s="684"/>
      <c r="R137" s="684"/>
      <c r="S137" s="684"/>
      <c r="T137" s="684"/>
      <c r="U137" s="684"/>
      <c r="V137" s="684"/>
      <c r="W137" s="684"/>
      <c r="X137" s="684"/>
      <c r="Y137" s="684"/>
      <c r="Z137" s="684"/>
      <c r="AA137" s="684"/>
    </row>
    <row r="138" spans="5:27" x14ac:dyDescent="0.25">
      <c r="E138" s="684"/>
      <c r="F138" s="684"/>
      <c r="K138"/>
      <c r="L138"/>
      <c r="M138" s="684"/>
      <c r="N138" s="684"/>
      <c r="O138" s="684"/>
      <c r="P138" s="684"/>
      <c r="Q138" s="684"/>
      <c r="R138" s="684"/>
      <c r="S138" s="684"/>
      <c r="T138" s="684"/>
      <c r="U138" s="684"/>
      <c r="V138" s="684"/>
      <c r="W138" s="684"/>
      <c r="X138" s="684"/>
      <c r="Y138" s="684"/>
      <c r="Z138" s="684"/>
      <c r="AA138" s="684"/>
    </row>
    <row r="139" spans="5:27" x14ac:dyDescent="0.25">
      <c r="E139" s="684"/>
      <c r="F139" s="684"/>
      <c r="K139"/>
      <c r="L139"/>
      <c r="M139" s="684"/>
      <c r="N139" s="684"/>
      <c r="O139" s="684"/>
      <c r="P139" s="684"/>
      <c r="Q139" s="684"/>
      <c r="R139" s="684"/>
      <c r="S139" s="684"/>
      <c r="T139" s="684"/>
      <c r="U139" s="684"/>
      <c r="V139" s="684"/>
      <c r="W139" s="684"/>
      <c r="X139" s="684"/>
      <c r="Y139" s="684"/>
      <c r="Z139" s="684"/>
      <c r="AA139" s="684"/>
    </row>
    <row r="140" spans="5:27" x14ac:dyDescent="0.25">
      <c r="E140" s="684"/>
      <c r="F140" s="684"/>
      <c r="K140"/>
      <c r="L140"/>
      <c r="M140" s="684"/>
      <c r="N140" s="684"/>
      <c r="O140" s="684"/>
      <c r="P140" s="684"/>
      <c r="Q140" s="684"/>
      <c r="R140" s="684"/>
      <c r="S140" s="684"/>
      <c r="T140" s="684"/>
      <c r="U140" s="684"/>
      <c r="V140" s="684"/>
      <c r="W140" s="684"/>
      <c r="X140" s="684"/>
      <c r="Y140" s="684"/>
      <c r="Z140" s="684"/>
      <c r="AA140" s="684"/>
    </row>
    <row r="141" spans="5:27" x14ac:dyDescent="0.25">
      <c r="E141" s="684"/>
      <c r="F141" s="684"/>
      <c r="K141"/>
      <c r="L141"/>
      <c r="M141" s="684"/>
      <c r="N141" s="684"/>
      <c r="O141" s="684"/>
      <c r="P141" s="684"/>
      <c r="Q141" s="684"/>
      <c r="R141" s="684"/>
      <c r="S141" s="684"/>
      <c r="T141" s="684"/>
      <c r="U141" s="684"/>
      <c r="V141" s="684"/>
      <c r="W141" s="684"/>
      <c r="X141" s="684"/>
      <c r="Y141" s="684"/>
      <c r="Z141" s="684"/>
      <c r="AA141" s="684"/>
    </row>
    <row r="142" spans="5:27" x14ac:dyDescent="0.25">
      <c r="E142" s="684"/>
      <c r="F142" s="684"/>
      <c r="K142"/>
      <c r="L142"/>
      <c r="M142" s="684"/>
      <c r="N142" s="684"/>
      <c r="O142" s="684"/>
      <c r="P142" s="684"/>
      <c r="Q142" s="684"/>
      <c r="R142" s="684"/>
      <c r="S142" s="684"/>
      <c r="T142" s="684"/>
      <c r="U142" s="684"/>
      <c r="V142" s="684"/>
      <c r="W142" s="684"/>
      <c r="X142" s="684"/>
      <c r="Y142" s="684"/>
      <c r="Z142" s="684"/>
      <c r="AA142" s="684"/>
    </row>
    <row r="143" spans="5:27" x14ac:dyDescent="0.25">
      <c r="E143" s="684"/>
      <c r="F143" s="684"/>
      <c r="K143"/>
      <c r="L143"/>
      <c r="M143" s="684"/>
      <c r="N143" s="684"/>
      <c r="O143" s="684"/>
      <c r="P143" s="684"/>
      <c r="Q143" s="684"/>
      <c r="R143" s="684"/>
      <c r="S143" s="684"/>
      <c r="T143" s="684"/>
      <c r="U143" s="684"/>
      <c r="V143" s="684"/>
      <c r="W143" s="684"/>
      <c r="X143" s="684"/>
      <c r="Y143" s="684"/>
      <c r="Z143" s="684"/>
      <c r="AA143" s="684"/>
    </row>
    <row r="144" spans="5:27" x14ac:dyDescent="0.25">
      <c r="E144" s="684"/>
      <c r="F144" s="684"/>
      <c r="K144"/>
      <c r="L144"/>
      <c r="M144" s="684"/>
      <c r="N144" s="684"/>
      <c r="O144" s="684"/>
      <c r="P144" s="684"/>
      <c r="Q144" s="684"/>
      <c r="R144" s="684"/>
      <c r="S144" s="684"/>
      <c r="T144" s="684"/>
      <c r="U144" s="684"/>
      <c r="V144" s="684"/>
      <c r="W144" s="684"/>
      <c r="X144" s="684"/>
      <c r="Y144" s="684"/>
      <c r="Z144" s="684"/>
      <c r="AA144" s="684"/>
    </row>
    <row r="145" spans="5:27" x14ac:dyDescent="0.25">
      <c r="E145" s="684"/>
      <c r="F145" s="684"/>
      <c r="K145"/>
      <c r="L145"/>
      <c r="M145" s="684"/>
      <c r="N145" s="684"/>
      <c r="O145" s="684"/>
      <c r="P145" s="684"/>
      <c r="Q145" s="684"/>
      <c r="R145" s="684"/>
      <c r="S145" s="684"/>
      <c r="T145" s="684"/>
      <c r="U145" s="684"/>
      <c r="V145" s="684"/>
      <c r="W145" s="684"/>
      <c r="X145" s="684"/>
      <c r="Y145" s="684"/>
      <c r="Z145" s="684"/>
      <c r="AA145" s="684"/>
    </row>
    <row r="146" spans="5:27" x14ac:dyDescent="0.25">
      <c r="E146" s="684"/>
      <c r="F146" s="684"/>
      <c r="K146"/>
      <c r="L146"/>
      <c r="M146" s="684"/>
      <c r="N146" s="684"/>
      <c r="O146" s="684"/>
      <c r="P146" s="684"/>
      <c r="Q146" s="684"/>
      <c r="R146" s="684"/>
      <c r="S146" s="684"/>
      <c r="T146" s="684"/>
      <c r="U146" s="684"/>
      <c r="V146" s="684"/>
      <c r="W146" s="684"/>
      <c r="X146" s="684"/>
      <c r="Y146" s="684"/>
      <c r="Z146" s="684"/>
      <c r="AA146" s="684"/>
    </row>
    <row r="147" spans="5:27" x14ac:dyDescent="0.25">
      <c r="E147" s="684"/>
      <c r="F147" s="684"/>
      <c r="K147"/>
      <c r="L147"/>
      <c r="M147" s="684"/>
      <c r="N147" s="684"/>
      <c r="O147" s="684"/>
      <c r="P147" s="684"/>
      <c r="Q147" s="684"/>
      <c r="R147" s="684"/>
      <c r="S147" s="684"/>
      <c r="T147" s="684"/>
      <c r="U147" s="684"/>
      <c r="V147" s="684"/>
      <c r="W147" s="684"/>
      <c r="X147" s="684"/>
      <c r="Y147" s="684"/>
      <c r="Z147" s="684"/>
      <c r="AA147" s="684"/>
    </row>
    <row r="148" spans="5:27" x14ac:dyDescent="0.25">
      <c r="E148" s="684"/>
      <c r="F148" s="684"/>
      <c r="K148"/>
      <c r="L148"/>
      <c r="M148" s="684"/>
      <c r="N148" s="684"/>
      <c r="O148" s="684"/>
      <c r="P148" s="684"/>
      <c r="Q148" s="684"/>
      <c r="R148" s="684"/>
      <c r="S148" s="684"/>
      <c r="T148" s="684"/>
      <c r="U148" s="684"/>
      <c r="V148" s="684"/>
      <c r="W148" s="684"/>
      <c r="X148" s="684"/>
      <c r="Y148" s="684"/>
      <c r="Z148" s="684"/>
      <c r="AA148" s="684"/>
    </row>
    <row r="149" spans="5:27" x14ac:dyDescent="0.25">
      <c r="E149" s="684"/>
      <c r="F149" s="684"/>
      <c r="K149"/>
      <c r="L149"/>
      <c r="M149" s="684"/>
      <c r="N149" s="684"/>
      <c r="O149" s="684"/>
      <c r="P149" s="684"/>
      <c r="Q149" s="684"/>
      <c r="R149" s="684"/>
      <c r="S149" s="684"/>
      <c r="T149" s="684"/>
      <c r="U149" s="684"/>
      <c r="V149" s="684"/>
      <c r="W149" s="684"/>
      <c r="X149" s="684"/>
      <c r="Y149" s="684"/>
      <c r="Z149" s="684"/>
      <c r="AA149" s="684"/>
    </row>
    <row r="150" spans="5:27" x14ac:dyDescent="0.25">
      <c r="E150" s="684"/>
      <c r="F150" s="684"/>
      <c r="K150"/>
      <c r="L150"/>
      <c r="M150" s="684"/>
      <c r="N150" s="684"/>
      <c r="O150" s="684"/>
      <c r="P150" s="684"/>
      <c r="Q150" s="684"/>
      <c r="R150" s="684"/>
      <c r="S150" s="684"/>
      <c r="T150" s="684"/>
      <c r="U150" s="684"/>
      <c r="V150" s="684"/>
      <c r="W150" s="684"/>
      <c r="X150" s="684"/>
      <c r="Y150" s="684"/>
      <c r="Z150" s="684"/>
      <c r="AA150" s="684"/>
    </row>
    <row r="151" spans="5:27" x14ac:dyDescent="0.25">
      <c r="E151" s="684"/>
      <c r="F151" s="684"/>
      <c r="K151"/>
      <c r="L151"/>
      <c r="M151" s="684"/>
      <c r="N151" s="684"/>
      <c r="O151" s="684"/>
      <c r="P151" s="684"/>
      <c r="Q151" s="684"/>
      <c r="R151" s="684"/>
      <c r="S151" s="684"/>
      <c r="T151" s="684"/>
      <c r="U151" s="684"/>
      <c r="V151" s="684"/>
      <c r="W151" s="684"/>
      <c r="X151" s="684"/>
      <c r="Y151" s="684"/>
      <c r="Z151" s="684"/>
      <c r="AA151" s="684"/>
    </row>
    <row r="152" spans="5:27" x14ac:dyDescent="0.25">
      <c r="E152" s="684"/>
      <c r="F152" s="684"/>
      <c r="K152"/>
      <c r="L152"/>
      <c r="M152" s="684"/>
      <c r="N152" s="684"/>
      <c r="O152" s="684"/>
      <c r="P152" s="684"/>
      <c r="Q152" s="684"/>
      <c r="R152" s="684"/>
      <c r="S152" s="684"/>
      <c r="T152" s="684"/>
      <c r="U152" s="684"/>
      <c r="V152" s="684"/>
      <c r="W152" s="684"/>
      <c r="X152" s="684"/>
      <c r="Y152" s="684"/>
      <c r="Z152" s="684"/>
      <c r="AA152" s="684"/>
    </row>
    <row r="153" spans="5:27" x14ac:dyDescent="0.25">
      <c r="E153" s="684"/>
      <c r="F153" s="684"/>
      <c r="K153"/>
      <c r="L153"/>
      <c r="M153" s="684"/>
      <c r="N153" s="684"/>
      <c r="O153" s="684"/>
      <c r="P153" s="684"/>
      <c r="Q153" s="684"/>
      <c r="R153" s="684"/>
      <c r="S153" s="684"/>
      <c r="T153" s="684"/>
      <c r="U153" s="684"/>
      <c r="V153" s="684"/>
      <c r="W153" s="684"/>
      <c r="X153" s="684"/>
      <c r="Y153" s="684"/>
      <c r="Z153" s="684"/>
      <c r="AA153" s="684"/>
    </row>
    <row r="154" spans="5:27" x14ac:dyDescent="0.25">
      <c r="E154" s="684"/>
      <c r="F154" s="684"/>
      <c r="K154"/>
      <c r="L154"/>
      <c r="M154" s="684"/>
      <c r="N154" s="684"/>
      <c r="O154" s="684"/>
      <c r="P154" s="684"/>
      <c r="Q154" s="684"/>
      <c r="R154" s="684"/>
      <c r="S154" s="684"/>
      <c r="T154" s="684"/>
      <c r="U154" s="684"/>
      <c r="V154" s="684"/>
      <c r="W154" s="684"/>
      <c r="X154" s="684"/>
      <c r="Y154" s="684"/>
      <c r="Z154" s="684"/>
      <c r="AA154" s="684"/>
    </row>
    <row r="155" spans="5:27" x14ac:dyDescent="0.25">
      <c r="E155" s="684"/>
      <c r="F155" s="684"/>
      <c r="K155"/>
      <c r="L155"/>
      <c r="M155" s="684"/>
      <c r="N155" s="684"/>
      <c r="O155" s="684"/>
      <c r="P155" s="684"/>
      <c r="Q155" s="684"/>
      <c r="R155" s="684"/>
      <c r="S155" s="684"/>
      <c r="T155" s="684"/>
      <c r="U155" s="684"/>
      <c r="V155" s="684"/>
      <c r="W155" s="684"/>
      <c r="X155" s="684"/>
      <c r="Y155" s="684"/>
      <c r="Z155" s="684"/>
      <c r="AA155" s="684"/>
    </row>
    <row r="156" spans="5:27" x14ac:dyDescent="0.25">
      <c r="E156" s="684"/>
      <c r="F156" s="684"/>
      <c r="K156"/>
      <c r="L156"/>
      <c r="M156" s="684"/>
      <c r="N156" s="684"/>
      <c r="O156" s="684"/>
      <c r="P156" s="684"/>
      <c r="Q156" s="684"/>
      <c r="R156" s="684"/>
      <c r="S156" s="684"/>
      <c r="T156" s="684"/>
      <c r="U156" s="684"/>
      <c r="V156" s="684"/>
      <c r="W156" s="684"/>
      <c r="X156" s="684"/>
      <c r="Y156" s="684"/>
      <c r="Z156" s="684"/>
      <c r="AA156" s="684"/>
    </row>
    <row r="157" spans="5:27" x14ac:dyDescent="0.25">
      <c r="E157" s="684"/>
      <c r="F157" s="684"/>
      <c r="K157"/>
      <c r="L157"/>
      <c r="M157" s="684"/>
      <c r="N157" s="684"/>
      <c r="O157" s="684"/>
      <c r="P157" s="684"/>
      <c r="Q157" s="684"/>
      <c r="R157" s="684"/>
      <c r="S157" s="684"/>
      <c r="T157" s="684"/>
      <c r="U157" s="684"/>
      <c r="V157" s="684"/>
      <c r="W157" s="684"/>
      <c r="X157" s="684"/>
      <c r="Y157" s="684"/>
      <c r="Z157" s="684"/>
      <c r="AA157" s="684"/>
    </row>
    <row r="158" spans="5:27" x14ac:dyDescent="0.25">
      <c r="E158" s="684"/>
      <c r="F158" s="684"/>
      <c r="K158"/>
      <c r="L158"/>
      <c r="M158" s="684"/>
      <c r="N158" s="684"/>
      <c r="O158" s="684"/>
      <c r="P158" s="684"/>
      <c r="Q158" s="684"/>
      <c r="R158" s="684"/>
      <c r="S158" s="684"/>
      <c r="T158" s="684"/>
      <c r="U158" s="684"/>
      <c r="V158" s="684"/>
      <c r="W158" s="684"/>
      <c r="X158" s="684"/>
      <c r="Y158" s="684"/>
      <c r="Z158" s="684"/>
      <c r="AA158" s="684"/>
    </row>
    <row r="159" spans="5:27" x14ac:dyDescent="0.25">
      <c r="E159" s="684"/>
      <c r="F159" s="684"/>
      <c r="K159"/>
      <c r="L159"/>
      <c r="M159" s="684"/>
      <c r="N159" s="684"/>
      <c r="O159" s="684"/>
      <c r="P159" s="684"/>
      <c r="Q159" s="684"/>
      <c r="R159" s="684"/>
      <c r="S159" s="684"/>
      <c r="T159" s="684"/>
      <c r="U159" s="684"/>
      <c r="V159" s="684"/>
      <c r="W159" s="684"/>
      <c r="X159" s="684"/>
      <c r="Y159" s="684"/>
      <c r="Z159" s="684"/>
      <c r="AA159" s="684"/>
    </row>
    <row r="160" spans="5:27" x14ac:dyDescent="0.25">
      <c r="E160" s="684"/>
      <c r="F160" s="684"/>
      <c r="K160"/>
      <c r="L160"/>
      <c r="M160" s="684"/>
      <c r="N160" s="684"/>
      <c r="O160" s="684"/>
      <c r="P160" s="684"/>
      <c r="Q160" s="684"/>
      <c r="R160" s="684"/>
      <c r="S160" s="684"/>
      <c r="T160" s="684"/>
      <c r="U160" s="684"/>
      <c r="V160" s="684"/>
      <c r="W160" s="684"/>
      <c r="X160" s="684"/>
      <c r="Y160" s="684"/>
      <c r="Z160" s="684"/>
      <c r="AA160" s="684"/>
    </row>
    <row r="161" spans="5:27" x14ac:dyDescent="0.25">
      <c r="E161" s="684"/>
      <c r="F161" s="684"/>
      <c r="K161"/>
      <c r="L161"/>
      <c r="M161" s="684"/>
      <c r="N161" s="684"/>
      <c r="O161" s="684"/>
      <c r="P161" s="684"/>
      <c r="Q161" s="684"/>
      <c r="R161" s="684"/>
      <c r="S161" s="684"/>
      <c r="T161" s="684"/>
      <c r="U161" s="684"/>
      <c r="V161" s="684"/>
      <c r="W161" s="684"/>
      <c r="X161" s="684"/>
      <c r="Y161" s="684"/>
      <c r="Z161" s="684"/>
      <c r="AA161" s="684"/>
    </row>
    <row r="162" spans="5:27" x14ac:dyDescent="0.25">
      <c r="E162" s="684"/>
      <c r="F162" s="684"/>
      <c r="K162"/>
      <c r="L162"/>
      <c r="M162" s="684"/>
      <c r="N162" s="684"/>
      <c r="O162" s="684"/>
      <c r="P162" s="684"/>
      <c r="Q162" s="684"/>
      <c r="R162" s="684"/>
      <c r="S162" s="684"/>
      <c r="T162" s="684"/>
      <c r="U162" s="684"/>
      <c r="V162" s="684"/>
      <c r="W162" s="684"/>
      <c r="X162" s="684"/>
      <c r="Y162" s="684"/>
      <c r="Z162" s="684"/>
      <c r="AA162" s="684"/>
    </row>
    <row r="163" spans="5:27" x14ac:dyDescent="0.25">
      <c r="E163" s="684"/>
      <c r="F163" s="684"/>
      <c r="K163"/>
      <c r="L163"/>
      <c r="M163" s="684"/>
      <c r="N163" s="684"/>
      <c r="O163" s="684"/>
      <c r="P163" s="684"/>
      <c r="Q163" s="684"/>
      <c r="R163" s="684"/>
      <c r="S163" s="684"/>
      <c r="T163" s="684"/>
      <c r="U163" s="684"/>
      <c r="V163" s="684"/>
      <c r="W163" s="684"/>
      <c r="X163" s="684"/>
      <c r="Y163" s="684"/>
      <c r="Z163" s="684"/>
      <c r="AA163" s="684"/>
    </row>
    <row r="164" spans="5:27" x14ac:dyDescent="0.25">
      <c r="E164" s="684"/>
      <c r="F164" s="684"/>
      <c r="K164"/>
      <c r="L164"/>
      <c r="M164" s="684"/>
      <c r="N164" s="684"/>
      <c r="O164" s="684"/>
      <c r="P164" s="684"/>
      <c r="Q164" s="684"/>
      <c r="R164" s="684"/>
      <c r="S164" s="684"/>
      <c r="T164" s="684"/>
      <c r="U164" s="684"/>
      <c r="V164" s="684"/>
      <c r="W164" s="684"/>
      <c r="X164" s="684"/>
      <c r="Y164" s="684"/>
      <c r="Z164" s="684"/>
      <c r="AA164" s="684"/>
    </row>
    <row r="165" spans="5:27" x14ac:dyDescent="0.25">
      <c r="E165" s="684"/>
      <c r="F165" s="684"/>
      <c r="K165"/>
      <c r="L165"/>
      <c r="M165" s="684"/>
      <c r="N165" s="684"/>
      <c r="O165" s="684"/>
      <c r="P165" s="684"/>
      <c r="Q165" s="684"/>
      <c r="R165" s="684"/>
      <c r="S165" s="684"/>
      <c r="T165" s="684"/>
      <c r="U165" s="684"/>
      <c r="V165" s="684"/>
      <c r="W165" s="684"/>
      <c r="X165" s="684"/>
      <c r="Y165" s="684"/>
      <c r="Z165" s="684"/>
      <c r="AA165" s="684"/>
    </row>
    <row r="166" spans="5:27" x14ac:dyDescent="0.25">
      <c r="E166" s="684"/>
      <c r="F166" s="684"/>
      <c r="K166"/>
      <c r="L166"/>
      <c r="M166" s="684"/>
      <c r="N166" s="684"/>
      <c r="O166" s="684"/>
      <c r="P166" s="684"/>
      <c r="Q166" s="684"/>
      <c r="R166" s="684"/>
      <c r="S166" s="684"/>
      <c r="T166" s="684"/>
      <c r="U166" s="684"/>
      <c r="V166" s="684"/>
      <c r="W166" s="684"/>
      <c r="X166" s="684"/>
      <c r="Y166" s="684"/>
      <c r="Z166" s="684"/>
      <c r="AA166" s="684"/>
    </row>
    <row r="167" spans="5:27" x14ac:dyDescent="0.25">
      <c r="E167" s="684"/>
      <c r="F167" s="684"/>
      <c r="K167"/>
      <c r="L167"/>
      <c r="M167" s="684"/>
      <c r="N167" s="684"/>
      <c r="O167" s="684"/>
      <c r="P167" s="684"/>
      <c r="Q167" s="684"/>
      <c r="R167" s="684"/>
      <c r="S167" s="684"/>
      <c r="T167" s="684"/>
      <c r="U167" s="684"/>
      <c r="V167" s="684"/>
      <c r="W167" s="684"/>
      <c r="X167" s="684"/>
      <c r="Y167" s="684"/>
      <c r="Z167" s="684"/>
      <c r="AA167" s="684"/>
    </row>
    <row r="168" spans="5:27" x14ac:dyDescent="0.25">
      <c r="E168" s="684"/>
      <c r="F168" s="684"/>
      <c r="K168"/>
      <c r="L168"/>
      <c r="M168" s="684"/>
      <c r="N168" s="684"/>
      <c r="O168" s="684"/>
      <c r="P168" s="684"/>
      <c r="Q168" s="684"/>
      <c r="R168" s="684"/>
      <c r="S168" s="684"/>
      <c r="T168" s="684"/>
      <c r="U168" s="684"/>
      <c r="V168" s="684"/>
      <c r="W168" s="684"/>
      <c r="X168" s="684"/>
      <c r="Y168" s="684"/>
      <c r="Z168" s="684"/>
      <c r="AA168" s="684"/>
    </row>
    <row r="169" spans="5:27" x14ac:dyDescent="0.25">
      <c r="E169" s="684"/>
      <c r="F169" s="684"/>
      <c r="K169"/>
      <c r="L169"/>
      <c r="M169" s="684"/>
      <c r="N169" s="684"/>
      <c r="O169" s="684"/>
      <c r="P169" s="684"/>
      <c r="Q169" s="684"/>
      <c r="R169" s="684"/>
      <c r="S169" s="684"/>
      <c r="T169" s="684"/>
      <c r="U169" s="684"/>
      <c r="V169" s="684"/>
      <c r="W169" s="684"/>
      <c r="X169" s="684"/>
      <c r="Y169" s="684"/>
      <c r="Z169" s="684"/>
      <c r="AA169" s="684"/>
    </row>
    <row r="170" spans="5:27" x14ac:dyDescent="0.25">
      <c r="E170" s="684"/>
      <c r="F170" s="684"/>
      <c r="K170"/>
      <c r="L170"/>
      <c r="M170" s="684"/>
      <c r="N170" s="684"/>
      <c r="O170" s="684"/>
      <c r="P170" s="684"/>
      <c r="Q170" s="684"/>
      <c r="R170" s="684"/>
      <c r="S170" s="684"/>
      <c r="T170" s="684"/>
      <c r="U170" s="684"/>
      <c r="V170" s="684"/>
      <c r="W170" s="684"/>
      <c r="X170" s="684"/>
      <c r="Y170" s="684"/>
      <c r="Z170" s="684"/>
      <c r="AA170" s="684"/>
    </row>
    <row r="171" spans="5:27" x14ac:dyDescent="0.25">
      <c r="E171" s="684"/>
      <c r="F171" s="684"/>
      <c r="K171"/>
      <c r="L171"/>
      <c r="M171" s="684"/>
      <c r="N171" s="684"/>
      <c r="O171" s="684"/>
      <c r="P171" s="684"/>
      <c r="Q171" s="684"/>
      <c r="R171" s="684"/>
      <c r="S171" s="684"/>
      <c r="T171" s="684"/>
      <c r="U171" s="684"/>
      <c r="V171" s="684"/>
      <c r="W171" s="684"/>
      <c r="X171" s="684"/>
      <c r="Y171" s="684"/>
      <c r="Z171" s="684"/>
      <c r="AA171" s="684"/>
    </row>
    <row r="172" spans="5:27" x14ac:dyDescent="0.25">
      <c r="E172" s="684"/>
      <c r="F172" s="684"/>
      <c r="K172"/>
      <c r="L172"/>
      <c r="M172" s="684"/>
      <c r="N172" s="684"/>
      <c r="O172" s="684"/>
      <c r="P172" s="684"/>
      <c r="Q172" s="684"/>
      <c r="R172" s="684"/>
      <c r="S172" s="684"/>
      <c r="T172" s="684"/>
      <c r="U172" s="684"/>
      <c r="V172" s="684"/>
      <c r="W172" s="684"/>
      <c r="X172" s="684"/>
      <c r="Y172" s="684"/>
      <c r="Z172" s="684"/>
      <c r="AA172" s="684"/>
    </row>
    <row r="173" spans="5:27" x14ac:dyDescent="0.25">
      <c r="E173" s="684"/>
      <c r="F173" s="684"/>
      <c r="K173"/>
      <c r="L173"/>
      <c r="M173" s="684"/>
      <c r="N173" s="684"/>
      <c r="O173" s="684"/>
      <c r="P173" s="684"/>
      <c r="Q173" s="684"/>
      <c r="R173" s="684"/>
      <c r="S173" s="684"/>
      <c r="T173" s="684"/>
      <c r="U173" s="684"/>
      <c r="V173" s="684"/>
      <c r="W173" s="684"/>
      <c r="X173" s="684"/>
      <c r="Y173" s="684"/>
      <c r="Z173" s="684"/>
      <c r="AA173" s="684"/>
    </row>
    <row r="174" spans="5:27" x14ac:dyDescent="0.25">
      <c r="E174" s="684"/>
      <c r="F174" s="684"/>
      <c r="K174"/>
      <c r="L174"/>
      <c r="M174" s="684"/>
      <c r="N174" s="684"/>
      <c r="O174" s="684"/>
      <c r="P174" s="684"/>
      <c r="Q174" s="684"/>
      <c r="R174" s="684"/>
      <c r="S174" s="684"/>
      <c r="T174" s="684"/>
      <c r="U174" s="684"/>
      <c r="V174" s="684"/>
      <c r="W174" s="684"/>
      <c r="X174" s="684"/>
      <c r="Y174" s="684"/>
      <c r="Z174" s="684"/>
      <c r="AA174" s="684"/>
    </row>
    <row r="175" spans="5:27" x14ac:dyDescent="0.25">
      <c r="E175" s="684"/>
      <c r="F175" s="684"/>
      <c r="K175"/>
      <c r="L175"/>
      <c r="M175" s="684"/>
      <c r="N175" s="684"/>
      <c r="O175" s="684"/>
      <c r="P175" s="684"/>
      <c r="Q175" s="684"/>
      <c r="R175" s="684"/>
      <c r="S175" s="684"/>
      <c r="T175" s="684"/>
      <c r="U175" s="684"/>
      <c r="V175" s="684"/>
      <c r="W175" s="684"/>
      <c r="X175" s="684"/>
      <c r="Y175" s="684"/>
      <c r="Z175" s="684"/>
      <c r="AA175" s="684"/>
    </row>
    <row r="176" spans="5:27" x14ac:dyDescent="0.25">
      <c r="E176" s="684"/>
      <c r="F176" s="684"/>
      <c r="K176"/>
      <c r="L176"/>
      <c r="M176" s="684"/>
      <c r="N176" s="684"/>
      <c r="O176" s="684"/>
      <c r="P176" s="684"/>
      <c r="Q176" s="684"/>
      <c r="R176" s="684"/>
      <c r="S176" s="684"/>
      <c r="T176" s="684"/>
      <c r="U176" s="684"/>
      <c r="V176" s="684"/>
      <c r="W176" s="684"/>
      <c r="X176" s="684"/>
      <c r="Y176" s="684"/>
      <c r="Z176" s="684"/>
      <c r="AA176" s="684"/>
    </row>
    <row r="177" spans="5:27" x14ac:dyDescent="0.25">
      <c r="E177" s="684"/>
      <c r="F177" s="684"/>
      <c r="K177"/>
      <c r="L177"/>
      <c r="M177" s="684"/>
      <c r="N177" s="684"/>
      <c r="O177" s="684"/>
      <c r="P177" s="684"/>
      <c r="Q177" s="684"/>
      <c r="R177" s="684"/>
      <c r="S177" s="684"/>
      <c r="T177" s="684"/>
      <c r="U177" s="684"/>
      <c r="V177" s="684"/>
      <c r="W177" s="684"/>
      <c r="X177" s="684"/>
      <c r="Y177" s="684"/>
      <c r="Z177" s="684"/>
      <c r="AA177" s="684"/>
    </row>
    <row r="178" spans="5:27" x14ac:dyDescent="0.25">
      <c r="E178" s="684"/>
      <c r="F178" s="684"/>
      <c r="K178"/>
      <c r="L178"/>
      <c r="M178" s="684"/>
      <c r="N178" s="684"/>
      <c r="O178" s="684"/>
      <c r="P178" s="684"/>
      <c r="Q178" s="684"/>
      <c r="R178" s="684"/>
      <c r="S178" s="684"/>
      <c r="T178" s="684"/>
      <c r="U178" s="684"/>
      <c r="V178" s="684"/>
      <c r="W178" s="684"/>
      <c r="X178" s="684"/>
      <c r="Y178" s="684"/>
      <c r="Z178" s="684"/>
      <c r="AA178" s="684"/>
    </row>
    <row r="179" spans="5:27" x14ac:dyDescent="0.25">
      <c r="E179" s="684"/>
      <c r="F179" s="684"/>
      <c r="K179"/>
      <c r="L179"/>
      <c r="M179" s="684"/>
      <c r="N179" s="684"/>
      <c r="O179" s="684"/>
      <c r="P179" s="684"/>
      <c r="Q179" s="684"/>
      <c r="R179" s="684"/>
      <c r="S179" s="684"/>
      <c r="T179" s="684"/>
      <c r="U179" s="684"/>
      <c r="V179" s="684"/>
      <c r="W179" s="684"/>
      <c r="X179" s="684"/>
      <c r="Y179" s="684"/>
      <c r="Z179" s="684"/>
      <c r="AA179" s="684"/>
    </row>
    <row r="180" spans="5:27" x14ac:dyDescent="0.25">
      <c r="E180" s="684"/>
      <c r="F180" s="684"/>
      <c r="K180"/>
      <c r="L180"/>
      <c r="M180" s="684"/>
      <c r="N180" s="684"/>
      <c r="O180" s="684"/>
      <c r="P180" s="684"/>
      <c r="Q180" s="684"/>
      <c r="R180" s="684"/>
      <c r="S180" s="684"/>
      <c r="T180" s="684"/>
      <c r="U180" s="684"/>
      <c r="V180" s="684"/>
      <c r="W180" s="684"/>
      <c r="X180" s="684"/>
      <c r="Y180" s="684"/>
      <c r="Z180" s="684"/>
      <c r="AA180" s="684"/>
    </row>
    <row r="181" spans="5:27" x14ac:dyDescent="0.25">
      <c r="E181" s="684"/>
      <c r="F181" s="684"/>
      <c r="K181"/>
      <c r="L181"/>
      <c r="M181" s="684"/>
      <c r="N181" s="684"/>
      <c r="O181" s="684"/>
      <c r="P181" s="684"/>
      <c r="Q181" s="684"/>
      <c r="R181" s="684"/>
      <c r="S181" s="684"/>
      <c r="T181" s="684"/>
      <c r="U181" s="684"/>
      <c r="V181" s="684"/>
      <c r="W181" s="684"/>
      <c r="X181" s="684"/>
      <c r="Y181" s="684"/>
      <c r="Z181" s="684"/>
      <c r="AA181" s="684"/>
    </row>
    <row r="182" spans="5:27" x14ac:dyDescent="0.25">
      <c r="E182" s="684"/>
      <c r="F182" s="684"/>
      <c r="K182"/>
      <c r="L182"/>
      <c r="M182" s="684"/>
      <c r="N182" s="684"/>
      <c r="O182" s="684"/>
      <c r="P182" s="684"/>
      <c r="Q182" s="684"/>
      <c r="R182" s="684"/>
      <c r="S182" s="684"/>
      <c r="T182" s="684"/>
      <c r="U182" s="684"/>
      <c r="V182" s="684"/>
      <c r="W182" s="684"/>
      <c r="X182" s="684"/>
      <c r="Y182" s="684"/>
      <c r="Z182" s="684"/>
      <c r="AA182" s="684"/>
    </row>
    <row r="183" spans="5:27" x14ac:dyDescent="0.25">
      <c r="E183" s="684"/>
      <c r="F183" s="684"/>
      <c r="K183"/>
      <c r="L183"/>
      <c r="M183" s="684"/>
      <c r="N183" s="684"/>
      <c r="O183" s="684"/>
      <c r="P183" s="684"/>
      <c r="Q183" s="684"/>
      <c r="R183" s="684"/>
      <c r="S183" s="684"/>
      <c r="T183" s="684"/>
      <c r="U183" s="684"/>
      <c r="V183" s="684"/>
      <c r="W183" s="684"/>
      <c r="X183" s="684"/>
      <c r="Y183" s="684"/>
      <c r="Z183" s="684"/>
      <c r="AA183" s="684"/>
    </row>
    <row r="184" spans="5:27" x14ac:dyDescent="0.25">
      <c r="E184" s="684"/>
      <c r="F184" s="684"/>
      <c r="K184"/>
      <c r="L184"/>
      <c r="M184" s="684"/>
      <c r="N184" s="684"/>
      <c r="O184" s="684"/>
      <c r="P184" s="684"/>
      <c r="Q184" s="684"/>
      <c r="R184" s="684"/>
      <c r="S184" s="684"/>
      <c r="T184" s="684"/>
      <c r="U184" s="684"/>
      <c r="V184" s="684"/>
      <c r="W184" s="684"/>
      <c r="X184" s="684"/>
      <c r="Y184" s="684"/>
      <c r="Z184" s="684"/>
      <c r="AA184" s="684"/>
    </row>
    <row r="185" spans="5:27" x14ac:dyDescent="0.25">
      <c r="E185" s="684"/>
      <c r="F185" s="684"/>
      <c r="K185"/>
      <c r="L185"/>
      <c r="M185" s="684"/>
      <c r="N185" s="684"/>
      <c r="O185" s="684"/>
      <c r="P185" s="684"/>
      <c r="Q185" s="684"/>
      <c r="R185" s="684"/>
      <c r="S185" s="684"/>
      <c r="T185" s="684"/>
      <c r="U185" s="684"/>
      <c r="V185" s="684"/>
      <c r="W185" s="684"/>
      <c r="X185" s="684"/>
      <c r="Y185" s="684"/>
      <c r="Z185" s="684"/>
      <c r="AA185" s="684"/>
    </row>
    <row r="186" spans="5:27" x14ac:dyDescent="0.25">
      <c r="E186" s="684"/>
      <c r="F186" s="684"/>
      <c r="K186"/>
      <c r="L186"/>
      <c r="M186" s="684"/>
      <c r="N186" s="684"/>
      <c r="O186" s="684"/>
      <c r="P186" s="684"/>
      <c r="Q186" s="684"/>
      <c r="R186" s="684"/>
      <c r="S186" s="684"/>
      <c r="T186" s="684"/>
      <c r="U186" s="684"/>
      <c r="V186" s="684"/>
      <c r="W186" s="684"/>
      <c r="X186" s="684"/>
      <c r="Y186" s="684"/>
      <c r="Z186" s="684"/>
      <c r="AA186" s="684"/>
    </row>
    <row r="187" spans="5:27" x14ac:dyDescent="0.25">
      <c r="E187" s="684"/>
      <c r="F187" s="684"/>
      <c r="K187"/>
      <c r="L187"/>
      <c r="M187" s="684"/>
      <c r="N187" s="684"/>
      <c r="O187" s="684"/>
      <c r="P187" s="684"/>
      <c r="Q187" s="684"/>
      <c r="R187" s="684"/>
      <c r="S187" s="684"/>
      <c r="T187" s="684"/>
      <c r="U187" s="684"/>
      <c r="V187" s="684"/>
      <c r="W187" s="684"/>
      <c r="X187" s="684"/>
      <c r="Y187" s="684"/>
      <c r="Z187" s="684"/>
      <c r="AA187" s="684"/>
    </row>
    <row r="188" spans="5:27" x14ac:dyDescent="0.25">
      <c r="E188" s="684"/>
      <c r="F188" s="684"/>
      <c r="K188"/>
      <c r="L188"/>
      <c r="M188" s="684"/>
      <c r="N188" s="684"/>
      <c r="O188" s="684"/>
      <c r="P188" s="684"/>
      <c r="Q188" s="684"/>
      <c r="R188" s="684"/>
      <c r="S188" s="684"/>
      <c r="T188" s="684"/>
      <c r="U188" s="684"/>
      <c r="V188" s="684"/>
      <c r="W188" s="684"/>
      <c r="X188" s="684"/>
      <c r="Y188" s="684"/>
      <c r="Z188" s="684"/>
      <c r="AA188" s="684"/>
    </row>
    <row r="189" spans="5:27" x14ac:dyDescent="0.25">
      <c r="E189" s="684"/>
      <c r="F189" s="684"/>
      <c r="K189"/>
      <c r="L189"/>
      <c r="M189" s="684"/>
      <c r="N189" s="684"/>
      <c r="O189" s="684"/>
      <c r="P189" s="684"/>
      <c r="Q189" s="684"/>
      <c r="R189" s="684"/>
      <c r="S189" s="684"/>
      <c r="T189" s="684"/>
      <c r="U189" s="684"/>
      <c r="V189" s="684"/>
      <c r="W189" s="684"/>
      <c r="X189" s="684"/>
      <c r="Y189" s="684"/>
      <c r="Z189" s="684"/>
      <c r="AA189" s="684"/>
    </row>
    <row r="190" spans="5:27" x14ac:dyDescent="0.25">
      <c r="E190" s="684"/>
      <c r="F190" s="684"/>
      <c r="K190"/>
      <c r="L190"/>
      <c r="M190" s="684"/>
      <c r="N190" s="684"/>
      <c r="O190" s="684"/>
      <c r="P190" s="684"/>
      <c r="Q190" s="684"/>
      <c r="R190" s="684"/>
      <c r="S190" s="684"/>
      <c r="T190" s="684"/>
      <c r="U190" s="684"/>
      <c r="V190" s="684"/>
      <c r="W190" s="684"/>
      <c r="X190" s="684"/>
      <c r="Y190" s="684"/>
      <c r="Z190" s="684"/>
      <c r="AA190" s="684"/>
    </row>
    <row r="191" spans="5:27" x14ac:dyDescent="0.25">
      <c r="E191" s="684"/>
      <c r="F191" s="684"/>
      <c r="K191"/>
      <c r="L191"/>
      <c r="M191" s="684"/>
      <c r="N191" s="684"/>
      <c r="O191" s="684"/>
      <c r="P191" s="684"/>
      <c r="Q191" s="684"/>
      <c r="R191" s="684"/>
      <c r="S191" s="684"/>
      <c r="T191" s="684"/>
      <c r="U191" s="684"/>
      <c r="V191" s="684"/>
      <c r="W191" s="684"/>
      <c r="X191" s="684"/>
      <c r="Y191" s="684"/>
      <c r="Z191" s="684"/>
      <c r="AA191" s="684"/>
    </row>
    <row r="192" spans="5:27" x14ac:dyDescent="0.25">
      <c r="E192" s="684"/>
      <c r="F192" s="684"/>
      <c r="K192"/>
      <c r="L192"/>
      <c r="M192" s="684"/>
      <c r="N192" s="684"/>
      <c r="O192" s="684"/>
      <c r="P192" s="684"/>
      <c r="Q192" s="684"/>
      <c r="R192" s="684"/>
      <c r="S192" s="684"/>
      <c r="T192" s="684"/>
      <c r="U192" s="684"/>
      <c r="V192" s="684"/>
      <c r="W192" s="684"/>
      <c r="X192" s="684"/>
      <c r="Y192" s="684"/>
      <c r="Z192" s="684"/>
      <c r="AA192" s="684"/>
    </row>
    <row r="193" spans="5:27" x14ac:dyDescent="0.25">
      <c r="E193" s="684"/>
      <c r="F193" s="684"/>
      <c r="K193"/>
      <c r="L193"/>
      <c r="M193" s="684"/>
      <c r="N193" s="684"/>
      <c r="O193" s="684"/>
      <c r="P193" s="684"/>
      <c r="Q193" s="684"/>
      <c r="R193" s="684"/>
      <c r="S193" s="684"/>
      <c r="T193" s="684"/>
      <c r="U193" s="684"/>
      <c r="V193" s="684"/>
      <c r="W193" s="684"/>
      <c r="X193" s="684"/>
      <c r="Y193" s="684"/>
      <c r="Z193" s="684"/>
      <c r="AA193" s="684"/>
    </row>
    <row r="194" spans="5:27" x14ac:dyDescent="0.25">
      <c r="E194" s="684"/>
      <c r="F194" s="684"/>
      <c r="K194"/>
      <c r="L194"/>
      <c r="M194" s="684"/>
      <c r="N194" s="684"/>
      <c r="O194" s="684"/>
      <c r="P194" s="684"/>
      <c r="Q194" s="684"/>
      <c r="R194" s="684"/>
      <c r="S194" s="684"/>
      <c r="T194" s="684"/>
      <c r="U194" s="684"/>
      <c r="V194" s="684"/>
      <c r="W194" s="684"/>
      <c r="X194" s="684"/>
      <c r="Y194" s="684"/>
      <c r="Z194" s="684"/>
      <c r="AA194" s="684"/>
    </row>
    <row r="195" spans="5:27" x14ac:dyDescent="0.25">
      <c r="E195" s="684"/>
      <c r="F195" s="684"/>
      <c r="K195"/>
      <c r="L195"/>
      <c r="M195" s="684"/>
      <c r="N195" s="684"/>
      <c r="O195" s="684"/>
      <c r="P195" s="684"/>
      <c r="Q195" s="684"/>
      <c r="R195" s="684"/>
      <c r="S195" s="684"/>
      <c r="T195" s="684"/>
      <c r="U195" s="684"/>
      <c r="V195" s="684"/>
      <c r="W195" s="684"/>
      <c r="X195" s="684"/>
      <c r="Y195" s="684"/>
      <c r="Z195" s="684"/>
      <c r="AA195" s="684"/>
    </row>
    <row r="196" spans="5:27" x14ac:dyDescent="0.25">
      <c r="E196" s="684"/>
      <c r="F196" s="684"/>
      <c r="K196"/>
      <c r="L196"/>
      <c r="M196" s="684"/>
      <c r="N196" s="684"/>
      <c r="O196" s="684"/>
      <c r="P196" s="684"/>
      <c r="Q196" s="684"/>
      <c r="R196" s="684"/>
      <c r="S196" s="684"/>
      <c r="T196" s="684"/>
      <c r="U196" s="684"/>
      <c r="V196" s="684"/>
      <c r="W196" s="684"/>
      <c r="X196" s="684"/>
      <c r="Y196" s="684"/>
      <c r="Z196" s="684"/>
      <c r="AA196" s="684"/>
    </row>
    <row r="197" spans="5:27" x14ac:dyDescent="0.25">
      <c r="E197" s="684"/>
      <c r="F197" s="684"/>
      <c r="K197"/>
      <c r="L197"/>
      <c r="M197" s="684"/>
      <c r="N197" s="684"/>
      <c r="O197" s="684"/>
      <c r="P197" s="684"/>
      <c r="Q197" s="684"/>
      <c r="R197" s="684"/>
      <c r="S197" s="684"/>
      <c r="T197" s="684"/>
      <c r="U197" s="684"/>
      <c r="V197" s="684"/>
      <c r="W197" s="684"/>
      <c r="X197" s="684"/>
      <c r="Y197" s="684"/>
      <c r="Z197" s="684"/>
      <c r="AA197" s="684"/>
    </row>
    <row r="198" spans="5:27" x14ac:dyDescent="0.25">
      <c r="E198" s="684"/>
      <c r="F198" s="684"/>
      <c r="K198"/>
      <c r="L198"/>
      <c r="M198" s="684"/>
      <c r="N198" s="684"/>
      <c r="O198" s="684"/>
      <c r="P198" s="684"/>
      <c r="Q198" s="684"/>
      <c r="R198" s="684"/>
      <c r="S198" s="684"/>
      <c r="T198" s="684"/>
      <c r="U198" s="684"/>
      <c r="V198" s="684"/>
      <c r="W198" s="684"/>
      <c r="X198" s="684"/>
      <c r="Y198" s="684"/>
      <c r="Z198" s="684"/>
      <c r="AA198" s="684"/>
    </row>
    <row r="199" spans="5:27" x14ac:dyDescent="0.25">
      <c r="E199" s="684"/>
      <c r="F199" s="684"/>
      <c r="K199"/>
      <c r="L199"/>
      <c r="M199" s="684"/>
      <c r="N199" s="684"/>
      <c r="O199" s="684"/>
      <c r="P199" s="684"/>
      <c r="Q199" s="684"/>
      <c r="R199" s="684"/>
      <c r="S199" s="684"/>
      <c r="T199" s="684"/>
      <c r="U199" s="684"/>
      <c r="V199" s="684"/>
      <c r="W199" s="684"/>
      <c r="X199" s="684"/>
      <c r="Y199" s="684"/>
      <c r="Z199" s="684"/>
      <c r="AA199" s="684"/>
    </row>
    <row r="200" spans="5:27" x14ac:dyDescent="0.25">
      <c r="E200" s="684"/>
      <c r="F200" s="684"/>
      <c r="K200"/>
      <c r="L200"/>
      <c r="M200" s="684"/>
      <c r="N200" s="684"/>
      <c r="O200" s="684"/>
      <c r="P200" s="684"/>
      <c r="Q200" s="684"/>
      <c r="R200" s="684"/>
      <c r="S200" s="684"/>
      <c r="T200" s="684"/>
      <c r="U200" s="684"/>
      <c r="V200" s="684"/>
      <c r="W200" s="684"/>
      <c r="X200" s="684"/>
      <c r="Y200" s="684"/>
      <c r="Z200" s="684"/>
      <c r="AA200" s="684"/>
    </row>
    <row r="201" spans="5:27" x14ac:dyDescent="0.25">
      <c r="E201" s="684"/>
      <c r="F201" s="684"/>
      <c r="K201"/>
      <c r="L201"/>
      <c r="M201" s="684"/>
      <c r="N201" s="684"/>
      <c r="O201" s="684"/>
      <c r="P201" s="684"/>
      <c r="Q201" s="684"/>
      <c r="R201" s="684"/>
      <c r="S201" s="684"/>
      <c r="T201" s="684"/>
      <c r="U201" s="684"/>
      <c r="V201" s="684"/>
      <c r="W201" s="684"/>
      <c r="X201" s="684"/>
      <c r="Y201" s="684"/>
      <c r="Z201" s="684"/>
      <c r="AA201" s="684"/>
    </row>
    <row r="202" spans="5:27" x14ac:dyDescent="0.25">
      <c r="E202" s="684"/>
      <c r="F202" s="684"/>
      <c r="K202"/>
      <c r="L202"/>
      <c r="M202" s="684"/>
      <c r="N202" s="684"/>
      <c r="O202" s="684"/>
      <c r="P202" s="684"/>
      <c r="Q202" s="684"/>
      <c r="R202" s="684"/>
      <c r="S202" s="684"/>
      <c r="T202" s="684"/>
      <c r="U202" s="684"/>
      <c r="V202" s="684"/>
      <c r="W202" s="684"/>
      <c r="X202" s="684"/>
      <c r="Y202" s="684"/>
      <c r="Z202" s="684"/>
      <c r="AA202" s="684"/>
    </row>
    <row r="203" spans="5:27" x14ac:dyDescent="0.25">
      <c r="E203" s="684"/>
      <c r="F203" s="684"/>
      <c r="K203"/>
      <c r="L203"/>
      <c r="M203" s="684"/>
      <c r="N203" s="684"/>
      <c r="O203" s="684"/>
      <c r="P203" s="684"/>
      <c r="Q203" s="684"/>
      <c r="R203" s="684"/>
      <c r="S203" s="684"/>
      <c r="T203" s="684"/>
      <c r="U203" s="684"/>
      <c r="V203" s="684"/>
      <c r="W203" s="684"/>
      <c r="X203" s="684"/>
      <c r="Y203" s="684"/>
      <c r="Z203" s="684"/>
      <c r="AA203" s="684"/>
    </row>
    <row r="204" spans="5:27" x14ac:dyDescent="0.25">
      <c r="E204" s="684"/>
      <c r="F204" s="684"/>
      <c r="K204"/>
      <c r="L204"/>
      <c r="M204" s="684"/>
      <c r="N204" s="684"/>
      <c r="O204" s="684"/>
      <c r="P204" s="684"/>
      <c r="Q204" s="684"/>
      <c r="R204" s="684"/>
      <c r="S204" s="684"/>
      <c r="T204" s="684"/>
      <c r="U204" s="684"/>
      <c r="V204" s="684"/>
      <c r="W204" s="684"/>
      <c r="X204" s="684"/>
      <c r="Y204" s="684"/>
      <c r="Z204" s="684"/>
      <c r="AA204" s="684"/>
    </row>
    <row r="205" spans="5:27" x14ac:dyDescent="0.25">
      <c r="E205" s="684"/>
      <c r="F205" s="684"/>
      <c r="K205"/>
      <c r="L205"/>
      <c r="M205" s="684"/>
      <c r="N205" s="684"/>
      <c r="O205" s="684"/>
      <c r="P205" s="684"/>
      <c r="Q205" s="684"/>
      <c r="R205" s="684"/>
      <c r="S205" s="684"/>
      <c r="T205" s="684"/>
      <c r="U205" s="684"/>
      <c r="V205" s="684"/>
      <c r="W205" s="684"/>
      <c r="X205" s="684"/>
      <c r="Y205" s="684"/>
      <c r="Z205" s="684"/>
      <c r="AA205" s="684"/>
    </row>
    <row r="206" spans="5:27" x14ac:dyDescent="0.25">
      <c r="E206" s="684"/>
      <c r="F206" s="684"/>
      <c r="K206"/>
      <c r="L206"/>
      <c r="M206" s="684"/>
      <c r="N206" s="684"/>
      <c r="O206" s="684"/>
      <c r="P206" s="684"/>
      <c r="Q206" s="684"/>
      <c r="R206" s="684"/>
      <c r="S206" s="684"/>
      <c r="T206" s="684"/>
      <c r="U206" s="684"/>
      <c r="V206" s="684"/>
      <c r="W206" s="684"/>
      <c r="X206" s="684"/>
      <c r="Y206" s="684"/>
      <c r="Z206" s="684"/>
      <c r="AA206" s="684"/>
    </row>
    <row r="207" spans="5:27" x14ac:dyDescent="0.25">
      <c r="E207" s="684"/>
      <c r="F207" s="684"/>
      <c r="K207"/>
      <c r="L207"/>
      <c r="M207" s="684"/>
      <c r="N207" s="684"/>
      <c r="O207" s="684"/>
      <c r="P207" s="684"/>
      <c r="Q207" s="684"/>
      <c r="R207" s="684"/>
      <c r="S207" s="684"/>
      <c r="T207" s="684"/>
      <c r="U207" s="684"/>
      <c r="V207" s="684"/>
      <c r="W207" s="684"/>
      <c r="X207" s="684"/>
      <c r="Y207" s="684"/>
      <c r="Z207" s="684"/>
      <c r="AA207" s="684"/>
    </row>
    <row r="208" spans="5:27" x14ac:dyDescent="0.25">
      <c r="E208" s="684"/>
      <c r="F208" s="684"/>
      <c r="K208"/>
      <c r="L208"/>
      <c r="M208" s="684"/>
      <c r="N208" s="684"/>
      <c r="O208" s="684"/>
      <c r="P208" s="684"/>
      <c r="Q208" s="684"/>
      <c r="R208" s="684"/>
      <c r="S208" s="684"/>
      <c r="T208" s="684"/>
      <c r="U208" s="684"/>
      <c r="V208" s="684"/>
      <c r="W208" s="684"/>
      <c r="X208" s="684"/>
      <c r="Y208" s="684"/>
      <c r="Z208" s="684"/>
      <c r="AA208" s="684"/>
    </row>
    <row r="209" spans="5:27" x14ac:dyDescent="0.25">
      <c r="E209" s="684"/>
      <c r="F209" s="684"/>
      <c r="K209"/>
      <c r="L209"/>
      <c r="M209" s="684"/>
      <c r="N209" s="684"/>
      <c r="O209" s="684"/>
      <c r="P209" s="684"/>
      <c r="Q209" s="684"/>
      <c r="R209" s="684"/>
      <c r="S209" s="684"/>
      <c r="T209" s="684"/>
      <c r="U209" s="684"/>
      <c r="V209" s="684"/>
      <c r="W209" s="684"/>
      <c r="X209" s="684"/>
      <c r="Y209" s="684"/>
      <c r="Z209" s="684"/>
      <c r="AA209" s="684"/>
    </row>
    <row r="210" spans="5:27" x14ac:dyDescent="0.25">
      <c r="E210" s="684"/>
      <c r="F210" s="684"/>
      <c r="K210"/>
      <c r="L210"/>
      <c r="M210" s="684"/>
      <c r="N210" s="684"/>
      <c r="O210" s="684"/>
      <c r="P210" s="684"/>
      <c r="Q210" s="684"/>
      <c r="R210" s="684"/>
      <c r="S210" s="684"/>
      <c r="T210" s="684"/>
      <c r="U210" s="684"/>
      <c r="V210" s="684"/>
      <c r="W210" s="684"/>
      <c r="X210" s="684"/>
      <c r="Y210" s="684"/>
      <c r="Z210" s="684"/>
      <c r="AA210" s="684"/>
    </row>
    <row r="211" spans="5:27" x14ac:dyDescent="0.25">
      <c r="E211" s="684"/>
      <c r="F211" s="684"/>
      <c r="K211"/>
      <c r="L211"/>
      <c r="M211" s="684"/>
      <c r="N211" s="684"/>
      <c r="O211" s="684"/>
      <c r="P211" s="684"/>
      <c r="Q211" s="684"/>
      <c r="R211" s="684"/>
      <c r="S211" s="684"/>
      <c r="T211" s="684"/>
      <c r="U211" s="684"/>
      <c r="V211" s="684"/>
      <c r="W211" s="684"/>
      <c r="X211" s="684"/>
      <c r="Y211" s="684"/>
      <c r="Z211" s="684"/>
      <c r="AA211" s="684"/>
    </row>
    <row r="212" spans="5:27" x14ac:dyDescent="0.25">
      <c r="E212" s="684"/>
      <c r="F212" s="684"/>
      <c r="K212"/>
      <c r="L212"/>
      <c r="M212" s="684"/>
      <c r="N212" s="684"/>
      <c r="O212" s="684"/>
      <c r="P212" s="684"/>
      <c r="Q212" s="684"/>
      <c r="R212" s="684"/>
      <c r="S212" s="684"/>
      <c r="T212" s="684"/>
      <c r="U212" s="684"/>
      <c r="V212" s="684"/>
      <c r="W212" s="684"/>
      <c r="X212" s="684"/>
      <c r="Y212" s="684"/>
      <c r="Z212" s="684"/>
      <c r="AA212" s="684"/>
    </row>
    <row r="213" spans="5:27" x14ac:dyDescent="0.25">
      <c r="E213" s="684"/>
      <c r="F213" s="684"/>
      <c r="K213"/>
      <c r="L213"/>
      <c r="M213" s="684"/>
      <c r="N213" s="684"/>
      <c r="O213" s="684"/>
      <c r="P213" s="684"/>
      <c r="Q213" s="684"/>
      <c r="R213" s="684"/>
      <c r="S213" s="684"/>
      <c r="T213" s="684"/>
      <c r="U213" s="684"/>
      <c r="V213" s="684"/>
      <c r="W213" s="684"/>
      <c r="X213" s="684"/>
      <c r="Y213" s="684"/>
      <c r="Z213" s="684"/>
      <c r="AA213" s="684"/>
    </row>
    <row r="214" spans="5:27" x14ac:dyDescent="0.25">
      <c r="E214" s="684"/>
      <c r="F214" s="684"/>
      <c r="K214"/>
      <c r="L214"/>
      <c r="M214" s="684"/>
      <c r="N214" s="684"/>
      <c r="O214" s="684"/>
      <c r="P214" s="684"/>
      <c r="Q214" s="684"/>
      <c r="R214" s="684"/>
      <c r="S214" s="684"/>
      <c r="T214" s="684"/>
      <c r="U214" s="684"/>
      <c r="V214" s="684"/>
      <c r="W214" s="684"/>
      <c r="X214" s="684"/>
      <c r="Y214" s="684"/>
      <c r="Z214" s="684"/>
      <c r="AA214" s="684"/>
    </row>
    <row r="215" spans="5:27" x14ac:dyDescent="0.25">
      <c r="E215" s="684"/>
      <c r="F215" s="684"/>
      <c r="K215"/>
      <c r="L215"/>
      <c r="M215" s="684"/>
      <c r="N215" s="684"/>
      <c r="O215" s="684"/>
      <c r="P215" s="684"/>
      <c r="Q215" s="684"/>
      <c r="R215" s="684"/>
      <c r="S215" s="684"/>
      <c r="T215" s="684"/>
      <c r="U215" s="684"/>
      <c r="V215" s="684"/>
      <c r="W215" s="684"/>
      <c r="X215" s="684"/>
      <c r="Y215" s="684"/>
      <c r="Z215" s="684"/>
      <c r="AA215" s="684"/>
    </row>
    <row r="216" spans="5:27" x14ac:dyDescent="0.25">
      <c r="E216" s="684"/>
      <c r="F216" s="684"/>
      <c r="K216"/>
      <c r="L216"/>
      <c r="M216" s="684"/>
      <c r="N216" s="684"/>
      <c r="O216" s="684"/>
      <c r="P216" s="684"/>
      <c r="Q216" s="684"/>
      <c r="R216" s="684"/>
      <c r="S216" s="684"/>
      <c r="T216" s="684"/>
      <c r="U216" s="684"/>
      <c r="V216" s="684"/>
      <c r="W216" s="684"/>
      <c r="X216" s="684"/>
      <c r="Y216" s="684"/>
      <c r="Z216" s="684"/>
      <c r="AA216" s="684"/>
    </row>
    <row r="217" spans="5:27" x14ac:dyDescent="0.25">
      <c r="E217" s="684"/>
      <c r="F217" s="684"/>
      <c r="K217"/>
      <c r="L217"/>
      <c r="M217" s="684"/>
      <c r="N217" s="684"/>
      <c r="O217" s="684"/>
      <c r="P217" s="684"/>
      <c r="Q217" s="684"/>
      <c r="R217" s="684"/>
      <c r="S217" s="684"/>
      <c r="T217" s="684"/>
      <c r="U217" s="684"/>
      <c r="V217" s="684"/>
      <c r="W217" s="684"/>
      <c r="X217" s="684"/>
      <c r="Y217" s="684"/>
      <c r="Z217" s="684"/>
      <c r="AA217" s="684"/>
    </row>
    <row r="218" spans="5:27" x14ac:dyDescent="0.25">
      <c r="E218" s="684"/>
      <c r="F218" s="684"/>
      <c r="K218"/>
      <c r="L218"/>
      <c r="M218" s="684"/>
      <c r="N218" s="684"/>
      <c r="O218" s="684"/>
      <c r="P218" s="684"/>
      <c r="Q218" s="684"/>
      <c r="R218" s="684"/>
      <c r="S218" s="684"/>
      <c r="T218" s="684"/>
      <c r="U218" s="684"/>
      <c r="V218" s="684"/>
      <c r="W218" s="684"/>
      <c r="X218" s="684"/>
      <c r="Y218" s="684"/>
      <c r="Z218" s="684"/>
      <c r="AA218" s="684"/>
    </row>
    <row r="219" spans="5:27" x14ac:dyDescent="0.25">
      <c r="E219" s="684"/>
      <c r="F219" s="684"/>
      <c r="K219"/>
      <c r="L219"/>
      <c r="M219" s="684"/>
      <c r="N219" s="684"/>
      <c r="O219" s="684"/>
      <c r="P219" s="684"/>
      <c r="Q219" s="684"/>
      <c r="R219" s="684"/>
      <c r="S219" s="684"/>
      <c r="T219" s="684"/>
      <c r="U219" s="684"/>
      <c r="V219" s="684"/>
      <c r="W219" s="684"/>
      <c r="X219" s="684"/>
      <c r="Y219" s="684"/>
      <c r="Z219" s="684"/>
      <c r="AA219" s="684"/>
    </row>
    <row r="220" spans="5:27" x14ac:dyDescent="0.25">
      <c r="E220" s="684"/>
      <c r="F220" s="684"/>
      <c r="K220"/>
      <c r="L220"/>
      <c r="M220" s="684"/>
      <c r="N220" s="684"/>
      <c r="O220" s="684"/>
      <c r="P220" s="684"/>
      <c r="Q220" s="684"/>
      <c r="R220" s="684"/>
      <c r="S220" s="684"/>
      <c r="T220" s="684"/>
      <c r="U220" s="684"/>
      <c r="V220" s="684"/>
      <c r="W220" s="684"/>
      <c r="X220" s="684"/>
      <c r="Y220" s="684"/>
      <c r="Z220" s="684"/>
      <c r="AA220" s="684"/>
    </row>
    <row r="221" spans="5:27" x14ac:dyDescent="0.25">
      <c r="E221" s="684"/>
      <c r="F221" s="684"/>
      <c r="K221"/>
      <c r="L221"/>
      <c r="M221" s="684"/>
      <c r="N221" s="684"/>
      <c r="O221" s="684"/>
      <c r="P221" s="684"/>
      <c r="Q221" s="684"/>
      <c r="R221" s="684"/>
      <c r="S221" s="684"/>
      <c r="T221" s="684"/>
      <c r="U221" s="684"/>
      <c r="V221" s="684"/>
      <c r="W221" s="684"/>
      <c r="X221" s="684"/>
      <c r="Y221" s="684"/>
      <c r="Z221" s="684"/>
      <c r="AA221" s="684"/>
    </row>
    <row r="222" spans="5:27" x14ac:dyDescent="0.25">
      <c r="E222" s="684"/>
      <c r="F222" s="684"/>
      <c r="K222"/>
      <c r="L222"/>
      <c r="M222" s="684"/>
      <c r="N222" s="684"/>
      <c r="O222" s="684"/>
      <c r="P222" s="684"/>
      <c r="Q222" s="684"/>
      <c r="R222" s="684"/>
      <c r="S222" s="684"/>
      <c r="T222" s="684"/>
      <c r="U222" s="684"/>
      <c r="V222" s="684"/>
      <c r="W222" s="684"/>
      <c r="X222" s="684"/>
      <c r="Y222" s="684"/>
      <c r="Z222" s="684"/>
      <c r="AA222" s="684"/>
    </row>
    <row r="223" spans="5:27" x14ac:dyDescent="0.25">
      <c r="E223" s="684"/>
      <c r="F223" s="684"/>
      <c r="K223"/>
      <c r="L223"/>
      <c r="M223" s="684"/>
      <c r="N223" s="684"/>
      <c r="O223" s="684"/>
      <c r="P223" s="684"/>
      <c r="Q223" s="684"/>
      <c r="R223" s="684"/>
      <c r="S223" s="684"/>
      <c r="T223" s="684"/>
      <c r="U223" s="684"/>
      <c r="V223" s="684"/>
      <c r="W223" s="684"/>
      <c r="X223" s="684"/>
      <c r="Y223" s="684"/>
      <c r="Z223" s="684"/>
      <c r="AA223" s="684"/>
    </row>
    <row r="224" spans="5:27" x14ac:dyDescent="0.25">
      <c r="E224" s="684"/>
      <c r="F224" s="684"/>
      <c r="K224"/>
      <c r="L224"/>
      <c r="M224" s="684"/>
      <c r="N224" s="684"/>
      <c r="O224" s="684"/>
      <c r="P224" s="684"/>
      <c r="Q224" s="684"/>
      <c r="R224" s="684"/>
      <c r="S224" s="684"/>
      <c r="T224" s="684"/>
      <c r="U224" s="684"/>
      <c r="V224" s="684"/>
      <c r="W224" s="684"/>
      <c r="X224" s="684"/>
      <c r="Y224" s="684"/>
      <c r="Z224" s="684"/>
      <c r="AA224" s="684"/>
    </row>
    <row r="225" spans="5:27" x14ac:dyDescent="0.25">
      <c r="E225" s="684"/>
      <c r="F225" s="684"/>
      <c r="K225"/>
      <c r="L225"/>
      <c r="M225" s="684"/>
      <c r="N225" s="684"/>
      <c r="O225" s="684"/>
      <c r="P225" s="684"/>
      <c r="Q225" s="684"/>
      <c r="R225" s="684"/>
      <c r="S225" s="684"/>
      <c r="T225" s="684"/>
      <c r="U225" s="684"/>
      <c r="V225" s="684"/>
      <c r="W225" s="684"/>
      <c r="X225" s="684"/>
      <c r="Y225" s="684"/>
      <c r="Z225" s="684"/>
      <c r="AA225" s="684"/>
    </row>
    <row r="226" spans="5:27" x14ac:dyDescent="0.25">
      <c r="E226" s="684"/>
      <c r="F226" s="684"/>
      <c r="K226"/>
      <c r="L226"/>
      <c r="M226" s="684"/>
      <c r="N226" s="684"/>
      <c r="O226" s="684"/>
      <c r="P226" s="684"/>
      <c r="Q226" s="684"/>
      <c r="R226" s="684"/>
      <c r="S226" s="684"/>
      <c r="T226" s="684"/>
      <c r="U226" s="684"/>
      <c r="V226" s="684"/>
      <c r="W226" s="684"/>
      <c r="X226" s="684"/>
      <c r="Y226" s="684"/>
      <c r="Z226" s="684"/>
      <c r="AA226" s="684"/>
    </row>
    <row r="227" spans="5:27" x14ac:dyDescent="0.25">
      <c r="E227" s="684"/>
      <c r="F227" s="684"/>
      <c r="K227"/>
      <c r="L227"/>
      <c r="M227" s="684"/>
      <c r="N227" s="684"/>
      <c r="O227" s="684"/>
      <c r="P227" s="684"/>
      <c r="Q227" s="684"/>
      <c r="R227" s="684"/>
      <c r="S227" s="684"/>
      <c r="T227" s="684"/>
      <c r="U227" s="684"/>
      <c r="V227" s="684"/>
      <c r="W227" s="684"/>
      <c r="X227" s="684"/>
      <c r="Y227" s="684"/>
      <c r="Z227" s="684"/>
      <c r="AA227" s="684"/>
    </row>
    <row r="228" spans="5:27" x14ac:dyDescent="0.25">
      <c r="E228" s="684"/>
      <c r="F228" s="684"/>
      <c r="K228"/>
      <c r="L228"/>
      <c r="M228" s="684"/>
      <c r="N228" s="684"/>
      <c r="O228" s="684"/>
      <c r="P228" s="684"/>
      <c r="Q228" s="684"/>
      <c r="R228" s="684"/>
      <c r="S228" s="684"/>
      <c r="T228" s="684"/>
      <c r="U228" s="684"/>
      <c r="V228" s="684"/>
      <c r="W228" s="684"/>
      <c r="X228" s="684"/>
      <c r="Y228" s="684"/>
      <c r="Z228" s="684"/>
      <c r="AA228" s="684"/>
    </row>
    <row r="229" spans="5:27" x14ac:dyDescent="0.25">
      <c r="E229" s="684"/>
      <c r="F229" s="684"/>
      <c r="K229"/>
      <c r="L229"/>
      <c r="M229" s="684"/>
      <c r="N229" s="684"/>
      <c r="O229" s="684"/>
      <c r="P229" s="684"/>
      <c r="Q229" s="684"/>
      <c r="R229" s="684"/>
      <c r="S229" s="684"/>
      <c r="T229" s="684"/>
      <c r="U229" s="684"/>
      <c r="V229" s="684"/>
      <c r="W229" s="684"/>
      <c r="X229" s="684"/>
      <c r="Y229" s="684"/>
      <c r="Z229" s="684"/>
      <c r="AA229" s="684"/>
    </row>
    <row r="230" spans="5:27" x14ac:dyDescent="0.25">
      <c r="E230" s="684"/>
      <c r="F230" s="684"/>
      <c r="K230"/>
      <c r="L230"/>
      <c r="M230" s="684"/>
      <c r="N230" s="684"/>
      <c r="O230" s="684"/>
      <c r="P230" s="684"/>
      <c r="Q230" s="684"/>
      <c r="R230" s="684"/>
      <c r="S230" s="684"/>
      <c r="T230" s="684"/>
      <c r="U230" s="684"/>
      <c r="V230" s="684"/>
      <c r="W230" s="684"/>
      <c r="X230" s="684"/>
      <c r="Y230" s="684"/>
      <c r="Z230" s="684"/>
      <c r="AA230" s="684"/>
    </row>
    <row r="231" spans="5:27" x14ac:dyDescent="0.25">
      <c r="E231" s="684"/>
      <c r="F231" s="684"/>
      <c r="K231"/>
      <c r="L231"/>
      <c r="M231" s="684"/>
      <c r="N231" s="684"/>
      <c r="O231" s="684"/>
      <c r="P231" s="684"/>
      <c r="Q231" s="684"/>
      <c r="R231" s="684"/>
      <c r="S231" s="684"/>
      <c r="T231" s="684"/>
      <c r="U231" s="684"/>
      <c r="V231" s="684"/>
      <c r="W231" s="684"/>
      <c r="X231" s="684"/>
      <c r="Y231" s="684"/>
      <c r="Z231" s="684"/>
      <c r="AA231" s="684"/>
    </row>
    <row r="232" spans="5:27" x14ac:dyDescent="0.25">
      <c r="E232" s="684"/>
      <c r="F232" s="684"/>
      <c r="K232"/>
      <c r="L232"/>
      <c r="M232" s="684"/>
      <c r="N232" s="684"/>
      <c r="O232" s="684"/>
      <c r="P232" s="684"/>
      <c r="Q232" s="684"/>
      <c r="R232" s="684"/>
      <c r="S232" s="684"/>
      <c r="T232" s="684"/>
      <c r="U232" s="684"/>
      <c r="V232" s="684"/>
      <c r="W232" s="684"/>
      <c r="X232" s="684"/>
      <c r="Y232" s="684"/>
      <c r="Z232" s="684"/>
      <c r="AA232" s="684"/>
    </row>
    <row r="233" spans="5:27" x14ac:dyDescent="0.25">
      <c r="E233" s="684"/>
      <c r="F233" s="684"/>
      <c r="K233"/>
      <c r="L233"/>
      <c r="M233" s="684"/>
      <c r="N233" s="684"/>
      <c r="O233" s="684"/>
      <c r="P233" s="684"/>
      <c r="Q233" s="684"/>
      <c r="R233" s="684"/>
      <c r="S233" s="684"/>
      <c r="T233" s="684"/>
      <c r="U233" s="684"/>
      <c r="V233" s="684"/>
      <c r="W233" s="684"/>
      <c r="X233" s="684"/>
      <c r="Y233" s="684"/>
      <c r="Z233" s="684"/>
      <c r="AA233" s="684"/>
    </row>
    <row r="234" spans="5:27" x14ac:dyDescent="0.25">
      <c r="E234" s="684"/>
      <c r="F234" s="684"/>
      <c r="K234"/>
      <c r="L234"/>
      <c r="M234" s="684"/>
      <c r="N234" s="684"/>
      <c r="O234" s="684"/>
      <c r="P234" s="684"/>
      <c r="Q234" s="684"/>
      <c r="R234" s="684"/>
      <c r="S234" s="684"/>
      <c r="T234" s="684"/>
      <c r="U234" s="684"/>
      <c r="V234" s="684"/>
      <c r="W234" s="684"/>
      <c r="X234" s="684"/>
      <c r="Y234" s="684"/>
      <c r="Z234" s="684"/>
      <c r="AA234" s="684"/>
    </row>
    <row r="235" spans="5:27" x14ac:dyDescent="0.25">
      <c r="E235" s="684"/>
      <c r="F235" s="684"/>
      <c r="K235"/>
      <c r="L235"/>
      <c r="M235" s="684"/>
      <c r="N235" s="684"/>
      <c r="O235" s="684"/>
      <c r="P235" s="684"/>
      <c r="Q235" s="684"/>
      <c r="R235" s="684"/>
      <c r="S235" s="684"/>
      <c r="T235" s="684"/>
      <c r="U235" s="684"/>
      <c r="V235" s="684"/>
      <c r="W235" s="684"/>
      <c r="X235" s="684"/>
      <c r="Y235" s="684"/>
      <c r="Z235" s="684"/>
      <c r="AA235" s="684"/>
    </row>
    <row r="236" spans="5:27" x14ac:dyDescent="0.25">
      <c r="E236" s="684"/>
      <c r="F236" s="684"/>
      <c r="K236"/>
      <c r="L236"/>
      <c r="M236" s="684"/>
      <c r="N236" s="684"/>
      <c r="O236" s="684"/>
      <c r="P236" s="684"/>
      <c r="Q236" s="684"/>
      <c r="R236" s="684"/>
      <c r="S236" s="684"/>
      <c r="T236" s="684"/>
      <c r="U236" s="684"/>
      <c r="V236" s="684"/>
      <c r="W236" s="684"/>
      <c r="X236" s="684"/>
      <c r="Y236" s="684"/>
      <c r="Z236" s="684"/>
      <c r="AA236" s="684"/>
    </row>
    <row r="237" spans="5:27" x14ac:dyDescent="0.25">
      <c r="E237" s="684"/>
      <c r="F237" s="684"/>
      <c r="K237"/>
      <c r="L237"/>
      <c r="M237" s="684"/>
      <c r="N237" s="684"/>
      <c r="O237" s="684"/>
      <c r="P237" s="684"/>
      <c r="Q237" s="684"/>
      <c r="R237" s="684"/>
      <c r="S237" s="684"/>
      <c r="T237" s="684"/>
      <c r="U237" s="684"/>
      <c r="V237" s="684"/>
      <c r="W237" s="684"/>
      <c r="X237" s="684"/>
      <c r="Y237" s="684"/>
      <c r="Z237" s="684"/>
      <c r="AA237" s="684"/>
    </row>
    <row r="238" spans="5:27" x14ac:dyDescent="0.25">
      <c r="E238" s="684"/>
      <c r="F238" s="684"/>
      <c r="K238"/>
      <c r="L238"/>
      <c r="M238" s="684"/>
      <c r="N238" s="684"/>
      <c r="O238" s="684"/>
      <c r="P238" s="684"/>
      <c r="Q238" s="684"/>
      <c r="R238" s="684"/>
      <c r="S238" s="684"/>
      <c r="T238" s="684"/>
      <c r="U238" s="684"/>
      <c r="V238" s="684"/>
      <c r="W238" s="684"/>
      <c r="X238" s="684"/>
      <c r="Y238" s="684"/>
      <c r="Z238" s="684"/>
      <c r="AA238" s="684"/>
    </row>
    <row r="239" spans="5:27" x14ac:dyDescent="0.25">
      <c r="E239" s="684"/>
      <c r="F239" s="684"/>
      <c r="K239"/>
      <c r="L239"/>
      <c r="M239" s="684"/>
      <c r="N239" s="684"/>
      <c r="O239" s="684"/>
      <c r="P239" s="684"/>
      <c r="Q239" s="684"/>
      <c r="R239" s="684"/>
      <c r="S239" s="684"/>
      <c r="T239" s="684"/>
      <c r="U239" s="684"/>
      <c r="V239" s="684"/>
      <c r="W239" s="684"/>
      <c r="X239" s="684"/>
      <c r="Y239" s="684"/>
      <c r="Z239" s="684"/>
      <c r="AA239" s="684"/>
    </row>
    <row r="240" spans="5:27" x14ac:dyDescent="0.25">
      <c r="E240" s="684"/>
      <c r="F240" s="684"/>
      <c r="K240"/>
      <c r="L240"/>
      <c r="M240" s="684"/>
      <c r="N240" s="684"/>
      <c r="O240" s="684"/>
      <c r="P240" s="684"/>
      <c r="Q240" s="684"/>
      <c r="R240" s="684"/>
      <c r="S240" s="684"/>
      <c r="T240" s="684"/>
      <c r="U240" s="684"/>
      <c r="V240" s="684"/>
      <c r="W240" s="684"/>
      <c r="X240" s="684"/>
      <c r="Y240" s="684"/>
      <c r="Z240" s="684"/>
      <c r="AA240" s="684"/>
    </row>
    <row r="241" spans="5:27" x14ac:dyDescent="0.25">
      <c r="E241" s="684"/>
      <c r="F241" s="684"/>
      <c r="K241"/>
      <c r="L241"/>
      <c r="M241" s="684"/>
      <c r="N241" s="684"/>
      <c r="O241" s="684"/>
      <c r="P241" s="684"/>
      <c r="Q241" s="684"/>
      <c r="R241" s="684"/>
      <c r="S241" s="684"/>
      <c r="T241" s="684"/>
      <c r="U241" s="684"/>
      <c r="V241" s="684"/>
      <c r="W241" s="684"/>
      <c r="X241" s="684"/>
      <c r="Y241" s="684"/>
      <c r="Z241" s="684"/>
      <c r="AA241" s="684"/>
    </row>
    <row r="242" spans="5:27" x14ac:dyDescent="0.25">
      <c r="E242" s="684"/>
      <c r="F242" s="684"/>
      <c r="K242"/>
      <c r="L242"/>
      <c r="M242" s="684"/>
      <c r="N242" s="684"/>
      <c r="O242" s="684"/>
      <c r="P242" s="684"/>
      <c r="Q242" s="684"/>
      <c r="R242" s="684"/>
      <c r="S242" s="684"/>
      <c r="T242" s="684"/>
      <c r="U242" s="684"/>
      <c r="V242" s="684"/>
      <c r="W242" s="684"/>
      <c r="X242" s="684"/>
      <c r="Y242" s="684"/>
      <c r="Z242" s="684"/>
      <c r="AA242" s="684"/>
    </row>
    <row r="243" spans="5:27" x14ac:dyDescent="0.25">
      <c r="E243" s="684"/>
      <c r="F243" s="684"/>
      <c r="K243"/>
      <c r="L243"/>
      <c r="M243" s="684"/>
      <c r="N243" s="684"/>
      <c r="O243" s="684"/>
      <c r="P243" s="684"/>
      <c r="Q243" s="684"/>
      <c r="R243" s="684"/>
      <c r="S243" s="684"/>
      <c r="T243" s="684"/>
      <c r="U243" s="684"/>
      <c r="V243" s="684"/>
      <c r="W243" s="684"/>
      <c r="X243" s="684"/>
      <c r="Y243" s="684"/>
      <c r="Z243" s="684"/>
      <c r="AA243" s="684"/>
    </row>
    <row r="244" spans="5:27" x14ac:dyDescent="0.25">
      <c r="E244" s="684"/>
      <c r="F244" s="684"/>
      <c r="K244"/>
      <c r="L244"/>
      <c r="M244" s="684"/>
      <c r="N244" s="684"/>
      <c r="O244" s="684"/>
      <c r="P244" s="684"/>
      <c r="Q244" s="684"/>
      <c r="R244" s="684"/>
      <c r="S244" s="684"/>
      <c r="T244" s="684"/>
      <c r="U244" s="684"/>
      <c r="V244" s="684"/>
      <c r="W244" s="684"/>
      <c r="X244" s="684"/>
      <c r="Y244" s="684"/>
      <c r="Z244" s="684"/>
      <c r="AA244" s="684"/>
    </row>
    <row r="245" spans="5:27" x14ac:dyDescent="0.25">
      <c r="E245" s="684"/>
      <c r="F245" s="684"/>
      <c r="K245"/>
      <c r="L245"/>
      <c r="M245" s="684"/>
      <c r="N245" s="684"/>
      <c r="O245" s="684"/>
      <c r="P245" s="684"/>
      <c r="Q245" s="684"/>
      <c r="R245" s="684"/>
      <c r="S245" s="684"/>
      <c r="T245" s="684"/>
      <c r="U245" s="684"/>
      <c r="V245" s="684"/>
      <c r="W245" s="684"/>
      <c r="X245" s="684"/>
      <c r="Y245" s="684"/>
      <c r="Z245" s="684"/>
      <c r="AA245" s="684"/>
    </row>
    <row r="246" spans="5:27" x14ac:dyDescent="0.25">
      <c r="E246" s="684"/>
      <c r="F246" s="684"/>
      <c r="K246"/>
      <c r="L246"/>
      <c r="M246" s="684"/>
      <c r="N246" s="684"/>
      <c r="O246" s="684"/>
      <c r="P246" s="684"/>
      <c r="Q246" s="684"/>
      <c r="R246" s="684"/>
      <c r="S246" s="684"/>
      <c r="T246" s="684"/>
      <c r="U246" s="684"/>
      <c r="V246" s="684"/>
      <c r="W246" s="684"/>
      <c r="X246" s="684"/>
      <c r="Y246" s="684"/>
      <c r="Z246" s="684"/>
      <c r="AA246" s="684"/>
    </row>
    <row r="247" spans="5:27" x14ac:dyDescent="0.25">
      <c r="E247" s="684"/>
      <c r="F247" s="684"/>
      <c r="K247"/>
      <c r="L247"/>
      <c r="M247" s="684"/>
      <c r="N247" s="684"/>
      <c r="O247" s="684"/>
      <c r="P247" s="684"/>
      <c r="Q247" s="684"/>
      <c r="R247" s="684"/>
      <c r="S247" s="684"/>
      <c r="T247" s="684"/>
      <c r="U247" s="684"/>
      <c r="V247" s="684"/>
      <c r="W247" s="684"/>
      <c r="X247" s="684"/>
      <c r="Y247" s="684"/>
      <c r="Z247" s="684"/>
      <c r="AA247" s="684"/>
    </row>
    <row r="248" spans="5:27" x14ac:dyDescent="0.25">
      <c r="E248" s="684"/>
      <c r="F248" s="684"/>
      <c r="K248"/>
      <c r="L248"/>
      <c r="M248" s="684"/>
      <c r="N248" s="684"/>
      <c r="O248" s="684"/>
      <c r="P248" s="684"/>
      <c r="Q248" s="684"/>
      <c r="R248" s="684"/>
      <c r="S248" s="684"/>
      <c r="T248" s="684"/>
      <c r="U248" s="684"/>
      <c r="V248" s="684"/>
      <c r="W248" s="684"/>
      <c r="X248" s="684"/>
      <c r="Y248" s="684"/>
      <c r="Z248" s="684"/>
      <c r="AA248" s="684"/>
    </row>
    <row r="249" spans="5:27" x14ac:dyDescent="0.25">
      <c r="E249" s="684"/>
      <c r="F249" s="684"/>
      <c r="K249"/>
      <c r="L249"/>
      <c r="M249" s="684"/>
      <c r="N249" s="684"/>
      <c r="O249" s="684"/>
      <c r="P249" s="684"/>
      <c r="Q249" s="684"/>
      <c r="R249" s="684"/>
      <c r="S249" s="684"/>
      <c r="T249" s="684"/>
      <c r="U249" s="684"/>
      <c r="V249" s="684"/>
      <c r="W249" s="684"/>
      <c r="X249" s="684"/>
      <c r="Y249" s="684"/>
      <c r="Z249" s="684"/>
      <c r="AA249" s="684"/>
    </row>
    <row r="250" spans="5:27" x14ac:dyDescent="0.25">
      <c r="E250" s="684"/>
      <c r="F250" s="684"/>
      <c r="K250"/>
      <c r="L250"/>
      <c r="M250" s="684"/>
      <c r="N250" s="684"/>
      <c r="O250" s="684"/>
      <c r="P250" s="684"/>
      <c r="Q250" s="684"/>
      <c r="R250" s="684"/>
      <c r="S250" s="684"/>
      <c r="T250" s="684"/>
      <c r="U250" s="684"/>
      <c r="V250" s="684"/>
      <c r="W250" s="684"/>
      <c r="X250" s="684"/>
      <c r="Y250" s="684"/>
      <c r="Z250" s="684"/>
      <c r="AA250" s="684"/>
    </row>
    <row r="251" spans="5:27" x14ac:dyDescent="0.25">
      <c r="E251" s="684"/>
      <c r="F251" s="684"/>
      <c r="K251"/>
      <c r="L251"/>
      <c r="M251" s="684"/>
      <c r="N251" s="684"/>
      <c r="O251" s="684"/>
      <c r="P251" s="684"/>
      <c r="Q251" s="684"/>
      <c r="R251" s="684"/>
      <c r="S251" s="684"/>
      <c r="T251" s="684"/>
      <c r="U251" s="684"/>
      <c r="V251" s="684"/>
      <c r="W251" s="684"/>
      <c r="X251" s="684"/>
      <c r="Y251" s="684"/>
      <c r="Z251" s="684"/>
      <c r="AA251" s="684"/>
    </row>
    <row r="252" spans="5:27" x14ac:dyDescent="0.25">
      <c r="E252" s="684"/>
      <c r="F252" s="684"/>
      <c r="K252"/>
      <c r="L252"/>
      <c r="M252" s="684"/>
      <c r="N252" s="684"/>
      <c r="O252" s="684"/>
      <c r="P252" s="684"/>
      <c r="Q252" s="684"/>
      <c r="R252" s="684"/>
      <c r="S252" s="684"/>
      <c r="T252" s="684"/>
      <c r="U252" s="684"/>
      <c r="V252" s="684"/>
      <c r="W252" s="684"/>
      <c r="X252" s="684"/>
      <c r="Y252" s="684"/>
      <c r="Z252" s="684"/>
      <c r="AA252" s="684"/>
    </row>
    <row r="253" spans="5:27" x14ac:dyDescent="0.25">
      <c r="E253" s="684"/>
      <c r="F253" s="684"/>
      <c r="K253"/>
      <c r="L253"/>
      <c r="M253" s="684"/>
      <c r="N253" s="684"/>
      <c r="O253" s="684"/>
      <c r="P253" s="684"/>
      <c r="Q253" s="684"/>
      <c r="R253" s="684"/>
      <c r="S253" s="684"/>
      <c r="T253" s="684"/>
      <c r="U253" s="684"/>
      <c r="V253" s="684"/>
      <c r="W253" s="684"/>
      <c r="X253" s="684"/>
      <c r="Y253" s="684"/>
      <c r="Z253" s="684"/>
      <c r="AA253" s="684"/>
    </row>
    <row r="254" spans="5:27" x14ac:dyDescent="0.25">
      <c r="E254" s="684"/>
      <c r="F254" s="684"/>
      <c r="K254"/>
      <c r="L254"/>
      <c r="M254" s="684"/>
      <c r="N254" s="684"/>
      <c r="O254" s="684"/>
      <c r="P254" s="684"/>
      <c r="Q254" s="684"/>
      <c r="R254" s="684"/>
      <c r="S254" s="684"/>
      <c r="T254" s="684"/>
      <c r="U254" s="684"/>
      <c r="V254" s="684"/>
      <c r="W254" s="684"/>
      <c r="X254" s="684"/>
      <c r="Y254" s="684"/>
      <c r="Z254" s="684"/>
      <c r="AA254" s="684"/>
    </row>
    <row r="255" spans="5:27" x14ac:dyDescent="0.25">
      <c r="E255" s="684"/>
      <c r="F255" s="684"/>
      <c r="K255"/>
      <c r="L255"/>
      <c r="M255" s="684"/>
      <c r="N255" s="684"/>
      <c r="O255" s="684"/>
      <c r="P255" s="684"/>
      <c r="Q255" s="684"/>
      <c r="R255" s="684"/>
      <c r="S255" s="684"/>
      <c r="T255" s="684"/>
      <c r="U255" s="684"/>
      <c r="V255" s="684"/>
      <c r="W255" s="684"/>
      <c r="X255" s="684"/>
      <c r="Y255" s="684"/>
      <c r="Z255" s="684"/>
      <c r="AA255" s="684"/>
    </row>
    <row r="256" spans="5:27" x14ac:dyDescent="0.25">
      <c r="E256" s="684"/>
      <c r="F256" s="684"/>
      <c r="K256"/>
      <c r="L256"/>
      <c r="M256" s="684"/>
      <c r="N256" s="684"/>
      <c r="O256" s="684"/>
      <c r="P256" s="684"/>
      <c r="Q256" s="684"/>
      <c r="R256" s="684"/>
      <c r="S256" s="684"/>
      <c r="T256" s="684"/>
      <c r="U256" s="684"/>
      <c r="V256" s="684"/>
      <c r="W256" s="684"/>
      <c r="X256" s="684"/>
      <c r="Y256" s="684"/>
      <c r="Z256" s="684"/>
      <c r="AA256" s="684"/>
    </row>
    <row r="257" spans="5:27" x14ac:dyDescent="0.25">
      <c r="E257" s="684"/>
      <c r="F257" s="684"/>
      <c r="K257"/>
      <c r="L257"/>
      <c r="M257" s="684"/>
      <c r="N257" s="684"/>
      <c r="O257" s="684"/>
      <c r="P257" s="684"/>
      <c r="Q257" s="684"/>
      <c r="R257" s="684"/>
      <c r="S257" s="684"/>
      <c r="T257" s="684"/>
      <c r="U257" s="684"/>
      <c r="V257" s="684"/>
      <c r="W257" s="684"/>
      <c r="X257" s="684"/>
      <c r="Y257" s="684"/>
      <c r="Z257" s="684"/>
      <c r="AA257" s="684"/>
    </row>
    <row r="258" spans="5:27" x14ac:dyDescent="0.25">
      <c r="E258" s="684"/>
      <c r="F258" s="684"/>
      <c r="K258"/>
      <c r="L258"/>
      <c r="M258" s="684"/>
      <c r="N258" s="684"/>
      <c r="O258" s="684"/>
      <c r="P258" s="684"/>
      <c r="Q258" s="684"/>
      <c r="R258" s="684"/>
      <c r="S258" s="684"/>
      <c r="T258" s="684"/>
      <c r="U258" s="684"/>
      <c r="V258" s="684"/>
      <c r="W258" s="684"/>
      <c r="X258" s="684"/>
      <c r="Y258" s="684"/>
      <c r="Z258" s="684"/>
      <c r="AA258" s="684"/>
    </row>
    <row r="259" spans="5:27" x14ac:dyDescent="0.25">
      <c r="E259" s="684"/>
      <c r="F259" s="684"/>
      <c r="K259"/>
      <c r="L259"/>
      <c r="M259" s="684"/>
      <c r="N259" s="684"/>
      <c r="O259" s="684"/>
      <c r="P259" s="684"/>
      <c r="Q259" s="684"/>
      <c r="R259" s="684"/>
      <c r="S259" s="684"/>
      <c r="T259" s="684"/>
      <c r="U259" s="684"/>
      <c r="V259" s="684"/>
      <c r="W259" s="684"/>
      <c r="X259" s="684"/>
      <c r="Y259" s="684"/>
      <c r="Z259" s="684"/>
      <c r="AA259" s="684"/>
    </row>
    <row r="260" spans="5:27" x14ac:dyDescent="0.25">
      <c r="E260" s="684"/>
      <c r="F260" s="684"/>
      <c r="K260"/>
      <c r="L260"/>
      <c r="M260" s="684"/>
      <c r="N260" s="684"/>
      <c r="O260" s="684"/>
      <c r="P260" s="684"/>
      <c r="Q260" s="684"/>
      <c r="R260" s="684"/>
      <c r="S260" s="684"/>
      <c r="T260" s="684"/>
      <c r="U260" s="684"/>
      <c r="V260" s="684"/>
      <c r="W260" s="684"/>
      <c r="X260" s="684"/>
      <c r="Y260" s="684"/>
      <c r="Z260" s="684"/>
      <c r="AA260" s="684"/>
    </row>
    <row r="261" spans="5:27" x14ac:dyDescent="0.25">
      <c r="E261" s="684"/>
      <c r="F261" s="684"/>
      <c r="K261"/>
      <c r="L261"/>
      <c r="M261" s="684"/>
      <c r="N261" s="684"/>
      <c r="O261" s="684"/>
      <c r="P261" s="684"/>
      <c r="Q261" s="684"/>
      <c r="R261" s="684"/>
      <c r="S261" s="684"/>
      <c r="T261" s="684"/>
      <c r="U261" s="684"/>
      <c r="V261" s="684"/>
      <c r="W261" s="684"/>
      <c r="X261" s="684"/>
      <c r="Y261" s="684"/>
      <c r="Z261" s="684"/>
      <c r="AA261" s="684"/>
    </row>
    <row r="262" spans="5:27" x14ac:dyDescent="0.25">
      <c r="E262" s="684"/>
      <c r="F262" s="684"/>
      <c r="K262"/>
      <c r="L262"/>
      <c r="M262" s="684"/>
      <c r="N262" s="684"/>
      <c r="O262" s="684"/>
      <c r="P262" s="684"/>
      <c r="Q262" s="684"/>
      <c r="R262" s="684"/>
      <c r="S262" s="684"/>
      <c r="T262" s="684"/>
      <c r="U262" s="684"/>
      <c r="V262" s="684"/>
      <c r="W262" s="684"/>
      <c r="X262" s="684"/>
      <c r="Y262" s="684"/>
      <c r="Z262" s="684"/>
      <c r="AA262" s="684"/>
    </row>
    <row r="263" spans="5:27" x14ac:dyDescent="0.25">
      <c r="E263" s="684"/>
      <c r="F263" s="684"/>
      <c r="K263"/>
      <c r="L263"/>
      <c r="M263" s="684"/>
      <c r="N263" s="684"/>
      <c r="O263" s="684"/>
      <c r="P263" s="684"/>
      <c r="Q263" s="684"/>
      <c r="R263" s="684"/>
      <c r="S263" s="684"/>
      <c r="T263" s="684"/>
      <c r="U263" s="684"/>
      <c r="V263" s="684"/>
      <c r="W263" s="684"/>
      <c r="X263" s="684"/>
      <c r="Y263" s="684"/>
      <c r="Z263" s="684"/>
      <c r="AA263" s="684"/>
    </row>
    <row r="264" spans="5:27" x14ac:dyDescent="0.25">
      <c r="E264" s="684"/>
      <c r="F264" s="684"/>
      <c r="K264"/>
      <c r="L264"/>
      <c r="M264" s="684"/>
      <c r="N264" s="684"/>
      <c r="O264" s="684"/>
      <c r="P264" s="684"/>
      <c r="Q264" s="684"/>
      <c r="R264" s="684"/>
      <c r="S264" s="684"/>
      <c r="T264" s="684"/>
      <c r="U264" s="684"/>
      <c r="V264" s="684"/>
      <c r="W264" s="684"/>
      <c r="X264" s="684"/>
      <c r="Y264" s="684"/>
      <c r="Z264" s="684"/>
      <c r="AA264" s="684"/>
    </row>
    <row r="265" spans="5:27" x14ac:dyDescent="0.25">
      <c r="E265" s="684"/>
      <c r="F265" s="684"/>
      <c r="K265"/>
      <c r="L265"/>
      <c r="M265" s="684"/>
      <c r="N265" s="684"/>
      <c r="O265" s="684"/>
      <c r="P265" s="684"/>
      <c r="Q265" s="684"/>
      <c r="R265" s="684"/>
      <c r="S265" s="684"/>
      <c r="T265" s="684"/>
      <c r="U265" s="684"/>
      <c r="V265" s="684"/>
      <c r="W265" s="684"/>
      <c r="X265" s="684"/>
      <c r="Y265" s="684"/>
      <c r="Z265" s="684"/>
      <c r="AA265" s="684"/>
    </row>
    <row r="266" spans="5:27" x14ac:dyDescent="0.25">
      <c r="E266" s="684"/>
      <c r="F266" s="684"/>
      <c r="K266"/>
      <c r="L266"/>
      <c r="M266" s="684"/>
      <c r="N266" s="684"/>
      <c r="O266" s="684"/>
      <c r="P266" s="684"/>
      <c r="Q266" s="684"/>
      <c r="R266" s="684"/>
      <c r="S266" s="684"/>
      <c r="T266" s="684"/>
      <c r="U266" s="684"/>
      <c r="V266" s="684"/>
      <c r="W266" s="684"/>
      <c r="X266" s="684"/>
      <c r="Y266" s="684"/>
      <c r="Z266" s="684"/>
      <c r="AA266" s="684"/>
    </row>
    <row r="267" spans="5:27" x14ac:dyDescent="0.25">
      <c r="E267" s="684"/>
      <c r="F267" s="684"/>
      <c r="K267"/>
      <c r="L267"/>
      <c r="M267" s="684"/>
      <c r="N267" s="684"/>
      <c r="O267" s="684"/>
      <c r="P267" s="684"/>
      <c r="Q267" s="684"/>
      <c r="R267" s="684"/>
      <c r="S267" s="684"/>
      <c r="T267" s="684"/>
      <c r="U267" s="684"/>
      <c r="V267" s="684"/>
      <c r="W267" s="684"/>
      <c r="X267" s="684"/>
      <c r="Y267" s="684"/>
      <c r="Z267" s="684"/>
      <c r="AA267" s="684"/>
    </row>
    <row r="268" spans="5:27" x14ac:dyDescent="0.25">
      <c r="E268" s="684"/>
      <c r="F268" s="684"/>
      <c r="K268"/>
      <c r="L268"/>
      <c r="M268" s="684"/>
      <c r="N268" s="684"/>
      <c r="O268" s="684"/>
      <c r="P268" s="684"/>
      <c r="Q268" s="684"/>
      <c r="R268" s="684"/>
      <c r="S268" s="684"/>
      <c r="T268" s="684"/>
      <c r="U268" s="684"/>
      <c r="V268" s="684"/>
      <c r="W268" s="684"/>
      <c r="X268" s="684"/>
      <c r="Y268" s="684"/>
      <c r="Z268" s="684"/>
      <c r="AA268" s="684"/>
    </row>
    <row r="269" spans="5:27" x14ac:dyDescent="0.25">
      <c r="E269" s="684"/>
      <c r="F269" s="684"/>
      <c r="K269"/>
      <c r="L269"/>
      <c r="M269" s="684"/>
      <c r="N269" s="684"/>
      <c r="O269" s="684"/>
      <c r="P269" s="684"/>
      <c r="Q269" s="684"/>
      <c r="R269" s="684"/>
      <c r="S269" s="684"/>
      <c r="T269" s="684"/>
      <c r="U269" s="684"/>
      <c r="V269" s="684"/>
      <c r="W269" s="684"/>
      <c r="X269" s="684"/>
      <c r="Y269" s="684"/>
      <c r="Z269" s="684"/>
      <c r="AA269" s="684"/>
    </row>
    <row r="270" spans="5:27" x14ac:dyDescent="0.25">
      <c r="E270" s="684"/>
      <c r="F270" s="684"/>
      <c r="K270"/>
      <c r="L270"/>
      <c r="M270" s="684"/>
      <c r="N270" s="684"/>
      <c r="O270" s="684"/>
      <c r="P270" s="684"/>
      <c r="Q270" s="684"/>
      <c r="R270" s="684"/>
      <c r="S270" s="684"/>
      <c r="T270" s="684"/>
      <c r="U270" s="684"/>
      <c r="V270" s="684"/>
      <c r="W270" s="684"/>
      <c r="X270" s="684"/>
      <c r="Y270" s="684"/>
      <c r="Z270" s="684"/>
      <c r="AA270" s="684"/>
    </row>
    <row r="271" spans="5:27" x14ac:dyDescent="0.25">
      <c r="E271" s="684"/>
      <c r="F271" s="684"/>
      <c r="K271"/>
      <c r="L271"/>
      <c r="M271" s="684"/>
      <c r="N271" s="684"/>
      <c r="O271" s="684"/>
      <c r="P271" s="684"/>
      <c r="Q271" s="684"/>
      <c r="R271" s="684"/>
      <c r="S271" s="684"/>
      <c r="T271" s="684"/>
      <c r="U271" s="684"/>
      <c r="V271" s="684"/>
      <c r="W271" s="684"/>
      <c r="X271" s="684"/>
      <c r="Y271" s="684"/>
      <c r="Z271" s="684"/>
      <c r="AA271" s="684"/>
    </row>
    <row r="272" spans="5:27" x14ac:dyDescent="0.25">
      <c r="E272" s="684"/>
      <c r="F272" s="684"/>
      <c r="K272"/>
      <c r="L272"/>
      <c r="M272" s="684"/>
      <c r="N272" s="684"/>
      <c r="O272" s="684"/>
      <c r="P272" s="684"/>
      <c r="Q272" s="684"/>
      <c r="R272" s="684"/>
      <c r="S272" s="684"/>
      <c r="T272" s="684"/>
      <c r="U272" s="684"/>
      <c r="V272" s="684"/>
      <c r="W272" s="684"/>
      <c r="X272" s="684"/>
      <c r="Y272" s="684"/>
      <c r="Z272" s="684"/>
      <c r="AA272" s="684"/>
    </row>
    <row r="273" spans="5:27" x14ac:dyDescent="0.25">
      <c r="E273" s="684"/>
      <c r="F273" s="684"/>
      <c r="K273"/>
      <c r="L273"/>
      <c r="M273" s="684"/>
      <c r="N273" s="684"/>
      <c r="O273" s="684"/>
      <c r="P273" s="684"/>
      <c r="Q273" s="684"/>
      <c r="R273" s="684"/>
      <c r="S273" s="684"/>
      <c r="T273" s="684"/>
      <c r="U273" s="684"/>
      <c r="V273" s="684"/>
      <c r="W273" s="684"/>
      <c r="X273" s="684"/>
      <c r="Y273" s="684"/>
      <c r="Z273" s="684"/>
      <c r="AA273" s="684"/>
    </row>
    <row r="274" spans="5:27" x14ac:dyDescent="0.25">
      <c r="E274" s="684"/>
      <c r="F274" s="684"/>
      <c r="K274"/>
      <c r="L274"/>
      <c r="M274" s="684"/>
      <c r="N274" s="684"/>
      <c r="O274" s="684"/>
      <c r="P274" s="684"/>
      <c r="Q274" s="684"/>
      <c r="R274" s="684"/>
      <c r="S274" s="684"/>
      <c r="T274" s="684"/>
      <c r="U274" s="684"/>
      <c r="V274" s="684"/>
      <c r="W274" s="684"/>
      <c r="X274" s="684"/>
      <c r="Y274" s="684"/>
      <c r="Z274" s="684"/>
      <c r="AA274" s="684"/>
    </row>
    <row r="275" spans="5:27" x14ac:dyDescent="0.25">
      <c r="E275" s="684"/>
      <c r="F275" s="684"/>
      <c r="K275"/>
      <c r="L275"/>
      <c r="M275" s="684"/>
      <c r="N275" s="684"/>
      <c r="O275" s="684"/>
      <c r="P275" s="684"/>
      <c r="Q275" s="684"/>
      <c r="R275" s="684"/>
      <c r="S275" s="684"/>
      <c r="T275" s="684"/>
      <c r="U275" s="684"/>
      <c r="V275" s="684"/>
      <c r="W275" s="684"/>
      <c r="X275" s="684"/>
      <c r="Y275" s="684"/>
      <c r="Z275" s="684"/>
      <c r="AA275" s="684"/>
    </row>
    <row r="276" spans="5:27" x14ac:dyDescent="0.25">
      <c r="E276" s="684"/>
      <c r="F276" s="684"/>
      <c r="K276"/>
      <c r="L276"/>
      <c r="M276" s="684"/>
      <c r="N276" s="684"/>
      <c r="O276" s="684"/>
      <c r="P276" s="684"/>
      <c r="Q276" s="684"/>
      <c r="R276" s="684"/>
      <c r="S276" s="684"/>
      <c r="T276" s="684"/>
      <c r="U276" s="684"/>
      <c r="V276" s="684"/>
      <c r="W276" s="684"/>
      <c r="X276" s="684"/>
      <c r="Y276" s="684"/>
      <c r="Z276" s="684"/>
      <c r="AA276" s="684"/>
    </row>
    <row r="277" spans="5:27" x14ac:dyDescent="0.25">
      <c r="E277" s="684"/>
      <c r="F277" s="684"/>
      <c r="K277"/>
      <c r="L277"/>
      <c r="M277" s="684"/>
      <c r="N277" s="684"/>
      <c r="O277" s="684"/>
      <c r="P277" s="684"/>
      <c r="Q277" s="684"/>
      <c r="R277" s="684"/>
      <c r="S277" s="684"/>
      <c r="T277" s="684"/>
      <c r="U277" s="684"/>
      <c r="V277" s="684"/>
      <c r="W277" s="684"/>
      <c r="X277" s="684"/>
      <c r="Y277" s="684"/>
      <c r="Z277" s="684"/>
      <c r="AA277" s="684"/>
    </row>
    <row r="278" spans="5:27" x14ac:dyDescent="0.25">
      <c r="E278" s="684"/>
      <c r="F278" s="684"/>
      <c r="K278"/>
      <c r="L278"/>
      <c r="M278" s="684"/>
      <c r="N278" s="684"/>
      <c r="O278" s="684"/>
      <c r="P278" s="684"/>
      <c r="Q278" s="684"/>
      <c r="R278" s="684"/>
      <c r="S278" s="684"/>
      <c r="T278" s="684"/>
      <c r="U278" s="684"/>
      <c r="V278" s="684"/>
      <c r="W278" s="684"/>
      <c r="X278" s="684"/>
      <c r="Y278" s="684"/>
      <c r="Z278" s="684"/>
      <c r="AA278" s="684"/>
    </row>
    <row r="279" spans="5:27" x14ac:dyDescent="0.25">
      <c r="E279" s="684"/>
      <c r="F279" s="684"/>
      <c r="K279"/>
      <c r="L279"/>
      <c r="M279" s="684"/>
      <c r="N279" s="684"/>
      <c r="O279" s="684"/>
      <c r="P279" s="684"/>
      <c r="Q279" s="684"/>
      <c r="R279" s="684"/>
      <c r="S279" s="684"/>
      <c r="T279" s="684"/>
      <c r="U279" s="684"/>
      <c r="V279" s="684"/>
      <c r="W279" s="684"/>
      <c r="X279" s="684"/>
      <c r="Y279" s="684"/>
      <c r="Z279" s="684"/>
      <c r="AA279" s="684"/>
    </row>
    <row r="280" spans="5:27" x14ac:dyDescent="0.25">
      <c r="E280" s="684"/>
      <c r="F280" s="684"/>
      <c r="K280"/>
      <c r="L280"/>
    </row>
    <row r="281" spans="5:27" x14ac:dyDescent="0.25">
      <c r="E281" s="684"/>
      <c r="F281" s="684"/>
      <c r="K281"/>
      <c r="L281"/>
    </row>
    <row r="282" spans="5:27" x14ac:dyDescent="0.25">
      <c r="E282" s="684"/>
      <c r="F282" s="684"/>
      <c r="K282"/>
      <c r="L282"/>
    </row>
    <row r="283" spans="5:27" x14ac:dyDescent="0.25">
      <c r="E283" s="684"/>
      <c r="F283" s="684"/>
      <c r="K283"/>
      <c r="L283"/>
    </row>
    <row r="284" spans="5:27" x14ac:dyDescent="0.25">
      <c r="E284" s="684"/>
      <c r="F284" s="684"/>
      <c r="K284"/>
      <c r="L284"/>
    </row>
    <row r="285" spans="5:27" x14ac:dyDescent="0.25">
      <c r="E285" s="684"/>
      <c r="F285" s="684"/>
      <c r="K285"/>
      <c r="L285"/>
    </row>
    <row r="286" spans="5:27" x14ac:dyDescent="0.25">
      <c r="E286" s="684"/>
      <c r="F286" s="684"/>
      <c r="K286"/>
      <c r="L286"/>
    </row>
    <row r="287" spans="5:27" x14ac:dyDescent="0.25">
      <c r="E287" s="684"/>
      <c r="F287" s="684"/>
      <c r="K287"/>
      <c r="L287"/>
    </row>
    <row r="288" spans="5:27" x14ac:dyDescent="0.25">
      <c r="K288"/>
      <c r="L288"/>
    </row>
    <row r="289" spans="11:12" x14ac:dyDescent="0.25">
      <c r="K289"/>
      <c r="L289"/>
    </row>
    <row r="290" spans="11:12" x14ac:dyDescent="0.25">
      <c r="K290"/>
      <c r="L290"/>
    </row>
    <row r="291" spans="11:12" x14ac:dyDescent="0.25">
      <c r="K291"/>
      <c r="L291"/>
    </row>
    <row r="292" spans="11:12" x14ac:dyDescent="0.25">
      <c r="K292"/>
      <c r="L292"/>
    </row>
    <row r="293" spans="11:12" x14ac:dyDescent="0.25">
      <c r="K293"/>
      <c r="L293"/>
    </row>
    <row r="294" spans="11:12" x14ac:dyDescent="0.25">
      <c r="K294"/>
      <c r="L294"/>
    </row>
    <row r="295" spans="11:12" x14ac:dyDescent="0.25">
      <c r="K295"/>
      <c r="L295"/>
    </row>
    <row r="296" spans="11:12" x14ac:dyDescent="0.25">
      <c r="K296"/>
      <c r="L296"/>
    </row>
    <row r="297" spans="11:12" x14ac:dyDescent="0.25">
      <c r="K297"/>
      <c r="L297"/>
    </row>
    <row r="298" spans="11:12" x14ac:dyDescent="0.25">
      <c r="K298"/>
      <c r="L298"/>
    </row>
    <row r="299" spans="11:12" x14ac:dyDescent="0.25">
      <c r="K299"/>
      <c r="L299"/>
    </row>
    <row r="300" spans="11:12" x14ac:dyDescent="0.25">
      <c r="K300"/>
      <c r="L300"/>
    </row>
    <row r="301" spans="11:12" x14ac:dyDescent="0.25">
      <c r="K301"/>
      <c r="L301"/>
    </row>
    <row r="302" spans="11:12" x14ac:dyDescent="0.25">
      <c r="K302"/>
      <c r="L302"/>
    </row>
    <row r="303" spans="11:12" x14ac:dyDescent="0.25">
      <c r="K303"/>
      <c r="L303"/>
    </row>
    <row r="304" spans="11:12" x14ac:dyDescent="0.25">
      <c r="K304"/>
      <c r="L304"/>
    </row>
    <row r="305" spans="11:12" x14ac:dyDescent="0.25">
      <c r="K305"/>
      <c r="L305"/>
    </row>
    <row r="306" spans="11:12" x14ac:dyDescent="0.25">
      <c r="K306"/>
      <c r="L306"/>
    </row>
    <row r="307" spans="11:12" x14ac:dyDescent="0.25">
      <c r="K307"/>
      <c r="L307"/>
    </row>
    <row r="308" spans="11:12" x14ac:dyDescent="0.25">
      <c r="K308"/>
      <c r="L308"/>
    </row>
    <row r="309" spans="11:12" x14ac:dyDescent="0.25">
      <c r="K309"/>
      <c r="L309"/>
    </row>
    <row r="310" spans="11:12" x14ac:dyDescent="0.25">
      <c r="K310"/>
      <c r="L310"/>
    </row>
    <row r="311" spans="11:12" x14ac:dyDescent="0.25">
      <c r="K311"/>
      <c r="L311"/>
    </row>
    <row r="312" spans="11:12" x14ac:dyDescent="0.25">
      <c r="K312"/>
      <c r="L312"/>
    </row>
    <row r="313" spans="11:12" x14ac:dyDescent="0.25">
      <c r="K313"/>
      <c r="L313"/>
    </row>
    <row r="314" spans="11:12" x14ac:dyDescent="0.25">
      <c r="K314"/>
      <c r="L314"/>
    </row>
    <row r="315" spans="11:12" x14ac:dyDescent="0.25">
      <c r="K315"/>
      <c r="L315"/>
    </row>
    <row r="316" spans="11:12" x14ac:dyDescent="0.25">
      <c r="K316"/>
      <c r="L316"/>
    </row>
    <row r="317" spans="11:12" x14ac:dyDescent="0.25">
      <c r="K317"/>
      <c r="L317"/>
    </row>
    <row r="318" spans="11:12" x14ac:dyDescent="0.25">
      <c r="K318"/>
      <c r="L318"/>
    </row>
    <row r="319" spans="11:12" x14ac:dyDescent="0.25">
      <c r="K319"/>
      <c r="L319"/>
    </row>
    <row r="320" spans="11:12" x14ac:dyDescent="0.25">
      <c r="K320"/>
      <c r="L320"/>
    </row>
    <row r="321" spans="11:12" x14ac:dyDescent="0.25">
      <c r="K321"/>
      <c r="L321"/>
    </row>
    <row r="322" spans="11:12" x14ac:dyDescent="0.25">
      <c r="K322"/>
      <c r="L322"/>
    </row>
    <row r="323" spans="11:12" x14ac:dyDescent="0.25">
      <c r="K323"/>
      <c r="L323"/>
    </row>
    <row r="324" spans="11:12" x14ac:dyDescent="0.25">
      <c r="K324"/>
      <c r="L324"/>
    </row>
    <row r="325" spans="11:12" x14ac:dyDescent="0.25">
      <c r="K325"/>
      <c r="L325"/>
    </row>
    <row r="326" spans="11:12" x14ac:dyDescent="0.25">
      <c r="K326"/>
      <c r="L326"/>
    </row>
    <row r="327" spans="11:12" x14ac:dyDescent="0.25">
      <c r="K327"/>
      <c r="L327"/>
    </row>
    <row r="328" spans="11:12" x14ac:dyDescent="0.25">
      <c r="K328"/>
      <c r="L328"/>
    </row>
    <row r="329" spans="11:12" x14ac:dyDescent="0.25">
      <c r="K329"/>
      <c r="L329"/>
    </row>
    <row r="330" spans="11:12" x14ac:dyDescent="0.25">
      <c r="K330"/>
      <c r="L330"/>
    </row>
    <row r="331" spans="11:12" x14ac:dyDescent="0.25">
      <c r="K331"/>
      <c r="L331"/>
    </row>
    <row r="332" spans="11:12" x14ac:dyDescent="0.25">
      <c r="K332"/>
      <c r="L332"/>
    </row>
    <row r="333" spans="11:12" x14ac:dyDescent="0.25">
      <c r="K333"/>
      <c r="L333"/>
    </row>
    <row r="334" spans="11:12" x14ac:dyDescent="0.25">
      <c r="K334"/>
      <c r="L334"/>
    </row>
    <row r="335" spans="11:12" x14ac:dyDescent="0.25">
      <c r="K335"/>
      <c r="L335"/>
    </row>
    <row r="336" spans="11:12" x14ac:dyDescent="0.25">
      <c r="K336"/>
      <c r="L336"/>
    </row>
    <row r="337" spans="11:12" x14ac:dyDescent="0.25">
      <c r="K337"/>
      <c r="L337"/>
    </row>
    <row r="338" spans="11:12" x14ac:dyDescent="0.25">
      <c r="K338"/>
      <c r="L338"/>
    </row>
    <row r="339" spans="11:12" x14ac:dyDescent="0.25">
      <c r="K339"/>
      <c r="L339"/>
    </row>
    <row r="340" spans="11:12" x14ac:dyDescent="0.25">
      <c r="K340"/>
      <c r="L340"/>
    </row>
    <row r="341" spans="11:12" x14ac:dyDescent="0.25">
      <c r="K341"/>
      <c r="L341"/>
    </row>
    <row r="342" spans="11:12" x14ac:dyDescent="0.25">
      <c r="K342"/>
      <c r="L342"/>
    </row>
    <row r="343" spans="11:12" x14ac:dyDescent="0.25">
      <c r="K343"/>
      <c r="L343"/>
    </row>
    <row r="344" spans="11:12" x14ac:dyDescent="0.25">
      <c r="K344"/>
      <c r="L344"/>
    </row>
    <row r="345" spans="11:12" x14ac:dyDescent="0.25">
      <c r="K345"/>
      <c r="L345"/>
    </row>
    <row r="346" spans="11:12" x14ac:dyDescent="0.25">
      <c r="K346"/>
      <c r="L346"/>
    </row>
    <row r="347" spans="11:12" x14ac:dyDescent="0.25">
      <c r="K347"/>
      <c r="L347"/>
    </row>
    <row r="348" spans="11:12" x14ac:dyDescent="0.25">
      <c r="K348"/>
      <c r="L348"/>
    </row>
    <row r="349" spans="11:12" x14ac:dyDescent="0.25">
      <c r="K349"/>
      <c r="L349"/>
    </row>
    <row r="350" spans="11:12" x14ac:dyDescent="0.25">
      <c r="K350"/>
      <c r="L350"/>
    </row>
    <row r="351" spans="11:12" x14ac:dyDescent="0.25">
      <c r="K351"/>
      <c r="L351"/>
    </row>
    <row r="352" spans="11:12" x14ac:dyDescent="0.25">
      <c r="K352"/>
      <c r="L352"/>
    </row>
    <row r="353" spans="11:12" x14ac:dyDescent="0.25">
      <c r="K353"/>
      <c r="L353"/>
    </row>
    <row r="354" spans="11:12" x14ac:dyDescent="0.25">
      <c r="K354"/>
      <c r="L354"/>
    </row>
    <row r="355" spans="11:12" x14ac:dyDescent="0.25">
      <c r="K355"/>
      <c r="L355"/>
    </row>
    <row r="356" spans="11:12" x14ac:dyDescent="0.25">
      <c r="K356"/>
      <c r="L356"/>
    </row>
    <row r="357" spans="11:12" x14ac:dyDescent="0.25">
      <c r="K357"/>
      <c r="L357"/>
    </row>
    <row r="358" spans="11:12" x14ac:dyDescent="0.25">
      <c r="K358"/>
      <c r="L358"/>
    </row>
    <row r="359" spans="11:12" x14ac:dyDescent="0.25">
      <c r="K359"/>
      <c r="L359"/>
    </row>
    <row r="360" spans="11:12" x14ac:dyDescent="0.25">
      <c r="K360"/>
      <c r="L360"/>
    </row>
    <row r="361" spans="11:12" x14ac:dyDescent="0.25">
      <c r="K361"/>
      <c r="L361"/>
    </row>
    <row r="362" spans="11:12" x14ac:dyDescent="0.25">
      <c r="K362"/>
      <c r="L362"/>
    </row>
    <row r="363" spans="11:12" x14ac:dyDescent="0.25">
      <c r="K363"/>
      <c r="L363"/>
    </row>
    <row r="364" spans="11:12" x14ac:dyDescent="0.25">
      <c r="K364"/>
      <c r="L364"/>
    </row>
    <row r="365" spans="11:12" x14ac:dyDescent="0.25">
      <c r="K365"/>
      <c r="L365"/>
    </row>
    <row r="366" spans="11:12" x14ac:dyDescent="0.25">
      <c r="K366"/>
      <c r="L366"/>
    </row>
    <row r="367" spans="11:12" x14ac:dyDescent="0.25">
      <c r="K367"/>
      <c r="L367"/>
    </row>
    <row r="368" spans="11:12" x14ac:dyDescent="0.25">
      <c r="K368"/>
      <c r="L368"/>
    </row>
    <row r="369" spans="11:12" x14ac:dyDescent="0.25">
      <c r="K369"/>
      <c r="L369"/>
    </row>
    <row r="370" spans="11:12" x14ac:dyDescent="0.25">
      <c r="K370"/>
      <c r="L370"/>
    </row>
    <row r="371" spans="11:12" x14ac:dyDescent="0.25">
      <c r="K371"/>
      <c r="L371"/>
    </row>
    <row r="372" spans="11:12" x14ac:dyDescent="0.25">
      <c r="K372"/>
      <c r="L372"/>
    </row>
    <row r="373" spans="11:12" x14ac:dyDescent="0.25">
      <c r="K373"/>
      <c r="L373"/>
    </row>
    <row r="374" spans="11:12" x14ac:dyDescent="0.25">
      <c r="K374"/>
      <c r="L374"/>
    </row>
    <row r="375" spans="11:12" x14ac:dyDescent="0.25">
      <c r="K375"/>
      <c r="L375"/>
    </row>
    <row r="376" spans="11:12" x14ac:dyDescent="0.25">
      <c r="K376"/>
      <c r="L376"/>
    </row>
    <row r="377" spans="11:12" x14ac:dyDescent="0.25">
      <c r="K377"/>
      <c r="L377"/>
    </row>
    <row r="378" spans="11:12" x14ac:dyDescent="0.25">
      <c r="K378"/>
      <c r="L378"/>
    </row>
    <row r="379" spans="11:12" x14ac:dyDescent="0.25">
      <c r="K379"/>
      <c r="L379"/>
    </row>
    <row r="380" spans="11:12" x14ac:dyDescent="0.25">
      <c r="K380"/>
      <c r="L380"/>
    </row>
    <row r="381" spans="11:12" x14ac:dyDescent="0.25">
      <c r="K381"/>
      <c r="L381"/>
    </row>
    <row r="382" spans="11:12" x14ac:dyDescent="0.25">
      <c r="K382"/>
      <c r="L382"/>
    </row>
    <row r="383" spans="11:12" x14ac:dyDescent="0.25">
      <c r="K383"/>
      <c r="L383"/>
    </row>
    <row r="384" spans="11:12" x14ac:dyDescent="0.25">
      <c r="K384"/>
      <c r="L384"/>
    </row>
    <row r="385" spans="11:12" x14ac:dyDescent="0.25">
      <c r="K385" s="684"/>
      <c r="L385" s="684"/>
    </row>
  </sheetData>
  <sheetProtection algorithmName="SHA-512" hashValue="L8pLsRL2Ye6/sSjTq6/gyBmJWfzwyBwAv/GpA8NAMGigt+fuUQgIVoFY8wb8JKUAg1iXbG/+3TtUmNukPHexpQ==" saltValue="XSp78aguQISEhghFIQCPJA==" spinCount="100000" sheet="1" objects="1" scenarios="1"/>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4CDA-1C81-5141-BF82-4C9DE040BD97}">
  <sheetPr codeName="Hoja6"/>
  <dimension ref="A1:AI7"/>
  <sheetViews>
    <sheetView zoomScale="78" zoomScaleNormal="78" workbookViewId="0">
      <pane ySplit="1" topLeftCell="A2" activePane="bottomLeft" state="frozen"/>
      <selection pane="bottomLeft" activeCell="G3" sqref="G3"/>
    </sheetView>
  </sheetViews>
  <sheetFormatPr baseColWidth="10" defaultColWidth="23.42578125" defaultRowHeight="145.5" customHeight="1" x14ac:dyDescent="0.2"/>
  <cols>
    <col min="1" max="1" width="30.7109375" style="672" customWidth="1"/>
    <col min="2" max="16384" width="23.42578125" style="672"/>
  </cols>
  <sheetData>
    <row r="1" spans="1:35" ht="90" x14ac:dyDescent="0.2">
      <c r="A1" s="689" t="s">
        <v>261</v>
      </c>
      <c r="B1" s="689" t="s">
        <v>262</v>
      </c>
      <c r="C1" s="689" t="s">
        <v>263</v>
      </c>
      <c r="D1" s="689" t="s">
        <v>264</v>
      </c>
      <c r="E1" s="689" t="s">
        <v>265</v>
      </c>
      <c r="F1" s="689" t="s">
        <v>266</v>
      </c>
      <c r="G1" s="689" t="s">
        <v>267</v>
      </c>
      <c r="H1" s="689" t="s">
        <v>268</v>
      </c>
      <c r="I1" s="689" t="s">
        <v>269</v>
      </c>
      <c r="J1" s="689" t="s">
        <v>270</v>
      </c>
      <c r="K1" s="689" t="s">
        <v>271</v>
      </c>
      <c r="L1" s="689" t="s">
        <v>272</v>
      </c>
      <c r="M1" s="689" t="s">
        <v>273</v>
      </c>
      <c r="N1" s="690" t="s">
        <v>274</v>
      </c>
      <c r="O1" s="689" t="s">
        <v>275</v>
      </c>
      <c r="P1" s="691" t="s">
        <v>276</v>
      </c>
      <c r="Q1" s="691" t="s">
        <v>277</v>
      </c>
      <c r="R1" s="691" t="s">
        <v>278</v>
      </c>
      <c r="S1" s="692" t="s">
        <v>279</v>
      </c>
      <c r="T1" s="691" t="s">
        <v>280</v>
      </c>
      <c r="U1" s="693" t="s">
        <v>281</v>
      </c>
      <c r="V1" s="691" t="s">
        <v>282</v>
      </c>
      <c r="W1" s="694" t="s">
        <v>283</v>
      </c>
      <c r="X1" s="693" t="s">
        <v>284</v>
      </c>
      <c r="Y1" s="691" t="s">
        <v>285</v>
      </c>
      <c r="Z1" s="695" t="s">
        <v>286</v>
      </c>
      <c r="AA1" s="695" t="s">
        <v>287</v>
      </c>
      <c r="AB1" s="691" t="s">
        <v>288</v>
      </c>
      <c r="AC1" s="691" t="s">
        <v>289</v>
      </c>
      <c r="AD1" s="691" t="s">
        <v>290</v>
      </c>
      <c r="AE1" s="691" t="s">
        <v>291</v>
      </c>
      <c r="AF1" s="689" t="s">
        <v>292</v>
      </c>
      <c r="AG1" s="711" t="s">
        <v>3939</v>
      </c>
      <c r="AH1" s="711" t="s">
        <v>3940</v>
      </c>
      <c r="AI1" s="711" t="s">
        <v>3941</v>
      </c>
    </row>
    <row r="2" spans="1:35" ht="150" customHeight="1" x14ac:dyDescent="0.2">
      <c r="A2" s="696">
        <v>713735</v>
      </c>
      <c r="B2" s="696" t="s">
        <v>13</v>
      </c>
      <c r="C2" s="696" t="s">
        <v>3770</v>
      </c>
      <c r="D2" s="696" t="s">
        <v>14</v>
      </c>
      <c r="E2" s="701">
        <v>44267</v>
      </c>
      <c r="F2" s="696" t="s">
        <v>1864</v>
      </c>
      <c r="G2" s="696" t="s">
        <v>15</v>
      </c>
      <c r="H2" s="696" t="s">
        <v>1865</v>
      </c>
      <c r="I2" s="696" t="s">
        <v>1866</v>
      </c>
      <c r="J2" s="696" t="s">
        <v>16</v>
      </c>
      <c r="K2" s="696" t="s">
        <v>298</v>
      </c>
      <c r="L2" s="696" t="s">
        <v>1867</v>
      </c>
      <c r="M2" s="696" t="s">
        <v>17</v>
      </c>
      <c r="N2" s="698" t="s">
        <v>1868</v>
      </c>
      <c r="O2" s="696" t="s">
        <v>1869</v>
      </c>
      <c r="P2" s="696" t="s">
        <v>1870</v>
      </c>
      <c r="Q2" s="696" t="s">
        <v>1870</v>
      </c>
      <c r="R2" s="696" t="s">
        <v>17</v>
      </c>
      <c r="S2" s="696" t="s">
        <v>1871</v>
      </c>
      <c r="T2" s="696" t="s">
        <v>18</v>
      </c>
      <c r="U2" s="696" t="s">
        <v>17</v>
      </c>
      <c r="V2" s="696" t="s">
        <v>17</v>
      </c>
      <c r="W2" s="696" t="s">
        <v>17</v>
      </c>
      <c r="X2" s="696" t="s">
        <v>17</v>
      </c>
      <c r="Y2" s="696" t="s">
        <v>17</v>
      </c>
      <c r="Z2" s="696" t="s">
        <v>19</v>
      </c>
      <c r="AA2" s="696" t="s">
        <v>17</v>
      </c>
      <c r="AB2" s="696" t="s">
        <v>17</v>
      </c>
      <c r="AC2" s="696" t="s">
        <v>1872</v>
      </c>
      <c r="AD2" s="696" t="s">
        <v>19</v>
      </c>
      <c r="AE2" s="679"/>
      <c r="AF2" s="696" t="s">
        <v>1873</v>
      </c>
      <c r="AG2" s="881" t="s">
        <v>3942</v>
      </c>
      <c r="AH2" s="881"/>
      <c r="AI2" s="881"/>
    </row>
    <row r="3" spans="1:35" ht="150" customHeight="1" x14ac:dyDescent="0.2">
      <c r="A3" s="696">
        <v>722198</v>
      </c>
      <c r="B3" s="696" t="s">
        <v>13</v>
      </c>
      <c r="C3" s="696" t="s">
        <v>3771</v>
      </c>
      <c r="D3" s="696" t="s">
        <v>20</v>
      </c>
      <c r="E3" s="701">
        <v>44813</v>
      </c>
      <c r="F3" s="696" t="s">
        <v>2253</v>
      </c>
      <c r="G3" s="696" t="s">
        <v>15</v>
      </c>
      <c r="H3" s="696" t="s">
        <v>2254</v>
      </c>
      <c r="I3" s="696" t="s">
        <v>2255</v>
      </c>
      <c r="J3" s="696" t="s">
        <v>16</v>
      </c>
      <c r="K3" s="696" t="s">
        <v>298</v>
      </c>
      <c r="L3" s="696" t="s">
        <v>2256</v>
      </c>
      <c r="M3" s="696" t="s">
        <v>17</v>
      </c>
      <c r="N3" s="698" t="s">
        <v>2257</v>
      </c>
      <c r="O3" s="696" t="s">
        <v>2258</v>
      </c>
      <c r="P3" s="696" t="s">
        <v>17</v>
      </c>
      <c r="Q3" s="696" t="s">
        <v>17</v>
      </c>
      <c r="R3" s="696" t="s">
        <v>13</v>
      </c>
      <c r="S3" s="696" t="s">
        <v>460</v>
      </c>
      <c r="T3" s="696" t="s">
        <v>21</v>
      </c>
      <c r="U3" s="696" t="s">
        <v>17</v>
      </c>
      <c r="V3" s="696" t="s">
        <v>17</v>
      </c>
      <c r="W3" s="696" t="s">
        <v>17</v>
      </c>
      <c r="X3" s="696" t="s">
        <v>17</v>
      </c>
      <c r="Y3" s="696" t="s">
        <v>17</v>
      </c>
      <c r="Z3" s="696" t="s">
        <v>2259</v>
      </c>
      <c r="AA3" s="696" t="s">
        <v>17</v>
      </c>
      <c r="AB3" s="696" t="s">
        <v>17</v>
      </c>
      <c r="AC3" s="696" t="s">
        <v>2260</v>
      </c>
      <c r="AD3" s="696" t="s">
        <v>22</v>
      </c>
      <c r="AE3" s="679"/>
      <c r="AF3" s="696" t="s">
        <v>3772</v>
      </c>
      <c r="AG3" s="881"/>
      <c r="AH3" s="881"/>
      <c r="AI3" s="881"/>
    </row>
    <row r="4" spans="1:35" ht="150" customHeight="1" x14ac:dyDescent="0.2">
      <c r="A4" s="696">
        <v>336186</v>
      </c>
      <c r="B4" s="696" t="s">
        <v>13</v>
      </c>
      <c r="C4" s="696" t="s">
        <v>3773</v>
      </c>
      <c r="D4" s="696" t="s">
        <v>14</v>
      </c>
      <c r="E4" s="701">
        <v>40408</v>
      </c>
      <c r="F4" s="696" t="s">
        <v>2335</v>
      </c>
      <c r="G4" s="696" t="s">
        <v>15</v>
      </c>
      <c r="H4" s="696" t="s">
        <v>2336</v>
      </c>
      <c r="I4" s="696" t="s">
        <v>2337</v>
      </c>
      <c r="J4" s="696" t="s">
        <v>16</v>
      </c>
      <c r="K4" s="696" t="s">
        <v>298</v>
      </c>
      <c r="L4" s="696" t="s">
        <v>2338</v>
      </c>
      <c r="M4" s="696" t="s">
        <v>23</v>
      </c>
      <c r="N4" s="698" t="s">
        <v>2338</v>
      </c>
      <c r="O4" s="696" t="s">
        <v>23</v>
      </c>
      <c r="P4" s="679" t="s">
        <v>23</v>
      </c>
      <c r="Q4" s="679" t="s">
        <v>23</v>
      </c>
      <c r="R4" s="696" t="s">
        <v>17</v>
      </c>
      <c r="S4" s="679" t="s">
        <v>2339</v>
      </c>
      <c r="T4" s="702" t="s">
        <v>17</v>
      </c>
      <c r="U4" s="682" t="s">
        <v>23</v>
      </c>
      <c r="V4" s="679" t="s">
        <v>23</v>
      </c>
      <c r="W4" s="679" t="s">
        <v>23</v>
      </c>
      <c r="X4" s="679" t="s">
        <v>23</v>
      </c>
      <c r="Y4" s="679" t="s">
        <v>23</v>
      </c>
      <c r="Z4" s="703">
        <v>40800</v>
      </c>
      <c r="AA4" s="703">
        <v>41388</v>
      </c>
      <c r="AB4" s="679" t="s">
        <v>2340</v>
      </c>
      <c r="AC4" s="704" t="s">
        <v>2341</v>
      </c>
      <c r="AD4" s="679" t="s">
        <v>24</v>
      </c>
      <c r="AE4" s="679"/>
      <c r="AF4" s="678" t="s">
        <v>3774</v>
      </c>
      <c r="AG4" s="881"/>
      <c r="AH4" s="881"/>
      <c r="AI4" s="881"/>
    </row>
    <row r="5" spans="1:35" ht="150" customHeight="1" x14ac:dyDescent="0.2">
      <c r="A5" s="696">
        <v>540276</v>
      </c>
      <c r="B5" s="696" t="s">
        <v>13</v>
      </c>
      <c r="C5" s="696" t="s">
        <v>3775</v>
      </c>
      <c r="D5" s="696" t="s">
        <v>14</v>
      </c>
      <c r="E5" s="701">
        <v>42587</v>
      </c>
      <c r="F5" s="696" t="s">
        <v>2344</v>
      </c>
      <c r="G5" s="696" t="s">
        <v>15</v>
      </c>
      <c r="H5" s="696" t="s">
        <v>2345</v>
      </c>
      <c r="I5" s="696" t="s">
        <v>2346</v>
      </c>
      <c r="J5" s="696" t="s">
        <v>16</v>
      </c>
      <c r="K5" s="696" t="s">
        <v>298</v>
      </c>
      <c r="L5" s="696" t="s">
        <v>2347</v>
      </c>
      <c r="M5" s="696" t="s">
        <v>23</v>
      </c>
      <c r="N5" s="698" t="s">
        <v>2347</v>
      </c>
      <c r="O5" s="696" t="s">
        <v>23</v>
      </c>
      <c r="P5" s="679" t="s">
        <v>23</v>
      </c>
      <c r="Q5" s="679" t="s">
        <v>23</v>
      </c>
      <c r="R5" s="696" t="s">
        <v>17</v>
      </c>
      <c r="S5" s="679" t="s">
        <v>2339</v>
      </c>
      <c r="T5" s="702" t="s">
        <v>17</v>
      </c>
      <c r="U5" s="679" t="s">
        <v>23</v>
      </c>
      <c r="V5" s="679" t="s">
        <v>23</v>
      </c>
      <c r="W5" s="679" t="s">
        <v>23</v>
      </c>
      <c r="X5" s="679" t="s">
        <v>23</v>
      </c>
      <c r="Y5" s="679">
        <v>19655789</v>
      </c>
      <c r="Z5" s="704" t="s">
        <v>23</v>
      </c>
      <c r="AA5" s="704" t="s">
        <v>23</v>
      </c>
      <c r="AB5" s="704" t="s">
        <v>23</v>
      </c>
      <c r="AC5" s="679" t="s">
        <v>2348</v>
      </c>
      <c r="AD5" s="696" t="s">
        <v>22</v>
      </c>
      <c r="AE5" s="679"/>
      <c r="AF5" s="679" t="s">
        <v>3776</v>
      </c>
      <c r="AG5" s="881"/>
      <c r="AH5" s="881"/>
      <c r="AI5" s="881"/>
    </row>
    <row r="6" spans="1:35" ht="150" customHeight="1" x14ac:dyDescent="0.2">
      <c r="A6" s="698" t="s">
        <v>25</v>
      </c>
      <c r="B6" s="705" t="s">
        <v>13</v>
      </c>
      <c r="C6" s="696" t="s">
        <v>3777</v>
      </c>
      <c r="D6" s="696" t="s">
        <v>14</v>
      </c>
      <c r="E6" s="701">
        <v>43893</v>
      </c>
      <c r="F6" s="698" t="s">
        <v>2351</v>
      </c>
      <c r="G6" s="696" t="s">
        <v>15</v>
      </c>
      <c r="H6" s="698" t="s">
        <v>2352</v>
      </c>
      <c r="I6" s="698" t="s">
        <v>772</v>
      </c>
      <c r="J6" s="696" t="s">
        <v>16</v>
      </c>
      <c r="K6" s="696" t="s">
        <v>298</v>
      </c>
      <c r="L6" s="696" t="s">
        <v>2353</v>
      </c>
      <c r="M6" s="696" t="s">
        <v>460</v>
      </c>
      <c r="N6" s="698" t="s">
        <v>2354</v>
      </c>
      <c r="O6" s="696" t="s">
        <v>21</v>
      </c>
      <c r="P6" s="679" t="s">
        <v>17</v>
      </c>
      <c r="Q6" s="679" t="s">
        <v>17</v>
      </c>
      <c r="R6" s="696" t="s">
        <v>17</v>
      </c>
      <c r="S6" s="679" t="s">
        <v>2339</v>
      </c>
      <c r="T6" s="702" t="s">
        <v>17</v>
      </c>
      <c r="U6" s="679" t="s">
        <v>17</v>
      </c>
      <c r="V6" s="679" t="s">
        <v>17</v>
      </c>
      <c r="W6" s="679" t="s">
        <v>17</v>
      </c>
      <c r="X6" s="679" t="s">
        <v>17</v>
      </c>
      <c r="Y6" s="706">
        <v>1000000000</v>
      </c>
      <c r="Z6" s="696" t="s">
        <v>17</v>
      </c>
      <c r="AA6" s="696" t="s">
        <v>17</v>
      </c>
      <c r="AB6" s="696" t="s">
        <v>17</v>
      </c>
      <c r="AC6" s="707" t="s">
        <v>2355</v>
      </c>
      <c r="AD6" s="696" t="s">
        <v>22</v>
      </c>
      <c r="AE6" s="679"/>
      <c r="AF6" s="696" t="s">
        <v>3778</v>
      </c>
      <c r="AG6" s="881"/>
      <c r="AH6" s="881"/>
      <c r="AI6" s="881"/>
    </row>
    <row r="7" spans="1:35" ht="145.5" customHeight="1" x14ac:dyDescent="0.2">
      <c r="A7" s="696">
        <v>456456</v>
      </c>
      <c r="B7" s="696"/>
      <c r="C7" s="696"/>
      <c r="D7" s="696"/>
      <c r="E7" s="838"/>
      <c r="F7" s="696"/>
      <c r="G7" s="696"/>
      <c r="H7" s="696"/>
      <c r="I7" s="696"/>
      <c r="J7" s="696"/>
      <c r="K7" s="696"/>
      <c r="L7" s="696"/>
      <c r="M7" s="696"/>
      <c r="N7" s="696"/>
      <c r="O7" s="696"/>
      <c r="P7" s="839"/>
      <c r="Q7" s="839"/>
      <c r="R7" s="696"/>
      <c r="S7" s="839"/>
      <c r="T7" s="702"/>
      <c r="U7" s="839"/>
      <c r="V7" s="839"/>
      <c r="W7" s="839"/>
      <c r="X7" s="839"/>
      <c r="Y7" s="696"/>
      <c r="Z7" s="696"/>
      <c r="AA7" s="696"/>
      <c r="AB7" s="696"/>
      <c r="AC7" s="696"/>
      <c r="AD7" s="696"/>
      <c r="AE7" s="839"/>
      <c r="AF7" s="696"/>
      <c r="AG7" s="881"/>
      <c r="AH7" s="881"/>
      <c r="AI7" s="881"/>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FAC8CAA0-1074-E64E-BE88-759537F8B2DB}">
          <x14:formula1>
            <xm:f>Tablas!#REF!</xm:f>
          </x14:formula1>
          <xm:sqref>K1:K7</xm:sqref>
        </x14:dataValidation>
        <x14:dataValidation type="list" allowBlank="1" showInputMessage="1" showErrorMessage="1" xr:uid="{35284254-5E9E-4F6F-BB55-3FEE13E3949E}">
          <x14:formula1>
            <xm:f>Tablas!$N$3:$N$10</xm:f>
          </x14:formula1>
          <xm:sqref>G1:G1048576</xm:sqref>
        </x14:dataValidation>
        <x14:dataValidation type="list" allowBlank="1" showInputMessage="1" showErrorMessage="1" xr:uid="{05DE1762-B13F-4EFC-AF5B-EEA309D50C0B}">
          <x14:formula1>
            <xm:f>Tablas!$Q$9:$Q$10</xm:f>
          </x14:formula1>
          <xm:sqref>J1:J1048576</xm:sqref>
        </x14:dataValidation>
        <x14:dataValidation type="list" allowBlank="1" showInputMessage="1" showErrorMessage="1" xr:uid="{4C1292D4-36A6-44CE-A5E5-68632495C974}">
          <x14:formula1>
            <xm:f>Tablas!$Q$19:$Q$38</xm:f>
          </x14:formula1>
          <xm:sqref>T1:T1048576</xm:sqref>
        </x14:dataValidation>
        <x14:dataValidation type="list" allowBlank="1" showInputMessage="1" showErrorMessage="1" xr:uid="{E82E3129-6C7E-4DCC-BC8C-7A8A8306BB87}">
          <x14:formula1>
            <xm:f>Tablas!$Q$41:$Q$42</xm:f>
          </x14:formula1>
          <xm:sqref>AD1:AD1048576</xm:sqref>
        </x14:dataValidation>
        <x14:dataValidation type="list" allowBlank="1" showInputMessage="1" showErrorMessage="1" xr:uid="{21542955-EAFF-4983-A778-4C0E891AF391}">
          <x14:formula1>
            <xm:f>Tablas!$Q$45:$Q$47</xm:f>
          </x14:formula1>
          <xm:sqref>AE1:AE1048576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04B4-2C07-42EA-9A5B-FBD34F61ED5D}">
  <dimension ref="A1:O2"/>
  <sheetViews>
    <sheetView workbookViewId="0">
      <selection activeCell="L2" sqref="L2"/>
    </sheetView>
  </sheetViews>
  <sheetFormatPr baseColWidth="10" defaultRowHeight="12.75" x14ac:dyDescent="0.2"/>
  <sheetData>
    <row r="1" spans="1:15" ht="120" x14ac:dyDescent="0.2">
      <c r="A1" s="875" t="s">
        <v>261</v>
      </c>
      <c r="B1" s="874" t="s">
        <v>262</v>
      </c>
      <c r="C1" s="874" t="s">
        <v>263</v>
      </c>
      <c r="D1" s="874" t="s">
        <v>264</v>
      </c>
      <c r="E1" s="874" t="s">
        <v>265</v>
      </c>
      <c r="F1" s="874" t="s">
        <v>266</v>
      </c>
      <c r="G1" s="874" t="s">
        <v>267</v>
      </c>
      <c r="H1" s="874" t="s">
        <v>268</v>
      </c>
      <c r="I1" s="874" t="s">
        <v>269</v>
      </c>
      <c r="J1" s="874" t="s">
        <v>270</v>
      </c>
      <c r="K1" s="874" t="s">
        <v>271</v>
      </c>
      <c r="L1" s="874" t="s">
        <v>272</v>
      </c>
    </row>
    <row r="2" spans="1:15" ht="258.75" x14ac:dyDescent="0.2">
      <c r="A2" s="873">
        <v>713735</v>
      </c>
      <c r="B2" s="871" t="s">
        <v>13</v>
      </c>
      <c r="C2" s="871" t="s">
        <v>3770</v>
      </c>
      <c r="D2" s="871" t="s">
        <v>14</v>
      </c>
      <c r="E2" s="872">
        <v>44267</v>
      </c>
      <c r="F2" s="871" t="s">
        <v>1864</v>
      </c>
      <c r="G2" s="871" t="s">
        <v>15</v>
      </c>
      <c r="H2" s="871" t="s">
        <v>1865</v>
      </c>
      <c r="I2" s="871" t="s">
        <v>1866</v>
      </c>
      <c r="J2" s="871" t="s">
        <v>16</v>
      </c>
      <c r="K2" s="871" t="s">
        <v>298</v>
      </c>
      <c r="L2" s="871" t="s">
        <v>1867</v>
      </c>
      <c r="M2" s="876" t="s">
        <v>3935</v>
      </c>
      <c r="N2" s="876" t="s">
        <v>3936</v>
      </c>
      <c r="O2" s="876" t="s">
        <v>3937</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5E0AED0-E705-45EB-B363-522ED9968EC1}">
          <x14:formula1>
            <xm:f>Tablas!$Q$9:$Q$10</xm:f>
          </x14:formula1>
          <xm:sqref>J1:J2</xm:sqref>
        </x14:dataValidation>
        <x14:dataValidation type="list" allowBlank="1" showInputMessage="1" showErrorMessage="1" xr:uid="{28F1FEC8-DB78-42D9-8D89-C7233C65605A}">
          <x14:formula1>
            <xm:f>Tablas!$N$3:$N$10</xm:f>
          </x14:formula1>
          <xm:sqref>G1:G2</xm:sqref>
        </x14:dataValidation>
        <x14:dataValidation type="list" allowBlank="1" showInputMessage="1" showErrorMessage="1" xr:uid="{E3B052F9-9D7C-4974-A80B-CF47A536C8D1}">
          <x14:formula1>
            <xm:f>Tablas!#REF!</xm:f>
          </x14:formula1>
          <xm:sqref>K1:K2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2DC2-2CC8-214A-A29A-4D1231612EB2}">
  <sheetPr codeName="Hoja7"/>
  <dimension ref="A1:AF2"/>
  <sheetViews>
    <sheetView zoomScale="95" zoomScaleNormal="95" workbookViewId="0">
      <pane ySplit="1" topLeftCell="A2" activePane="bottomLeft" state="frozen"/>
      <selection pane="bottomLeft" activeCell="D2" sqref="D2"/>
    </sheetView>
  </sheetViews>
  <sheetFormatPr baseColWidth="10" defaultColWidth="30.7109375" defaultRowHeight="150" customHeight="1" x14ac:dyDescent="0.2"/>
  <cols>
    <col min="1" max="16384" width="30.7109375" style="669"/>
  </cols>
  <sheetData>
    <row r="1" spans="1:32" ht="75" x14ac:dyDescent="0.2">
      <c r="A1" s="689" t="s">
        <v>261</v>
      </c>
      <c r="B1" s="689" t="s">
        <v>262</v>
      </c>
      <c r="C1" s="689" t="s">
        <v>263</v>
      </c>
      <c r="D1" s="689" t="s">
        <v>264</v>
      </c>
      <c r="E1" s="689" t="s">
        <v>265</v>
      </c>
      <c r="F1" s="689" t="s">
        <v>266</v>
      </c>
      <c r="G1" s="689" t="s">
        <v>267</v>
      </c>
      <c r="H1" s="689" t="s">
        <v>268</v>
      </c>
      <c r="I1" s="689" t="s">
        <v>269</v>
      </c>
      <c r="J1" s="689" t="s">
        <v>270</v>
      </c>
      <c r="K1" s="689" t="s">
        <v>271</v>
      </c>
      <c r="L1" s="689" t="s">
        <v>272</v>
      </c>
      <c r="M1" s="689" t="s">
        <v>273</v>
      </c>
      <c r="N1" s="690" t="s">
        <v>274</v>
      </c>
      <c r="O1" s="689" t="s">
        <v>275</v>
      </c>
      <c r="P1" s="691" t="s">
        <v>276</v>
      </c>
      <c r="Q1" s="691" t="s">
        <v>277</v>
      </c>
      <c r="R1" s="691" t="s">
        <v>278</v>
      </c>
      <c r="S1" s="692" t="s">
        <v>279</v>
      </c>
      <c r="T1" s="691" t="s">
        <v>280</v>
      </c>
      <c r="U1" s="693" t="s">
        <v>281</v>
      </c>
      <c r="V1" s="691" t="s">
        <v>282</v>
      </c>
      <c r="W1" s="694" t="s">
        <v>283</v>
      </c>
      <c r="X1" s="693" t="s">
        <v>284</v>
      </c>
      <c r="Y1" s="691" t="s">
        <v>285</v>
      </c>
      <c r="Z1" s="695" t="s">
        <v>286</v>
      </c>
      <c r="AA1" s="695" t="s">
        <v>287</v>
      </c>
      <c r="AB1" s="691" t="s">
        <v>288</v>
      </c>
      <c r="AC1" s="691" t="s">
        <v>289</v>
      </c>
      <c r="AD1" s="691" t="s">
        <v>290</v>
      </c>
      <c r="AE1" s="691" t="s">
        <v>291</v>
      </c>
      <c r="AF1" s="689" t="s">
        <v>292</v>
      </c>
    </row>
    <row r="2" spans="1:32" ht="150" customHeight="1" x14ac:dyDescent="0.2">
      <c r="A2" s="696">
        <v>16170</v>
      </c>
      <c r="B2" s="696" t="s">
        <v>27</v>
      </c>
      <c r="C2" s="696" t="s">
        <v>2517</v>
      </c>
      <c r="D2" s="696" t="s">
        <v>28</v>
      </c>
      <c r="E2" s="697">
        <v>45559</v>
      </c>
      <c r="F2" s="696" t="s">
        <v>2518</v>
      </c>
      <c r="G2" s="696" t="s">
        <v>29</v>
      </c>
      <c r="H2" s="696" t="s">
        <v>296</v>
      </c>
      <c r="I2" s="696" t="s">
        <v>2519</v>
      </c>
      <c r="J2" s="696" t="s">
        <v>16</v>
      </c>
      <c r="K2" s="696" t="s">
        <v>2520</v>
      </c>
      <c r="L2" s="696" t="s">
        <v>28</v>
      </c>
      <c r="M2" s="696" t="s">
        <v>17</v>
      </c>
      <c r="N2" s="698" t="s">
        <v>17</v>
      </c>
      <c r="O2" s="696" t="s">
        <v>17</v>
      </c>
      <c r="P2" s="699" t="s">
        <v>17</v>
      </c>
      <c r="Q2" s="696" t="s">
        <v>17</v>
      </c>
      <c r="R2" s="696" t="s">
        <v>17</v>
      </c>
      <c r="S2" s="696" t="s">
        <v>17</v>
      </c>
      <c r="T2" s="700"/>
      <c r="U2" s="696" t="s">
        <v>17</v>
      </c>
      <c r="V2" s="696" t="s">
        <v>17</v>
      </c>
      <c r="W2" s="696" t="s">
        <v>17</v>
      </c>
      <c r="X2" s="696" t="s">
        <v>17</v>
      </c>
      <c r="Y2" s="696" t="s">
        <v>17</v>
      </c>
      <c r="Z2" s="696" t="s">
        <v>17</v>
      </c>
      <c r="AA2" s="696" t="s">
        <v>17</v>
      </c>
      <c r="AB2" s="696" t="s">
        <v>17</v>
      </c>
      <c r="AC2" s="696" t="s">
        <v>2521</v>
      </c>
      <c r="AD2" s="696" t="s">
        <v>19</v>
      </c>
      <c r="AE2" s="679"/>
      <c r="AF2" s="696" t="s">
        <v>2522</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E8CE6D7B-F923-A643-9F58-F604502CC486}">
          <x14:formula1>
            <xm:f>Tablas!#REF!</xm:f>
          </x14:formula1>
          <xm:sqref>K1:K2</xm:sqref>
        </x14:dataValidation>
        <x14:dataValidation type="list" allowBlank="1" showInputMessage="1" showErrorMessage="1" xr:uid="{EDF991AC-EDCB-4A8B-A6BB-25F61B9F7F5D}">
          <x14:formula1>
            <xm:f>Tablas!$N$3:$N$10</xm:f>
          </x14:formula1>
          <xm:sqref>G1:G1048576</xm:sqref>
        </x14:dataValidation>
        <x14:dataValidation type="list" allowBlank="1" showInputMessage="1" showErrorMessage="1" xr:uid="{3BA9D180-B7A8-4F85-A598-41734C301ED0}">
          <x14:formula1>
            <xm:f>Tablas!$Q$9:$Q$10</xm:f>
          </x14:formula1>
          <xm:sqref>J1:J1048576</xm:sqref>
        </x14:dataValidation>
        <x14:dataValidation type="list" allowBlank="1" showInputMessage="1" showErrorMessage="1" xr:uid="{0DC27A0C-008E-4DED-A893-2EAA5D68D121}">
          <x14:formula1>
            <xm:f>Tablas!$Q$41:$Q$42</xm:f>
          </x14:formula1>
          <xm:sqref>AD1:AD1048576</xm:sqref>
        </x14:dataValidation>
        <x14:dataValidation type="list" allowBlank="1" showInputMessage="1" showErrorMessage="1" xr:uid="{01E02832-B6B7-4113-BBD4-FB603D675696}">
          <x14:formula1>
            <xm:f>Tablas!$Q$45:$Q$47</xm:f>
          </x14:formula1>
          <xm:sqref>AE1:AE1048576</xm:sqref>
        </x14:dataValidation>
        <x14:dataValidation type="list" allowBlank="1" showInputMessage="1" showErrorMessage="1" xr:uid="{7020C650-0DC6-4B35-9FC4-F461F13DA473}">
          <x14:formula1>
            <xm:f>Tablas!$Q$49:$Q$50</xm:f>
          </x14:formula1>
          <xm:sqref>D1:D1048576</xm:sqref>
        </x14:dataValidation>
        <x14:dataValidation type="list" allowBlank="1" showInputMessage="1" showErrorMessage="1" xr:uid="{69D357FA-919C-49E4-8FB1-2A1FFE7DC5DF}">
          <x14:formula1>
            <xm:f>Tablas!$Q$19:$Q$37</xm:f>
          </x14:formula1>
          <xm:sqref>T1:T1048576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57B4-1AB6-834A-AE2B-BD2EEC46A004}">
  <sheetPr codeName="Hoja9"/>
  <dimension ref="A1:AF129"/>
  <sheetViews>
    <sheetView zoomScale="55" zoomScaleNormal="55" workbookViewId="0">
      <pane ySplit="1" topLeftCell="A125" activePane="bottomLeft" state="frozen"/>
      <selection pane="bottomLeft" activeCell="E125" sqref="E125"/>
    </sheetView>
  </sheetViews>
  <sheetFormatPr baseColWidth="10" defaultColWidth="30.7109375" defaultRowHeight="150" customHeight="1" x14ac:dyDescent="0.25"/>
  <cols>
    <col min="1" max="16384" width="30.7109375" style="680"/>
  </cols>
  <sheetData>
    <row r="1" spans="1:32" s="669" customFormat="1" ht="75" x14ac:dyDescent="0.2">
      <c r="A1" s="709" t="s">
        <v>261</v>
      </c>
      <c r="B1" s="709" t="s">
        <v>262</v>
      </c>
      <c r="C1" s="709" t="s">
        <v>263</v>
      </c>
      <c r="D1" s="709" t="s">
        <v>264</v>
      </c>
      <c r="E1" s="709" t="s">
        <v>265</v>
      </c>
      <c r="F1" s="709" t="s">
        <v>266</v>
      </c>
      <c r="G1" s="709" t="s">
        <v>267</v>
      </c>
      <c r="H1" s="709" t="s">
        <v>268</v>
      </c>
      <c r="I1" s="709" t="s">
        <v>269</v>
      </c>
      <c r="J1" s="709" t="s">
        <v>270</v>
      </c>
      <c r="K1" s="709" t="s">
        <v>271</v>
      </c>
      <c r="L1" s="709" t="s">
        <v>272</v>
      </c>
      <c r="M1" s="709" t="s">
        <v>273</v>
      </c>
      <c r="N1" s="813" t="s">
        <v>274</v>
      </c>
      <c r="O1" s="709" t="s">
        <v>275</v>
      </c>
      <c r="P1" s="711" t="s">
        <v>276</v>
      </c>
      <c r="Q1" s="711" t="s">
        <v>277</v>
      </c>
      <c r="R1" s="711" t="s">
        <v>278</v>
      </c>
      <c r="S1" s="712" t="s">
        <v>279</v>
      </c>
      <c r="T1" s="711" t="s">
        <v>280</v>
      </c>
      <c r="U1" s="713" t="s">
        <v>281</v>
      </c>
      <c r="V1" s="711" t="s">
        <v>282</v>
      </c>
      <c r="W1" s="714" t="s">
        <v>283</v>
      </c>
      <c r="X1" s="713" t="s">
        <v>284</v>
      </c>
      <c r="Y1" s="711" t="s">
        <v>285</v>
      </c>
      <c r="Z1" s="715" t="s">
        <v>286</v>
      </c>
      <c r="AA1" s="715" t="s">
        <v>287</v>
      </c>
      <c r="AB1" s="711" t="s">
        <v>288</v>
      </c>
      <c r="AC1" s="711" t="s">
        <v>289</v>
      </c>
      <c r="AD1" s="711" t="s">
        <v>290</v>
      </c>
      <c r="AE1" s="711" t="s">
        <v>291</v>
      </c>
      <c r="AF1" s="709" t="s">
        <v>292</v>
      </c>
    </row>
    <row r="2" spans="1:32" ht="150" customHeight="1" x14ac:dyDescent="0.25">
      <c r="A2" s="761">
        <v>164816</v>
      </c>
      <c r="B2" s="761" t="s">
        <v>143</v>
      </c>
      <c r="C2" s="761" t="s">
        <v>304</v>
      </c>
      <c r="D2" s="761" t="s">
        <v>144</v>
      </c>
      <c r="E2" s="762">
        <v>38688</v>
      </c>
      <c r="F2" s="761" t="s">
        <v>305</v>
      </c>
      <c r="G2" s="761" t="s">
        <v>145</v>
      </c>
      <c r="H2" s="761" t="s">
        <v>296</v>
      </c>
      <c r="I2" s="761" t="s">
        <v>306</v>
      </c>
      <c r="J2" s="761" t="s">
        <v>16</v>
      </c>
      <c r="K2" s="761" t="s">
        <v>298</v>
      </c>
      <c r="L2" s="761" t="s">
        <v>307</v>
      </c>
      <c r="M2" s="761" t="s">
        <v>23</v>
      </c>
      <c r="N2" s="763" t="s">
        <v>307</v>
      </c>
      <c r="O2" s="761" t="s">
        <v>308</v>
      </c>
      <c r="P2" s="681" t="s">
        <v>23</v>
      </c>
      <c r="Q2" s="681" t="s">
        <v>23</v>
      </c>
      <c r="R2" s="761" t="s">
        <v>96</v>
      </c>
      <c r="S2" s="764">
        <v>615</v>
      </c>
      <c r="T2" s="681" t="s">
        <v>68</v>
      </c>
      <c r="U2" s="765">
        <v>60</v>
      </c>
      <c r="V2" s="681" t="s">
        <v>23</v>
      </c>
      <c r="W2" s="766" t="s">
        <v>23</v>
      </c>
      <c r="X2" s="681" t="s">
        <v>23</v>
      </c>
      <c r="Y2" s="681" t="s">
        <v>23</v>
      </c>
      <c r="Z2" s="767">
        <v>41304</v>
      </c>
      <c r="AA2" s="767" t="s">
        <v>23</v>
      </c>
      <c r="AB2" s="681" t="s">
        <v>309</v>
      </c>
      <c r="AC2" s="681" t="s">
        <v>310</v>
      </c>
      <c r="AD2" s="681" t="s">
        <v>19</v>
      </c>
      <c r="AE2" s="681" t="s">
        <v>17</v>
      </c>
      <c r="AF2" s="761" t="s">
        <v>311</v>
      </c>
    </row>
    <row r="3" spans="1:32" ht="150" customHeight="1" x14ac:dyDescent="0.25">
      <c r="A3" s="761">
        <v>352796</v>
      </c>
      <c r="B3" s="761" t="s">
        <v>143</v>
      </c>
      <c r="C3" s="761" t="s">
        <v>323</v>
      </c>
      <c r="D3" s="761" t="s">
        <v>146</v>
      </c>
      <c r="E3" s="762">
        <v>33120</v>
      </c>
      <c r="F3" s="761" t="s">
        <v>324</v>
      </c>
      <c r="G3" s="768" t="s">
        <v>147</v>
      </c>
      <c r="H3" s="761" t="s">
        <v>325</v>
      </c>
      <c r="I3" s="761" t="s">
        <v>326</v>
      </c>
      <c r="J3" s="761" t="s">
        <v>16</v>
      </c>
      <c r="K3" s="761" t="s">
        <v>327</v>
      </c>
      <c r="L3" s="761" t="s">
        <v>328</v>
      </c>
      <c r="M3" s="761" t="s">
        <v>23</v>
      </c>
      <c r="N3" s="763" t="s">
        <v>328</v>
      </c>
      <c r="O3" s="761" t="s">
        <v>23</v>
      </c>
      <c r="P3" s="681" t="s">
        <v>23</v>
      </c>
      <c r="Q3" s="681" t="s">
        <v>23</v>
      </c>
      <c r="R3" s="681" t="s">
        <v>148</v>
      </c>
      <c r="S3" s="681" t="s">
        <v>329</v>
      </c>
      <c r="T3" s="681" t="s">
        <v>74</v>
      </c>
      <c r="U3" s="769">
        <v>555.5</v>
      </c>
      <c r="V3" s="681" t="s">
        <v>23</v>
      </c>
      <c r="W3" s="681" t="s">
        <v>23</v>
      </c>
      <c r="X3" s="765" t="s">
        <v>23</v>
      </c>
      <c r="Y3" s="681" t="s">
        <v>23</v>
      </c>
      <c r="Z3" s="681" t="s">
        <v>23</v>
      </c>
      <c r="AA3" s="681" t="s">
        <v>23</v>
      </c>
      <c r="AB3" s="681" t="s">
        <v>23</v>
      </c>
      <c r="AC3" s="770" t="s">
        <v>330</v>
      </c>
      <c r="AD3" s="761" t="s">
        <v>22</v>
      </c>
      <c r="AE3" s="681" t="s">
        <v>17</v>
      </c>
      <c r="AF3" s="681" t="s">
        <v>331</v>
      </c>
    </row>
    <row r="4" spans="1:32" ht="150" customHeight="1" x14ac:dyDescent="0.25">
      <c r="A4" s="771">
        <v>632501</v>
      </c>
      <c r="B4" s="761" t="s">
        <v>143</v>
      </c>
      <c r="C4" s="771" t="s">
        <v>361</v>
      </c>
      <c r="D4" s="771" t="s">
        <v>149</v>
      </c>
      <c r="E4" s="762">
        <v>42331</v>
      </c>
      <c r="F4" s="761" t="s">
        <v>362</v>
      </c>
      <c r="G4" s="761" t="s">
        <v>145</v>
      </c>
      <c r="H4" s="761" t="s">
        <v>363</v>
      </c>
      <c r="I4" s="761" t="s">
        <v>364</v>
      </c>
      <c r="J4" s="761" t="s">
        <v>16</v>
      </c>
      <c r="K4" s="761" t="s">
        <v>327</v>
      </c>
      <c r="L4" s="761" t="s">
        <v>365</v>
      </c>
      <c r="M4" s="761" t="s">
        <v>17</v>
      </c>
      <c r="N4" s="763" t="s">
        <v>17</v>
      </c>
      <c r="O4" s="761" t="s">
        <v>366</v>
      </c>
      <c r="P4" s="771" t="s">
        <v>17</v>
      </c>
      <c r="Q4" s="761" t="s">
        <v>17</v>
      </c>
      <c r="R4" s="761" t="s">
        <v>96</v>
      </c>
      <c r="S4" s="771">
        <v>1533</v>
      </c>
      <c r="T4" s="761" t="s">
        <v>41</v>
      </c>
      <c r="U4" s="771" t="s">
        <v>150</v>
      </c>
      <c r="V4" s="771" t="s">
        <v>17</v>
      </c>
      <c r="W4" s="771" t="s">
        <v>17</v>
      </c>
      <c r="X4" s="761" t="s">
        <v>17</v>
      </c>
      <c r="Y4" s="761" t="s">
        <v>17</v>
      </c>
      <c r="Z4" s="771" t="s">
        <v>17</v>
      </c>
      <c r="AA4" s="761" t="s">
        <v>17</v>
      </c>
      <c r="AB4" s="761" t="s">
        <v>17</v>
      </c>
      <c r="AC4" s="761" t="s">
        <v>367</v>
      </c>
      <c r="AD4" s="761" t="s">
        <v>24</v>
      </c>
      <c r="AE4" s="681" t="s">
        <v>17</v>
      </c>
      <c r="AF4" s="761" t="s">
        <v>368</v>
      </c>
    </row>
    <row r="5" spans="1:32" ht="150" customHeight="1" x14ac:dyDescent="0.25">
      <c r="A5" s="761">
        <v>556925</v>
      </c>
      <c r="B5" s="761" t="s">
        <v>143</v>
      </c>
      <c r="C5" s="761" t="s">
        <v>3779</v>
      </c>
      <c r="D5" s="761" t="s">
        <v>151</v>
      </c>
      <c r="E5" s="762">
        <v>35796</v>
      </c>
      <c r="F5" s="761" t="s">
        <v>370</v>
      </c>
      <c r="G5" s="761" t="s">
        <v>15</v>
      </c>
      <c r="H5" s="761" t="s">
        <v>371</v>
      </c>
      <c r="I5" s="761" t="s">
        <v>372</v>
      </c>
      <c r="J5" s="761" t="s">
        <v>16</v>
      </c>
      <c r="K5" s="761" t="s">
        <v>327</v>
      </c>
      <c r="L5" s="761" t="s">
        <v>373</v>
      </c>
      <c r="M5" s="761" t="s">
        <v>23</v>
      </c>
      <c r="N5" s="763" t="s">
        <v>373</v>
      </c>
      <c r="O5" s="761" t="s">
        <v>374</v>
      </c>
      <c r="P5" s="761" t="s">
        <v>23</v>
      </c>
      <c r="Q5" s="761" t="s">
        <v>23</v>
      </c>
      <c r="R5" s="761" t="s">
        <v>96</v>
      </c>
      <c r="S5" s="770" t="s">
        <v>375</v>
      </c>
      <c r="T5" s="681" t="s">
        <v>38</v>
      </c>
      <c r="U5" s="765">
        <v>2600</v>
      </c>
      <c r="V5" s="765" t="s">
        <v>23</v>
      </c>
      <c r="W5" s="765" t="s">
        <v>23</v>
      </c>
      <c r="X5" s="765" t="s">
        <v>23</v>
      </c>
      <c r="Y5" s="765" t="s">
        <v>23</v>
      </c>
      <c r="Z5" s="767">
        <v>32667</v>
      </c>
      <c r="AA5" s="765" t="s">
        <v>23</v>
      </c>
      <c r="AB5" s="765" t="s">
        <v>376</v>
      </c>
      <c r="AC5" s="681" t="s">
        <v>377</v>
      </c>
      <c r="AD5" s="761" t="s">
        <v>22</v>
      </c>
      <c r="AE5" s="681" t="s">
        <v>17</v>
      </c>
      <c r="AF5" s="761" t="s">
        <v>378</v>
      </c>
    </row>
    <row r="6" spans="1:32" ht="150" customHeight="1" x14ac:dyDescent="0.25">
      <c r="A6" s="761">
        <v>588924</v>
      </c>
      <c r="B6" s="761" t="s">
        <v>143</v>
      </c>
      <c r="C6" s="761" t="s">
        <v>391</v>
      </c>
      <c r="D6" s="761" t="s">
        <v>152</v>
      </c>
      <c r="E6" s="762">
        <v>36922</v>
      </c>
      <c r="F6" s="761" t="s">
        <v>392</v>
      </c>
      <c r="G6" s="761" t="s">
        <v>147</v>
      </c>
      <c r="H6" s="761" t="s">
        <v>393</v>
      </c>
      <c r="I6" s="761" t="s">
        <v>394</v>
      </c>
      <c r="J6" s="761" t="s">
        <v>16</v>
      </c>
      <c r="K6" s="761" t="s">
        <v>327</v>
      </c>
      <c r="L6" s="761" t="s">
        <v>395</v>
      </c>
      <c r="M6" s="761" t="s">
        <v>17</v>
      </c>
      <c r="N6" s="763" t="s">
        <v>396</v>
      </c>
      <c r="O6" s="761" t="s">
        <v>397</v>
      </c>
      <c r="P6" s="681" t="s">
        <v>17</v>
      </c>
      <c r="Q6" s="681" t="s">
        <v>17</v>
      </c>
      <c r="R6" s="761" t="s">
        <v>96</v>
      </c>
      <c r="S6" s="770" t="s">
        <v>398</v>
      </c>
      <c r="T6" s="681" t="s">
        <v>68</v>
      </c>
      <c r="U6" s="765" t="s">
        <v>153</v>
      </c>
      <c r="V6" s="681" t="s">
        <v>17</v>
      </c>
      <c r="W6" s="766" t="s">
        <v>17</v>
      </c>
      <c r="X6" s="765" t="s">
        <v>17</v>
      </c>
      <c r="Y6" s="681" t="s">
        <v>17</v>
      </c>
      <c r="Z6" s="767">
        <v>37369</v>
      </c>
      <c r="AA6" s="767">
        <v>37547</v>
      </c>
      <c r="AB6" s="681" t="s">
        <v>399</v>
      </c>
      <c r="AC6" s="681" t="s">
        <v>400</v>
      </c>
      <c r="AD6" s="761" t="s">
        <v>22</v>
      </c>
      <c r="AE6" s="681" t="s">
        <v>17</v>
      </c>
      <c r="AF6" s="761" t="s">
        <v>401</v>
      </c>
    </row>
    <row r="7" spans="1:32" ht="150" customHeight="1" x14ac:dyDescent="0.25">
      <c r="A7" s="761">
        <v>597584</v>
      </c>
      <c r="B7" s="761" t="s">
        <v>143</v>
      </c>
      <c r="C7" s="761" t="s">
        <v>3780</v>
      </c>
      <c r="D7" s="761" t="s">
        <v>144</v>
      </c>
      <c r="E7" s="762">
        <v>43452</v>
      </c>
      <c r="F7" s="761" t="s">
        <v>403</v>
      </c>
      <c r="G7" s="761" t="s">
        <v>15</v>
      </c>
      <c r="H7" s="761" t="s">
        <v>296</v>
      </c>
      <c r="I7" s="761" t="s">
        <v>404</v>
      </c>
      <c r="J7" s="761" t="s">
        <v>16</v>
      </c>
      <c r="K7" s="761" t="s">
        <v>298</v>
      </c>
      <c r="L7" s="761" t="s">
        <v>405</v>
      </c>
      <c r="M7" s="761" t="s">
        <v>17</v>
      </c>
      <c r="N7" s="763" t="s">
        <v>307</v>
      </c>
      <c r="O7" s="761" t="s">
        <v>406</v>
      </c>
      <c r="P7" s="681" t="s">
        <v>17</v>
      </c>
      <c r="Q7" s="681" t="s">
        <v>17</v>
      </c>
      <c r="R7" s="761" t="s">
        <v>96</v>
      </c>
      <c r="S7" s="772">
        <v>1878</v>
      </c>
      <c r="T7" s="681" t="s">
        <v>41</v>
      </c>
      <c r="U7" s="765">
        <v>19755</v>
      </c>
      <c r="V7" s="765" t="s">
        <v>17</v>
      </c>
      <c r="W7" s="765" t="s">
        <v>17</v>
      </c>
      <c r="X7" s="765" t="s">
        <v>17</v>
      </c>
      <c r="Y7" s="681" t="s">
        <v>17</v>
      </c>
      <c r="Z7" s="765" t="s">
        <v>3781</v>
      </c>
      <c r="AA7" s="765" t="s">
        <v>17</v>
      </c>
      <c r="AB7" s="765" t="s">
        <v>17</v>
      </c>
      <c r="AC7" s="765" t="s">
        <v>3782</v>
      </c>
      <c r="AD7" s="681" t="s">
        <v>22</v>
      </c>
      <c r="AE7" s="681" t="s">
        <v>439</v>
      </c>
      <c r="AF7" s="761" t="s">
        <v>3783</v>
      </c>
    </row>
    <row r="8" spans="1:32" ht="150" customHeight="1" x14ac:dyDescent="0.25">
      <c r="A8" s="761">
        <v>681651</v>
      </c>
      <c r="B8" s="761" t="s">
        <v>143</v>
      </c>
      <c r="C8" s="761" t="s">
        <v>3784</v>
      </c>
      <c r="D8" s="761" t="s">
        <v>149</v>
      </c>
      <c r="E8" s="762">
        <v>39135</v>
      </c>
      <c r="F8" s="773" t="s">
        <v>478</v>
      </c>
      <c r="G8" s="761" t="s">
        <v>15</v>
      </c>
      <c r="H8" s="761" t="s">
        <v>479</v>
      </c>
      <c r="I8" s="761" t="s">
        <v>480</v>
      </c>
      <c r="J8" s="761" t="s">
        <v>16</v>
      </c>
      <c r="K8" s="761" t="s">
        <v>327</v>
      </c>
      <c r="L8" s="761" t="s">
        <v>149</v>
      </c>
      <c r="M8" s="761" t="s">
        <v>460</v>
      </c>
      <c r="N8" s="763" t="s">
        <v>481</v>
      </c>
      <c r="O8" s="761" t="s">
        <v>482</v>
      </c>
      <c r="P8" s="681" t="s">
        <v>17</v>
      </c>
      <c r="Q8" s="681" t="s">
        <v>17</v>
      </c>
      <c r="R8" s="761" t="s">
        <v>96</v>
      </c>
      <c r="S8" s="774" t="s">
        <v>483</v>
      </c>
      <c r="T8" s="775" t="s">
        <v>68</v>
      </c>
      <c r="U8" s="765" t="s">
        <v>154</v>
      </c>
      <c r="V8" s="681" t="s">
        <v>17</v>
      </c>
      <c r="W8" s="681" t="s">
        <v>17</v>
      </c>
      <c r="X8" s="681" t="s">
        <v>17</v>
      </c>
      <c r="Y8" s="681" t="s">
        <v>17</v>
      </c>
      <c r="Z8" s="776">
        <v>40158</v>
      </c>
      <c r="AA8" s="776" t="s">
        <v>17</v>
      </c>
      <c r="AB8" s="775" t="s">
        <v>17</v>
      </c>
      <c r="AC8" s="775" t="s">
        <v>484</v>
      </c>
      <c r="AD8" s="761" t="s">
        <v>19</v>
      </c>
      <c r="AE8" s="681" t="s">
        <v>17</v>
      </c>
      <c r="AF8" s="761" t="s">
        <v>3785</v>
      </c>
    </row>
    <row r="9" spans="1:32" ht="150" customHeight="1" x14ac:dyDescent="0.25">
      <c r="A9" s="768">
        <v>764789</v>
      </c>
      <c r="B9" s="761" t="s">
        <v>143</v>
      </c>
      <c r="C9" s="761" t="s">
        <v>3786</v>
      </c>
      <c r="D9" s="761" t="s">
        <v>144</v>
      </c>
      <c r="E9" s="762">
        <v>45243</v>
      </c>
      <c r="F9" s="761" t="s">
        <v>512</v>
      </c>
      <c r="G9" s="761" t="s">
        <v>15</v>
      </c>
      <c r="H9" s="768" t="s">
        <v>296</v>
      </c>
      <c r="I9" s="761" t="s">
        <v>513</v>
      </c>
      <c r="J9" s="761" t="s">
        <v>16</v>
      </c>
      <c r="K9" s="761" t="s">
        <v>298</v>
      </c>
      <c r="L9" s="761" t="s">
        <v>514</v>
      </c>
      <c r="M9" s="761" t="s">
        <v>17</v>
      </c>
      <c r="N9" s="777" t="s">
        <v>515</v>
      </c>
      <c r="O9" s="771" t="s">
        <v>516</v>
      </c>
      <c r="P9" s="771" t="s">
        <v>17</v>
      </c>
      <c r="Q9" s="771" t="s">
        <v>17</v>
      </c>
      <c r="R9" s="761" t="s">
        <v>96</v>
      </c>
      <c r="S9" s="778">
        <v>26330</v>
      </c>
      <c r="T9" s="681" t="s">
        <v>38</v>
      </c>
      <c r="U9" s="771" t="s">
        <v>155</v>
      </c>
      <c r="V9" s="771" t="s">
        <v>17</v>
      </c>
      <c r="W9" s="771" t="s">
        <v>17</v>
      </c>
      <c r="X9" s="771" t="s">
        <v>17</v>
      </c>
      <c r="Y9" s="771" t="s">
        <v>17</v>
      </c>
      <c r="Z9" s="771" t="s">
        <v>19</v>
      </c>
      <c r="AA9" s="771" t="s">
        <v>19</v>
      </c>
      <c r="AB9" s="771" t="s">
        <v>19</v>
      </c>
      <c r="AC9" s="761" t="s">
        <v>517</v>
      </c>
      <c r="AD9" s="771" t="s">
        <v>19</v>
      </c>
      <c r="AE9" s="681" t="s">
        <v>17</v>
      </c>
      <c r="AF9" s="761" t="s">
        <v>3787</v>
      </c>
    </row>
    <row r="10" spans="1:32" ht="150" customHeight="1" x14ac:dyDescent="0.25">
      <c r="A10" s="761">
        <v>718471</v>
      </c>
      <c r="B10" s="761" t="s">
        <v>143</v>
      </c>
      <c r="C10" s="761" t="s">
        <v>3788</v>
      </c>
      <c r="D10" s="761" t="s">
        <v>156</v>
      </c>
      <c r="E10" s="762">
        <v>44842</v>
      </c>
      <c r="F10" s="761" t="s">
        <v>564</v>
      </c>
      <c r="G10" s="761" t="s">
        <v>15</v>
      </c>
      <c r="H10" s="761" t="s">
        <v>565</v>
      </c>
      <c r="I10" s="761" t="s">
        <v>566</v>
      </c>
      <c r="J10" s="761" t="s">
        <v>16</v>
      </c>
      <c r="K10" s="761" t="s">
        <v>298</v>
      </c>
      <c r="L10" s="761" t="s">
        <v>567</v>
      </c>
      <c r="M10" s="761" t="s">
        <v>17</v>
      </c>
      <c r="N10" s="763" t="s">
        <v>568</v>
      </c>
      <c r="O10" s="761" t="s">
        <v>569</v>
      </c>
      <c r="P10" s="761" t="s">
        <v>17</v>
      </c>
      <c r="Q10" s="761" t="s">
        <v>17</v>
      </c>
      <c r="R10" s="761" t="s">
        <v>96</v>
      </c>
      <c r="S10" s="761" t="s">
        <v>570</v>
      </c>
      <c r="T10" s="761" t="s">
        <v>157</v>
      </c>
      <c r="U10" s="761" t="s">
        <v>158</v>
      </c>
      <c r="V10" s="761" t="s">
        <v>17</v>
      </c>
      <c r="W10" s="761" t="s">
        <v>17</v>
      </c>
      <c r="X10" s="761" t="s">
        <v>17</v>
      </c>
      <c r="Y10" s="761" t="s">
        <v>17</v>
      </c>
      <c r="Z10" s="761" t="s">
        <v>571</v>
      </c>
      <c r="AA10" s="761" t="s">
        <v>571</v>
      </c>
      <c r="AB10" s="761" t="s">
        <v>17</v>
      </c>
      <c r="AC10" s="761" t="s">
        <v>572</v>
      </c>
      <c r="AD10" s="761" t="s">
        <v>19</v>
      </c>
      <c r="AE10" s="681" t="s">
        <v>17</v>
      </c>
      <c r="AF10" s="761" t="s">
        <v>3789</v>
      </c>
    </row>
    <row r="11" spans="1:32" ht="150" customHeight="1" x14ac:dyDescent="0.25">
      <c r="A11" s="771">
        <v>749798</v>
      </c>
      <c r="B11" s="771" t="s">
        <v>143</v>
      </c>
      <c r="C11" s="771" t="s">
        <v>608</v>
      </c>
      <c r="D11" s="771" t="s">
        <v>149</v>
      </c>
      <c r="E11" s="762">
        <v>44988</v>
      </c>
      <c r="F11" s="771" t="s">
        <v>609</v>
      </c>
      <c r="G11" s="761" t="s">
        <v>145</v>
      </c>
      <c r="H11" s="771" t="s">
        <v>610</v>
      </c>
      <c r="I11" s="771" t="s">
        <v>382</v>
      </c>
      <c r="J11" s="761" t="s">
        <v>16</v>
      </c>
      <c r="K11" s="761" t="s">
        <v>327</v>
      </c>
      <c r="L11" s="761" t="s">
        <v>611</v>
      </c>
      <c r="M11" s="761" t="s">
        <v>17</v>
      </c>
      <c r="N11" s="763" t="s">
        <v>612</v>
      </c>
      <c r="O11" s="761" t="s">
        <v>17</v>
      </c>
      <c r="P11" s="681" t="s">
        <v>17</v>
      </c>
      <c r="Q11" s="681" t="s">
        <v>17</v>
      </c>
      <c r="R11" s="761" t="s">
        <v>96</v>
      </c>
      <c r="S11" s="770" t="s">
        <v>613</v>
      </c>
      <c r="T11" s="681" t="s">
        <v>75</v>
      </c>
      <c r="U11" s="765" t="s">
        <v>17</v>
      </c>
      <c r="V11" s="681" t="s">
        <v>17</v>
      </c>
      <c r="W11" s="766" t="s">
        <v>17</v>
      </c>
      <c r="X11" s="765" t="s">
        <v>17</v>
      </c>
      <c r="Y11" s="681" t="s">
        <v>17</v>
      </c>
      <c r="Z11" s="767" t="s">
        <v>17</v>
      </c>
      <c r="AA11" s="767" t="s">
        <v>17</v>
      </c>
      <c r="AB11" s="681" t="s">
        <v>17</v>
      </c>
      <c r="AC11" s="681" t="s">
        <v>614</v>
      </c>
      <c r="AD11" s="761" t="s">
        <v>22</v>
      </c>
      <c r="AE11" s="681" t="s">
        <v>17</v>
      </c>
      <c r="AF11" s="681" t="s">
        <v>368</v>
      </c>
    </row>
    <row r="12" spans="1:32" ht="150" customHeight="1" x14ac:dyDescent="0.25">
      <c r="A12" s="761">
        <v>190121</v>
      </c>
      <c r="B12" s="761" t="s">
        <v>143</v>
      </c>
      <c r="C12" s="761" t="s">
        <v>621</v>
      </c>
      <c r="D12" s="761" t="s">
        <v>159</v>
      </c>
      <c r="E12" s="762">
        <v>38810</v>
      </c>
      <c r="F12" s="761" t="s">
        <v>622</v>
      </c>
      <c r="G12" s="768" t="s">
        <v>147</v>
      </c>
      <c r="H12" s="761" t="s">
        <v>296</v>
      </c>
      <c r="I12" s="761" t="s">
        <v>623</v>
      </c>
      <c r="J12" s="761" t="s">
        <v>16</v>
      </c>
      <c r="K12" s="761" t="s">
        <v>298</v>
      </c>
      <c r="L12" s="761" t="s">
        <v>624</v>
      </c>
      <c r="M12" s="761" t="s">
        <v>23</v>
      </c>
      <c r="N12" s="763" t="s">
        <v>624</v>
      </c>
      <c r="O12" s="761" t="s">
        <v>23</v>
      </c>
      <c r="P12" s="681" t="s">
        <v>23</v>
      </c>
      <c r="Q12" s="681" t="s">
        <v>23</v>
      </c>
      <c r="R12" s="761" t="s">
        <v>148</v>
      </c>
      <c r="S12" s="681" t="s">
        <v>625</v>
      </c>
      <c r="T12" s="681" t="s">
        <v>75</v>
      </c>
      <c r="U12" s="779">
        <v>186.1</v>
      </c>
      <c r="V12" s="681" t="s">
        <v>23</v>
      </c>
      <c r="W12" s="681" t="s">
        <v>23</v>
      </c>
      <c r="X12" s="681" t="s">
        <v>23</v>
      </c>
      <c r="Y12" s="681" t="s">
        <v>23</v>
      </c>
      <c r="Z12" s="767">
        <v>40317</v>
      </c>
      <c r="AA12" s="767" t="s">
        <v>23</v>
      </c>
      <c r="AB12" s="681" t="s">
        <v>23</v>
      </c>
      <c r="AC12" s="770" t="s">
        <v>626</v>
      </c>
      <c r="AD12" s="761" t="s">
        <v>22</v>
      </c>
      <c r="AE12" s="681" t="s">
        <v>17</v>
      </c>
      <c r="AF12" s="761" t="s">
        <v>627</v>
      </c>
    </row>
    <row r="13" spans="1:32" ht="150" customHeight="1" x14ac:dyDescent="0.25">
      <c r="A13" s="761">
        <v>632510</v>
      </c>
      <c r="B13" s="761" t="s">
        <v>143</v>
      </c>
      <c r="C13" s="761" t="s">
        <v>646</v>
      </c>
      <c r="D13" s="761" t="s">
        <v>160</v>
      </c>
      <c r="E13" s="762">
        <v>43804</v>
      </c>
      <c r="F13" s="761" t="s">
        <v>647</v>
      </c>
      <c r="G13" s="761" t="s">
        <v>145</v>
      </c>
      <c r="H13" s="761" t="s">
        <v>648</v>
      </c>
      <c r="I13" s="761" t="s">
        <v>649</v>
      </c>
      <c r="J13" s="761" t="s">
        <v>16</v>
      </c>
      <c r="K13" s="761" t="s">
        <v>298</v>
      </c>
      <c r="L13" s="761" t="s">
        <v>650</v>
      </c>
      <c r="M13" s="761" t="s">
        <v>17</v>
      </c>
      <c r="N13" s="763" t="s">
        <v>650</v>
      </c>
      <c r="O13" s="761" t="s">
        <v>17</v>
      </c>
      <c r="P13" s="771" t="s">
        <v>17</v>
      </c>
      <c r="Q13" s="761" t="s">
        <v>17</v>
      </c>
      <c r="R13" s="761" t="s">
        <v>96</v>
      </c>
      <c r="S13" s="761" t="s">
        <v>651</v>
      </c>
      <c r="T13" s="761" t="s">
        <v>41</v>
      </c>
      <c r="U13" s="771" t="s">
        <v>17</v>
      </c>
      <c r="V13" s="771" t="s">
        <v>17</v>
      </c>
      <c r="W13" s="771" t="s">
        <v>17</v>
      </c>
      <c r="X13" s="761" t="s">
        <v>17</v>
      </c>
      <c r="Y13" s="761" t="s">
        <v>17</v>
      </c>
      <c r="Z13" s="771" t="s">
        <v>17</v>
      </c>
      <c r="AA13" s="761" t="s">
        <v>17</v>
      </c>
      <c r="AB13" s="761" t="s">
        <v>17</v>
      </c>
      <c r="AC13" s="761" t="s">
        <v>652</v>
      </c>
      <c r="AD13" s="761" t="s">
        <v>19</v>
      </c>
      <c r="AE13" s="681" t="s">
        <v>17</v>
      </c>
      <c r="AF13" s="761" t="s">
        <v>653</v>
      </c>
    </row>
    <row r="14" spans="1:32" ht="150" customHeight="1" x14ac:dyDescent="0.25">
      <c r="A14" s="761">
        <v>701116</v>
      </c>
      <c r="B14" s="761" t="s">
        <v>143</v>
      </c>
      <c r="C14" s="761" t="s">
        <v>734</v>
      </c>
      <c r="D14" s="761" t="s">
        <v>149</v>
      </c>
      <c r="E14" s="762">
        <v>44477</v>
      </c>
      <c r="F14" s="761" t="s">
        <v>735</v>
      </c>
      <c r="G14" s="761" t="s">
        <v>145</v>
      </c>
      <c r="H14" s="761" t="s">
        <v>736</v>
      </c>
      <c r="I14" s="761" t="s">
        <v>737</v>
      </c>
      <c r="J14" s="761" t="s">
        <v>16</v>
      </c>
      <c r="K14" s="761" t="s">
        <v>327</v>
      </c>
      <c r="L14" s="761" t="s">
        <v>738</v>
      </c>
      <c r="M14" s="761" t="s">
        <v>23</v>
      </c>
      <c r="N14" s="763" t="s">
        <v>738</v>
      </c>
      <c r="O14" s="761" t="s">
        <v>17</v>
      </c>
      <c r="P14" s="681" t="s">
        <v>17</v>
      </c>
      <c r="Q14" s="681" t="s">
        <v>17</v>
      </c>
      <c r="R14" s="761" t="s">
        <v>96</v>
      </c>
      <c r="S14" s="770" t="s">
        <v>739</v>
      </c>
      <c r="T14" s="681" t="s">
        <v>74</v>
      </c>
      <c r="U14" s="765" t="s">
        <v>17</v>
      </c>
      <c r="V14" s="761" t="s">
        <v>17</v>
      </c>
      <c r="W14" s="761" t="s">
        <v>17</v>
      </c>
      <c r="X14" s="761" t="s">
        <v>17</v>
      </c>
      <c r="Y14" s="761" t="s">
        <v>17</v>
      </c>
      <c r="Z14" s="761" t="s">
        <v>17</v>
      </c>
      <c r="AA14" s="761" t="s">
        <v>17</v>
      </c>
      <c r="AB14" s="761" t="s">
        <v>17</v>
      </c>
      <c r="AC14" s="681" t="s">
        <v>740</v>
      </c>
      <c r="AD14" s="681" t="s">
        <v>19</v>
      </c>
      <c r="AE14" s="681" t="s">
        <v>17</v>
      </c>
      <c r="AF14" s="761" t="s">
        <v>741</v>
      </c>
    </row>
    <row r="15" spans="1:32" ht="150" customHeight="1" x14ac:dyDescent="0.25">
      <c r="A15" s="761">
        <v>981906</v>
      </c>
      <c r="B15" s="761" t="s">
        <v>143</v>
      </c>
      <c r="C15" s="761" t="s">
        <v>759</v>
      </c>
      <c r="D15" s="761" t="s">
        <v>156</v>
      </c>
      <c r="E15" s="762">
        <v>44899</v>
      </c>
      <c r="F15" s="761" t="s">
        <v>760</v>
      </c>
      <c r="G15" s="761" t="s">
        <v>145</v>
      </c>
      <c r="H15" s="761" t="s">
        <v>761</v>
      </c>
      <c r="I15" s="761" t="s">
        <v>762</v>
      </c>
      <c r="J15" s="761" t="s">
        <v>16</v>
      </c>
      <c r="K15" s="761" t="s">
        <v>298</v>
      </c>
      <c r="L15" s="680" t="s">
        <v>763</v>
      </c>
      <c r="M15" s="761" t="s">
        <v>23</v>
      </c>
      <c r="N15" s="780" t="s">
        <v>764</v>
      </c>
      <c r="O15" s="761" t="s">
        <v>765</v>
      </c>
      <c r="P15" s="681" t="s">
        <v>17</v>
      </c>
      <c r="Q15" s="681" t="s">
        <v>17</v>
      </c>
      <c r="R15" s="761" t="s">
        <v>96</v>
      </c>
      <c r="S15" s="770" t="s">
        <v>766</v>
      </c>
      <c r="T15" s="681" t="s">
        <v>59</v>
      </c>
      <c r="U15" s="765" t="s">
        <v>17</v>
      </c>
      <c r="V15" s="761" t="s">
        <v>17</v>
      </c>
      <c r="W15" s="761" t="s">
        <v>17</v>
      </c>
      <c r="X15" s="761" t="s">
        <v>17</v>
      </c>
      <c r="Y15" s="761" t="s">
        <v>17</v>
      </c>
      <c r="Z15" s="761" t="s">
        <v>17</v>
      </c>
      <c r="AA15" s="761" t="s">
        <v>17</v>
      </c>
      <c r="AB15" s="761" t="s">
        <v>17</v>
      </c>
      <c r="AC15" s="681" t="s">
        <v>767</v>
      </c>
      <c r="AD15" s="681" t="s">
        <v>19</v>
      </c>
      <c r="AE15" s="681" t="s">
        <v>17</v>
      </c>
      <c r="AF15" s="761" t="s">
        <v>768</v>
      </c>
    </row>
    <row r="16" spans="1:32" ht="150" customHeight="1" x14ac:dyDescent="0.25">
      <c r="A16" s="761">
        <v>253519</v>
      </c>
      <c r="B16" s="761" t="s">
        <v>143</v>
      </c>
      <c r="C16" s="761" t="s">
        <v>769</v>
      </c>
      <c r="D16" s="761" t="s">
        <v>159</v>
      </c>
      <c r="E16" s="762">
        <v>39476</v>
      </c>
      <c r="F16" s="761" t="s">
        <v>770</v>
      </c>
      <c r="G16" s="768" t="s">
        <v>147</v>
      </c>
      <c r="H16" s="761" t="s">
        <v>771</v>
      </c>
      <c r="I16" s="761" t="s">
        <v>772</v>
      </c>
      <c r="J16" s="761" t="s">
        <v>16</v>
      </c>
      <c r="K16" s="761" t="s">
        <v>298</v>
      </c>
      <c r="L16" s="761" t="s">
        <v>773</v>
      </c>
      <c r="M16" s="761" t="s">
        <v>23</v>
      </c>
      <c r="N16" s="763" t="s">
        <v>773</v>
      </c>
      <c r="O16" s="761" t="s">
        <v>23</v>
      </c>
      <c r="P16" s="761" t="s">
        <v>23</v>
      </c>
      <c r="Q16" s="761" t="s">
        <v>23</v>
      </c>
      <c r="R16" s="761" t="s">
        <v>96</v>
      </c>
      <c r="S16" s="681" t="s">
        <v>774</v>
      </c>
      <c r="T16" s="681" t="s">
        <v>43</v>
      </c>
      <c r="U16" s="765">
        <v>1235242</v>
      </c>
      <c r="V16" s="681" t="s">
        <v>23</v>
      </c>
      <c r="W16" s="681" t="s">
        <v>23</v>
      </c>
      <c r="X16" s="765">
        <v>1077</v>
      </c>
      <c r="Y16" s="681" t="s">
        <v>23</v>
      </c>
      <c r="Z16" s="767">
        <v>45109</v>
      </c>
      <c r="AA16" s="767" t="s">
        <v>23</v>
      </c>
      <c r="AB16" s="681" t="s">
        <v>23</v>
      </c>
      <c r="AC16" s="681" t="s">
        <v>775</v>
      </c>
      <c r="AD16" s="681" t="s">
        <v>19</v>
      </c>
      <c r="AE16" s="681" t="s">
        <v>17</v>
      </c>
      <c r="AF16" s="761" t="s">
        <v>776</v>
      </c>
    </row>
    <row r="17" spans="1:32" ht="150" customHeight="1" x14ac:dyDescent="0.25">
      <c r="A17" s="761">
        <v>269314</v>
      </c>
      <c r="B17" s="761" t="s">
        <v>143</v>
      </c>
      <c r="C17" s="761" t="s">
        <v>798</v>
      </c>
      <c r="D17" s="761" t="s">
        <v>149</v>
      </c>
      <c r="E17" s="762">
        <v>39304</v>
      </c>
      <c r="F17" s="761" t="s">
        <v>799</v>
      </c>
      <c r="G17" s="761" t="s">
        <v>147</v>
      </c>
      <c r="H17" s="761" t="s">
        <v>800</v>
      </c>
      <c r="I17" s="761" t="s">
        <v>801</v>
      </c>
      <c r="J17" s="761" t="s">
        <v>16</v>
      </c>
      <c r="K17" s="761" t="s">
        <v>327</v>
      </c>
      <c r="L17" s="761" t="s">
        <v>802</v>
      </c>
      <c r="M17" s="761" t="s">
        <v>23</v>
      </c>
      <c r="N17" s="763" t="s">
        <v>802</v>
      </c>
      <c r="O17" s="761" t="s">
        <v>803</v>
      </c>
      <c r="P17" s="681" t="s">
        <v>23</v>
      </c>
      <c r="Q17" s="681" t="s">
        <v>23</v>
      </c>
      <c r="R17" s="761" t="s">
        <v>96</v>
      </c>
      <c r="S17" s="770">
        <v>1539</v>
      </c>
      <c r="T17" s="681" t="s">
        <v>68</v>
      </c>
      <c r="U17" s="765" t="s">
        <v>23</v>
      </c>
      <c r="V17" s="681" t="s">
        <v>23</v>
      </c>
      <c r="W17" s="681" t="s">
        <v>23</v>
      </c>
      <c r="X17" s="765">
        <v>3600</v>
      </c>
      <c r="Y17" s="681" t="s">
        <v>23</v>
      </c>
      <c r="Z17" s="767">
        <v>42889</v>
      </c>
      <c r="AA17" s="767" t="s">
        <v>804</v>
      </c>
      <c r="AB17" s="767" t="s">
        <v>23</v>
      </c>
      <c r="AC17" s="681" t="s">
        <v>805</v>
      </c>
      <c r="AD17" s="761" t="s">
        <v>22</v>
      </c>
      <c r="AE17" s="681" t="s">
        <v>17</v>
      </c>
      <c r="AF17" s="761" t="s">
        <v>806</v>
      </c>
    </row>
    <row r="18" spans="1:32" ht="150" customHeight="1" x14ac:dyDescent="0.25">
      <c r="A18" s="761">
        <v>744472</v>
      </c>
      <c r="B18" s="761" t="s">
        <v>143</v>
      </c>
      <c r="C18" s="761" t="s">
        <v>3790</v>
      </c>
      <c r="D18" s="761" t="s">
        <v>149</v>
      </c>
      <c r="E18" s="762">
        <v>44907</v>
      </c>
      <c r="F18" s="761" t="s">
        <v>808</v>
      </c>
      <c r="G18" s="761" t="s">
        <v>15</v>
      </c>
      <c r="H18" s="761" t="s">
        <v>809</v>
      </c>
      <c r="I18" s="761" t="s">
        <v>810</v>
      </c>
      <c r="J18" s="761" t="s">
        <v>16</v>
      </c>
      <c r="K18" s="761" t="s">
        <v>327</v>
      </c>
      <c r="L18" s="761" t="s">
        <v>811</v>
      </c>
      <c r="M18" s="761" t="s">
        <v>17</v>
      </c>
      <c r="N18" s="763" t="s">
        <v>812</v>
      </c>
      <c r="O18" s="761" t="s">
        <v>813</v>
      </c>
      <c r="P18" s="761" t="s">
        <v>17</v>
      </c>
      <c r="Q18" s="761" t="s">
        <v>17</v>
      </c>
      <c r="R18" s="761" t="s">
        <v>96</v>
      </c>
      <c r="S18" s="761" t="s">
        <v>814</v>
      </c>
      <c r="T18" s="681" t="s">
        <v>43</v>
      </c>
      <c r="U18" s="761">
        <v>723.9</v>
      </c>
      <c r="V18" s="761" t="s">
        <v>17</v>
      </c>
      <c r="W18" s="761" t="s">
        <v>17</v>
      </c>
      <c r="X18" s="761" t="s">
        <v>17</v>
      </c>
      <c r="Y18" s="761" t="s">
        <v>17</v>
      </c>
      <c r="Z18" s="761" t="s">
        <v>17</v>
      </c>
      <c r="AA18" s="761" t="s">
        <v>17</v>
      </c>
      <c r="AB18" s="761" t="s">
        <v>17</v>
      </c>
      <c r="AC18" s="761" t="s">
        <v>815</v>
      </c>
      <c r="AD18" s="761" t="s">
        <v>19</v>
      </c>
      <c r="AE18" s="681" t="s">
        <v>17</v>
      </c>
      <c r="AF18" s="761" t="s">
        <v>816</v>
      </c>
    </row>
    <row r="19" spans="1:32" ht="150" customHeight="1" x14ac:dyDescent="0.25">
      <c r="A19" s="761">
        <v>701108</v>
      </c>
      <c r="B19" s="761" t="s">
        <v>143</v>
      </c>
      <c r="C19" s="761" t="s">
        <v>817</v>
      </c>
      <c r="D19" s="761" t="s">
        <v>144</v>
      </c>
      <c r="E19" s="762">
        <v>44497</v>
      </c>
      <c r="F19" s="761" t="s">
        <v>818</v>
      </c>
      <c r="G19" s="761" t="s">
        <v>145</v>
      </c>
      <c r="H19" s="761" t="s">
        <v>762</v>
      </c>
      <c r="I19" s="761" t="s">
        <v>819</v>
      </c>
      <c r="J19" s="761" t="s">
        <v>16</v>
      </c>
      <c r="K19" s="761" t="s">
        <v>298</v>
      </c>
      <c r="L19" s="761" t="s">
        <v>820</v>
      </c>
      <c r="M19" s="761" t="s">
        <v>23</v>
      </c>
      <c r="N19" s="763" t="s">
        <v>821</v>
      </c>
      <c r="O19" s="761" t="s">
        <v>822</v>
      </c>
      <c r="P19" s="681" t="s">
        <v>17</v>
      </c>
      <c r="Q19" s="681" t="s">
        <v>17</v>
      </c>
      <c r="R19" s="761" t="s">
        <v>96</v>
      </c>
      <c r="S19" s="770" t="s">
        <v>823</v>
      </c>
      <c r="T19" s="681" t="s">
        <v>41</v>
      </c>
      <c r="U19" s="765" t="s">
        <v>161</v>
      </c>
      <c r="V19" s="761" t="s">
        <v>17</v>
      </c>
      <c r="W19" s="761" t="s">
        <v>17</v>
      </c>
      <c r="X19" s="761" t="s">
        <v>17</v>
      </c>
      <c r="Y19" s="761" t="s">
        <v>17</v>
      </c>
      <c r="Z19" s="761" t="s">
        <v>17</v>
      </c>
      <c r="AA19" s="761" t="s">
        <v>17</v>
      </c>
      <c r="AB19" s="761" t="s">
        <v>17</v>
      </c>
      <c r="AC19" s="681" t="s">
        <v>824</v>
      </c>
      <c r="AD19" s="681" t="s">
        <v>19</v>
      </c>
      <c r="AE19" s="681" t="s">
        <v>17</v>
      </c>
      <c r="AF19" s="761" t="s">
        <v>768</v>
      </c>
    </row>
    <row r="20" spans="1:32" ht="150" customHeight="1" x14ac:dyDescent="0.25">
      <c r="A20" s="761">
        <v>597928</v>
      </c>
      <c r="B20" s="761" t="s">
        <v>143</v>
      </c>
      <c r="C20" s="761" t="s">
        <v>829</v>
      </c>
      <c r="D20" s="761" t="s">
        <v>144</v>
      </c>
      <c r="E20" s="762">
        <v>43333</v>
      </c>
      <c r="F20" s="761" t="s">
        <v>830</v>
      </c>
      <c r="G20" s="761" t="s">
        <v>145</v>
      </c>
      <c r="H20" s="761" t="s">
        <v>831</v>
      </c>
      <c r="I20" s="761" t="s">
        <v>832</v>
      </c>
      <c r="J20" s="761" t="s">
        <v>16</v>
      </c>
      <c r="K20" s="761" t="s">
        <v>298</v>
      </c>
      <c r="L20" s="761" t="s">
        <v>307</v>
      </c>
      <c r="M20" s="761" t="s">
        <v>17</v>
      </c>
      <c r="N20" s="763" t="s">
        <v>833</v>
      </c>
      <c r="O20" s="761" t="s">
        <v>834</v>
      </c>
      <c r="P20" s="761" t="s">
        <v>17</v>
      </c>
      <c r="Q20" s="761" t="s">
        <v>17</v>
      </c>
      <c r="R20" s="761" t="s">
        <v>96</v>
      </c>
      <c r="S20" s="761" t="s">
        <v>835</v>
      </c>
      <c r="T20" s="761" t="s">
        <v>41</v>
      </c>
      <c r="U20" s="761" t="s">
        <v>17</v>
      </c>
      <c r="V20" s="761" t="s">
        <v>17</v>
      </c>
      <c r="W20" s="761" t="s">
        <v>17</v>
      </c>
      <c r="X20" s="761" t="s">
        <v>17</v>
      </c>
      <c r="Y20" s="761" t="s">
        <v>17</v>
      </c>
      <c r="Z20" s="761" t="s">
        <v>17</v>
      </c>
      <c r="AA20" s="761" t="s">
        <v>17</v>
      </c>
      <c r="AB20" s="761" t="s">
        <v>836</v>
      </c>
      <c r="AC20" s="761" t="s">
        <v>837</v>
      </c>
      <c r="AD20" s="761" t="s">
        <v>24</v>
      </c>
      <c r="AE20" s="681" t="s">
        <v>17</v>
      </c>
      <c r="AF20" s="761" t="s">
        <v>19</v>
      </c>
    </row>
    <row r="21" spans="1:32" ht="150" customHeight="1" x14ac:dyDescent="0.25">
      <c r="A21" s="761">
        <v>271844</v>
      </c>
      <c r="B21" s="761" t="s">
        <v>143</v>
      </c>
      <c r="C21" s="761" t="s">
        <v>838</v>
      </c>
      <c r="D21" s="761" t="s">
        <v>159</v>
      </c>
      <c r="E21" s="762">
        <v>39433</v>
      </c>
      <c r="F21" s="761" t="s">
        <v>839</v>
      </c>
      <c r="G21" s="768" t="s">
        <v>147</v>
      </c>
      <c r="H21" s="761" t="s">
        <v>840</v>
      </c>
      <c r="I21" s="761" t="s">
        <v>841</v>
      </c>
      <c r="J21" s="761" t="s">
        <v>16</v>
      </c>
      <c r="K21" s="761" t="s">
        <v>298</v>
      </c>
      <c r="L21" s="761" t="s">
        <v>842</v>
      </c>
      <c r="M21" s="761" t="s">
        <v>23</v>
      </c>
      <c r="N21" s="763" t="s">
        <v>842</v>
      </c>
      <c r="O21" s="761" t="s">
        <v>23</v>
      </c>
      <c r="P21" s="681">
        <v>10000000</v>
      </c>
      <c r="Q21" s="761" t="s">
        <v>23</v>
      </c>
      <c r="R21" s="761" t="s">
        <v>96</v>
      </c>
      <c r="S21" s="681" t="s">
        <v>843</v>
      </c>
      <c r="T21" s="681" t="s">
        <v>38</v>
      </c>
      <c r="U21" s="765" t="s">
        <v>23</v>
      </c>
      <c r="V21" s="681" t="s">
        <v>23</v>
      </c>
      <c r="W21" s="681" t="s">
        <v>23</v>
      </c>
      <c r="X21" s="765" t="s">
        <v>23</v>
      </c>
      <c r="Y21" s="681" t="s">
        <v>23</v>
      </c>
      <c r="Z21" s="767">
        <v>40954</v>
      </c>
      <c r="AA21" s="767">
        <v>41166</v>
      </c>
      <c r="AB21" s="681" t="s">
        <v>23</v>
      </c>
      <c r="AC21" s="681" t="s">
        <v>844</v>
      </c>
      <c r="AD21" s="681" t="s">
        <v>19</v>
      </c>
      <c r="AE21" s="681" t="s">
        <v>17</v>
      </c>
      <c r="AF21" s="681" t="s">
        <v>845</v>
      </c>
    </row>
    <row r="22" spans="1:32" ht="150" customHeight="1" x14ac:dyDescent="0.25">
      <c r="A22" s="761">
        <v>55135</v>
      </c>
      <c r="B22" s="761" t="s">
        <v>143</v>
      </c>
      <c r="C22" s="761" t="s">
        <v>3791</v>
      </c>
      <c r="D22" s="761" t="s">
        <v>149</v>
      </c>
      <c r="E22" s="762">
        <v>37575</v>
      </c>
      <c r="F22" s="761" t="s">
        <v>866</v>
      </c>
      <c r="G22" s="761" t="s">
        <v>15</v>
      </c>
      <c r="H22" s="761" t="s">
        <v>867</v>
      </c>
      <c r="I22" s="761" t="s">
        <v>868</v>
      </c>
      <c r="J22" s="761" t="s">
        <v>16</v>
      </c>
      <c r="K22" s="761" t="s">
        <v>327</v>
      </c>
      <c r="L22" s="761" t="s">
        <v>869</v>
      </c>
      <c r="M22" s="761" t="s">
        <v>23</v>
      </c>
      <c r="N22" s="763" t="s">
        <v>869</v>
      </c>
      <c r="O22" s="761" t="s">
        <v>860</v>
      </c>
      <c r="P22" s="681" t="s">
        <v>23</v>
      </c>
      <c r="Q22" s="681" t="s">
        <v>23</v>
      </c>
      <c r="R22" s="761" t="s">
        <v>96</v>
      </c>
      <c r="S22" s="681" t="s">
        <v>870</v>
      </c>
      <c r="T22" s="681" t="s">
        <v>59</v>
      </c>
      <c r="U22" s="765" t="s">
        <v>23</v>
      </c>
      <c r="V22" s="681" t="s">
        <v>23</v>
      </c>
      <c r="W22" s="681" t="s">
        <v>23</v>
      </c>
      <c r="X22" s="765">
        <v>2001</v>
      </c>
      <c r="Y22" s="681" t="s">
        <v>23</v>
      </c>
      <c r="Z22" s="767" t="s">
        <v>23</v>
      </c>
      <c r="AA22" s="767" t="s">
        <v>23</v>
      </c>
      <c r="AB22" s="767" t="s">
        <v>23</v>
      </c>
      <c r="AC22" s="681" t="s">
        <v>871</v>
      </c>
      <c r="AD22" s="681" t="s">
        <v>19</v>
      </c>
      <c r="AE22" s="681" t="s">
        <v>17</v>
      </c>
      <c r="AF22" s="761" t="s">
        <v>872</v>
      </c>
    </row>
    <row r="23" spans="1:32" ht="150" customHeight="1" x14ac:dyDescent="0.25">
      <c r="A23" s="761">
        <v>289508</v>
      </c>
      <c r="B23" s="761" t="s">
        <v>143</v>
      </c>
      <c r="C23" s="761" t="s">
        <v>878</v>
      </c>
      <c r="D23" s="761" t="s">
        <v>159</v>
      </c>
      <c r="E23" s="762">
        <v>39279</v>
      </c>
      <c r="F23" s="761" t="s">
        <v>879</v>
      </c>
      <c r="G23" s="768" t="s">
        <v>147</v>
      </c>
      <c r="H23" s="761" t="s">
        <v>296</v>
      </c>
      <c r="I23" s="761" t="s">
        <v>880</v>
      </c>
      <c r="J23" s="761" t="s">
        <v>16</v>
      </c>
      <c r="K23" s="761" t="s">
        <v>298</v>
      </c>
      <c r="L23" s="761" t="s">
        <v>881</v>
      </c>
      <c r="M23" s="761" t="s">
        <v>23</v>
      </c>
      <c r="N23" s="763" t="s">
        <v>881</v>
      </c>
      <c r="O23" s="761" t="s">
        <v>23</v>
      </c>
      <c r="P23" s="681" t="s">
        <v>23</v>
      </c>
      <c r="Q23" s="681" t="s">
        <v>23</v>
      </c>
      <c r="R23" s="761" t="s">
        <v>148</v>
      </c>
      <c r="S23" s="770" t="s">
        <v>882</v>
      </c>
      <c r="T23" s="681" t="s">
        <v>18</v>
      </c>
      <c r="U23" s="765">
        <v>234.2</v>
      </c>
      <c r="V23" s="681" t="s">
        <v>23</v>
      </c>
      <c r="W23" s="681" t="s">
        <v>23</v>
      </c>
      <c r="X23" s="765" t="s">
        <v>23</v>
      </c>
      <c r="Y23" s="681" t="s">
        <v>23</v>
      </c>
      <c r="Z23" s="767">
        <v>43888</v>
      </c>
      <c r="AA23" s="767" t="s">
        <v>23</v>
      </c>
      <c r="AB23" s="681" t="s">
        <v>23</v>
      </c>
      <c r="AC23" s="681" t="s">
        <v>883</v>
      </c>
      <c r="AD23" s="681" t="s">
        <v>19</v>
      </c>
      <c r="AE23" s="681" t="s">
        <v>17</v>
      </c>
      <c r="AF23" s="761" t="s">
        <v>884</v>
      </c>
    </row>
    <row r="24" spans="1:32" ht="150" customHeight="1" x14ac:dyDescent="0.25">
      <c r="A24" s="761">
        <v>557345</v>
      </c>
      <c r="B24" s="761" t="s">
        <v>143</v>
      </c>
      <c r="C24" s="761" t="s">
        <v>3792</v>
      </c>
      <c r="D24" s="761" t="s">
        <v>162</v>
      </c>
      <c r="E24" s="762">
        <v>42850</v>
      </c>
      <c r="F24" s="761" t="s">
        <v>886</v>
      </c>
      <c r="G24" s="761" t="s">
        <v>15</v>
      </c>
      <c r="H24" s="761" t="s">
        <v>296</v>
      </c>
      <c r="I24" s="761" t="s">
        <v>887</v>
      </c>
      <c r="J24" s="761" t="s">
        <v>16</v>
      </c>
      <c r="K24" s="761" t="s">
        <v>298</v>
      </c>
      <c r="L24" s="761" t="s">
        <v>888</v>
      </c>
      <c r="M24" s="761" t="s">
        <v>23</v>
      </c>
      <c r="N24" s="763" t="s">
        <v>889</v>
      </c>
      <c r="O24" s="761" t="s">
        <v>17</v>
      </c>
      <c r="P24" s="761" t="s">
        <v>17</v>
      </c>
      <c r="Q24" s="761" t="s">
        <v>17</v>
      </c>
      <c r="R24" s="761" t="s">
        <v>148</v>
      </c>
      <c r="S24" s="761" t="s">
        <v>890</v>
      </c>
      <c r="T24" s="681" t="s">
        <v>46</v>
      </c>
      <c r="U24" s="761">
        <v>321.16000000000003</v>
      </c>
      <c r="V24" s="761" t="s">
        <v>17</v>
      </c>
      <c r="W24" s="761" t="s">
        <v>17</v>
      </c>
      <c r="X24" s="761" t="s">
        <v>17</v>
      </c>
      <c r="Y24" s="761" t="s">
        <v>17</v>
      </c>
      <c r="Z24" s="788">
        <v>45483</v>
      </c>
      <c r="AA24" s="761" t="s">
        <v>17</v>
      </c>
      <c r="AB24" s="761" t="s">
        <v>17</v>
      </c>
      <c r="AC24" s="761" t="s">
        <v>3793</v>
      </c>
      <c r="AD24" s="681" t="s">
        <v>22</v>
      </c>
      <c r="AE24" s="681" t="s">
        <v>17</v>
      </c>
      <c r="AF24" s="761" t="s">
        <v>892</v>
      </c>
    </row>
    <row r="25" spans="1:32" ht="150" customHeight="1" x14ac:dyDescent="0.25">
      <c r="A25" s="761">
        <v>742520</v>
      </c>
      <c r="B25" s="761" t="s">
        <v>143</v>
      </c>
      <c r="C25" s="761" t="s">
        <v>3794</v>
      </c>
      <c r="D25" s="761" t="s">
        <v>144</v>
      </c>
      <c r="E25" s="781">
        <v>43315</v>
      </c>
      <c r="F25" s="761" t="s">
        <v>894</v>
      </c>
      <c r="G25" s="761" t="s">
        <v>15</v>
      </c>
      <c r="H25" s="761" t="s">
        <v>895</v>
      </c>
      <c r="I25" s="761" t="s">
        <v>896</v>
      </c>
      <c r="J25" s="761" t="s">
        <v>16</v>
      </c>
      <c r="K25" s="761" t="s">
        <v>327</v>
      </c>
      <c r="L25" s="761" t="s">
        <v>35</v>
      </c>
      <c r="M25" s="761" t="s">
        <v>17</v>
      </c>
      <c r="N25" s="763" t="s">
        <v>897</v>
      </c>
      <c r="O25" s="761" t="s">
        <v>898</v>
      </c>
      <c r="P25" s="761" t="s">
        <v>17</v>
      </c>
      <c r="Q25" s="761" t="s">
        <v>17</v>
      </c>
      <c r="R25" s="681" t="s">
        <v>163</v>
      </c>
      <c r="S25" s="761" t="s">
        <v>899</v>
      </c>
      <c r="T25" s="761" t="s">
        <v>68</v>
      </c>
      <c r="U25" s="761" t="s">
        <v>164</v>
      </c>
      <c r="V25" s="761" t="s">
        <v>17</v>
      </c>
      <c r="W25" s="761" t="s">
        <v>17</v>
      </c>
      <c r="X25" s="761" t="s">
        <v>17</v>
      </c>
      <c r="Y25" s="761" t="s">
        <v>17</v>
      </c>
      <c r="Z25" s="761" t="s">
        <v>853</v>
      </c>
      <c r="AA25" s="761" t="s">
        <v>853</v>
      </c>
      <c r="AB25" s="761" t="s">
        <v>17</v>
      </c>
      <c r="AC25" s="761" t="s">
        <v>900</v>
      </c>
      <c r="AD25" s="761" t="s">
        <v>19</v>
      </c>
      <c r="AE25" s="681" t="s">
        <v>17</v>
      </c>
      <c r="AF25" s="761" t="s">
        <v>3795</v>
      </c>
    </row>
    <row r="26" spans="1:32" ht="150" customHeight="1" x14ac:dyDescent="0.25">
      <c r="A26" s="761">
        <v>731366</v>
      </c>
      <c r="B26" s="761" t="s">
        <v>143</v>
      </c>
      <c r="C26" s="782" t="s">
        <v>3796</v>
      </c>
      <c r="D26" s="761" t="s">
        <v>144</v>
      </c>
      <c r="E26" s="762">
        <v>45231</v>
      </c>
      <c r="F26" s="761" t="s">
        <v>903</v>
      </c>
      <c r="G26" s="761" t="s">
        <v>15</v>
      </c>
      <c r="H26" s="761" t="s">
        <v>904</v>
      </c>
      <c r="I26" s="761" t="s">
        <v>905</v>
      </c>
      <c r="J26" s="761" t="s">
        <v>16</v>
      </c>
      <c r="K26" s="761" t="s">
        <v>298</v>
      </c>
      <c r="L26" s="761" t="s">
        <v>906</v>
      </c>
      <c r="M26" s="761" t="s">
        <v>17</v>
      </c>
      <c r="N26" s="763" t="s">
        <v>907</v>
      </c>
      <c r="O26" s="761" t="s">
        <v>908</v>
      </c>
      <c r="P26" s="761" t="s">
        <v>17</v>
      </c>
      <c r="Q26" s="761" t="s">
        <v>17</v>
      </c>
      <c r="R26" s="761" t="s">
        <v>148</v>
      </c>
      <c r="S26" s="761" t="s">
        <v>899</v>
      </c>
      <c r="T26" s="761" t="s">
        <v>68</v>
      </c>
      <c r="U26" s="761" t="s">
        <v>165</v>
      </c>
      <c r="V26" s="761" t="s">
        <v>17</v>
      </c>
      <c r="W26" s="761" t="s">
        <v>17</v>
      </c>
      <c r="X26" s="761" t="s">
        <v>17</v>
      </c>
      <c r="Y26" s="761" t="s">
        <v>17</v>
      </c>
      <c r="Z26" s="761" t="s">
        <v>19</v>
      </c>
      <c r="AA26" s="761" t="s">
        <v>17</v>
      </c>
      <c r="AB26" s="761" t="s">
        <v>17</v>
      </c>
      <c r="AC26" s="761" t="s">
        <v>909</v>
      </c>
      <c r="AD26" s="761" t="s">
        <v>19</v>
      </c>
      <c r="AE26" s="681" t="s">
        <v>17</v>
      </c>
      <c r="AF26" s="761" t="s">
        <v>910</v>
      </c>
    </row>
    <row r="27" spans="1:32" ht="150" customHeight="1" x14ac:dyDescent="0.25">
      <c r="A27" s="761">
        <v>539060</v>
      </c>
      <c r="B27" s="761" t="s">
        <v>143</v>
      </c>
      <c r="C27" s="761" t="s">
        <v>919</v>
      </c>
      <c r="D27" s="761" t="s">
        <v>166</v>
      </c>
      <c r="E27" s="762">
        <v>42472</v>
      </c>
      <c r="F27" s="761" t="s">
        <v>548</v>
      </c>
      <c r="G27" s="761" t="s">
        <v>145</v>
      </c>
      <c r="H27" s="761" t="s">
        <v>920</v>
      </c>
      <c r="I27" s="761" t="s">
        <v>921</v>
      </c>
      <c r="J27" s="761" t="s">
        <v>16</v>
      </c>
      <c r="K27" s="761" t="s">
        <v>298</v>
      </c>
      <c r="L27" s="761" t="s">
        <v>922</v>
      </c>
      <c r="M27" s="761" t="s">
        <v>23</v>
      </c>
      <c r="N27" s="763" t="s">
        <v>922</v>
      </c>
      <c r="O27" s="761" t="s">
        <v>23</v>
      </c>
      <c r="P27" s="681" t="s">
        <v>23</v>
      </c>
      <c r="Q27" s="681">
        <v>894026831.18553722</v>
      </c>
      <c r="R27" s="761" t="s">
        <v>148</v>
      </c>
      <c r="S27" s="770" t="s">
        <v>923</v>
      </c>
      <c r="T27" s="681" t="s">
        <v>41</v>
      </c>
      <c r="U27" s="765" t="s">
        <v>23</v>
      </c>
      <c r="V27" s="681">
        <v>1790764880.4000001</v>
      </c>
      <c r="W27" s="766">
        <v>0.49924299999999999</v>
      </c>
      <c r="X27" s="765" t="s">
        <v>23</v>
      </c>
      <c r="Y27" s="681" t="s">
        <v>23</v>
      </c>
      <c r="Z27" s="767" t="s">
        <v>23</v>
      </c>
      <c r="AA27" s="767" t="s">
        <v>23</v>
      </c>
      <c r="AB27" s="681" t="s">
        <v>23</v>
      </c>
      <c r="AC27" s="681" t="s">
        <v>924</v>
      </c>
      <c r="AD27" s="681" t="s">
        <v>19</v>
      </c>
      <c r="AE27" s="681" t="s">
        <v>17</v>
      </c>
      <c r="AF27" s="681" t="s">
        <v>925</v>
      </c>
    </row>
    <row r="28" spans="1:32" ht="150" customHeight="1" x14ac:dyDescent="0.25">
      <c r="A28" s="761">
        <v>363971</v>
      </c>
      <c r="B28" s="761" t="s">
        <v>143</v>
      </c>
      <c r="C28" s="761" t="s">
        <v>926</v>
      </c>
      <c r="D28" s="761" t="s">
        <v>166</v>
      </c>
      <c r="E28" s="762">
        <v>40647</v>
      </c>
      <c r="F28" s="761" t="s">
        <v>927</v>
      </c>
      <c r="G28" s="761" t="s">
        <v>145</v>
      </c>
      <c r="H28" s="761" t="s">
        <v>928</v>
      </c>
      <c r="I28" s="761" t="s">
        <v>929</v>
      </c>
      <c r="J28" s="761" t="s">
        <v>16</v>
      </c>
      <c r="K28" s="761" t="s">
        <v>298</v>
      </c>
      <c r="L28" s="761" t="s">
        <v>930</v>
      </c>
      <c r="M28" s="761" t="s">
        <v>23</v>
      </c>
      <c r="N28" s="763" t="s">
        <v>930</v>
      </c>
      <c r="O28" s="761" t="s">
        <v>23</v>
      </c>
      <c r="P28" s="681" t="s">
        <v>23</v>
      </c>
      <c r="Q28" s="681">
        <v>146899639</v>
      </c>
      <c r="R28" s="761" t="s">
        <v>148</v>
      </c>
      <c r="S28" s="770" t="s">
        <v>931</v>
      </c>
      <c r="T28" s="681" t="s">
        <v>167</v>
      </c>
      <c r="U28" s="765" t="s">
        <v>23</v>
      </c>
      <c r="V28" s="681">
        <v>412100001.12212664</v>
      </c>
      <c r="W28" s="783">
        <v>0.35646600000000001</v>
      </c>
      <c r="X28" s="681" t="s">
        <v>23</v>
      </c>
      <c r="Y28" s="681" t="s">
        <v>23</v>
      </c>
      <c r="Z28" s="767">
        <v>41389</v>
      </c>
      <c r="AA28" s="767" t="s">
        <v>23</v>
      </c>
      <c r="AB28" s="681" t="s">
        <v>23</v>
      </c>
      <c r="AC28" s="681" t="s">
        <v>932</v>
      </c>
      <c r="AD28" s="681" t="s">
        <v>19</v>
      </c>
      <c r="AE28" s="681" t="s">
        <v>17</v>
      </c>
      <c r="AF28" s="681" t="s">
        <v>933</v>
      </c>
    </row>
    <row r="29" spans="1:32" ht="150" customHeight="1" x14ac:dyDescent="0.25">
      <c r="A29" s="761">
        <v>347764</v>
      </c>
      <c r="B29" s="761" t="s">
        <v>143</v>
      </c>
      <c r="C29" s="761" t="s">
        <v>934</v>
      </c>
      <c r="D29" s="761" t="s">
        <v>159</v>
      </c>
      <c r="E29" s="762">
        <v>40120</v>
      </c>
      <c r="F29" s="761" t="s">
        <v>935</v>
      </c>
      <c r="G29" s="768" t="s">
        <v>147</v>
      </c>
      <c r="H29" s="761" t="s">
        <v>936</v>
      </c>
      <c r="I29" s="761" t="s">
        <v>345</v>
      </c>
      <c r="J29" s="761" t="s">
        <v>16</v>
      </c>
      <c r="K29" s="761" t="s">
        <v>298</v>
      </c>
      <c r="L29" s="761" t="s">
        <v>937</v>
      </c>
      <c r="M29" s="761" t="s">
        <v>23</v>
      </c>
      <c r="N29" s="763" t="s">
        <v>937</v>
      </c>
      <c r="O29" s="761" t="s">
        <v>938</v>
      </c>
      <c r="P29" s="681" t="s">
        <v>23</v>
      </c>
      <c r="Q29" s="681" t="s">
        <v>23</v>
      </c>
      <c r="R29" s="761" t="s">
        <v>96</v>
      </c>
      <c r="S29" s="681" t="s">
        <v>939</v>
      </c>
      <c r="T29" s="681" t="s">
        <v>41</v>
      </c>
      <c r="U29" s="765" t="s">
        <v>23</v>
      </c>
      <c r="V29" s="681" t="s">
        <v>23</v>
      </c>
      <c r="W29" s="681" t="s">
        <v>23</v>
      </c>
      <c r="X29" s="765">
        <v>213.57</v>
      </c>
      <c r="Y29" s="681" t="s">
        <v>23</v>
      </c>
      <c r="Z29" s="767">
        <v>43230</v>
      </c>
      <c r="AA29" s="767">
        <v>43426</v>
      </c>
      <c r="AB29" s="681" t="s">
        <v>23</v>
      </c>
      <c r="AC29" s="764" t="s">
        <v>940</v>
      </c>
      <c r="AD29" s="761" t="s">
        <v>22</v>
      </c>
      <c r="AE29" s="681" t="s">
        <v>17</v>
      </c>
      <c r="AF29" s="761" t="s">
        <v>941</v>
      </c>
    </row>
    <row r="30" spans="1:32" ht="150" customHeight="1" x14ac:dyDescent="0.25">
      <c r="A30" s="771">
        <v>792124</v>
      </c>
      <c r="B30" s="771" t="s">
        <v>143</v>
      </c>
      <c r="C30" s="784" t="s">
        <v>3797</v>
      </c>
      <c r="D30" s="761" t="s">
        <v>144</v>
      </c>
      <c r="E30" s="762">
        <v>45348</v>
      </c>
      <c r="F30" s="785" t="s">
        <v>943</v>
      </c>
      <c r="G30" s="761" t="s">
        <v>15</v>
      </c>
      <c r="H30" s="771" t="s">
        <v>296</v>
      </c>
      <c r="I30" s="761" t="s">
        <v>944</v>
      </c>
      <c r="J30" s="761" t="s">
        <v>16</v>
      </c>
      <c r="K30" s="761" t="s">
        <v>298</v>
      </c>
      <c r="L30" s="761" t="s">
        <v>945</v>
      </c>
      <c r="M30" s="761" t="s">
        <v>17</v>
      </c>
      <c r="N30" s="761" t="s">
        <v>946</v>
      </c>
      <c r="O30" s="761" t="s">
        <v>947</v>
      </c>
      <c r="P30" s="786" t="s">
        <v>17</v>
      </c>
      <c r="Q30" s="786" t="s">
        <v>17</v>
      </c>
      <c r="R30" s="761" t="s">
        <v>96</v>
      </c>
      <c r="S30" s="786" t="s">
        <v>948</v>
      </c>
      <c r="T30" s="681" t="s">
        <v>46</v>
      </c>
      <c r="U30" s="787" t="s">
        <v>168</v>
      </c>
      <c r="V30" s="761" t="s">
        <v>17</v>
      </c>
      <c r="W30" s="761" t="s">
        <v>17</v>
      </c>
      <c r="X30" s="761" t="s">
        <v>17</v>
      </c>
      <c r="Y30" s="761" t="s">
        <v>17</v>
      </c>
      <c r="Z30" s="761" t="s">
        <v>17</v>
      </c>
      <c r="AA30" s="761" t="s">
        <v>17</v>
      </c>
      <c r="AB30" s="761" t="s">
        <v>17</v>
      </c>
      <c r="AC30" s="761" t="s">
        <v>949</v>
      </c>
      <c r="AD30" s="761" t="s">
        <v>19</v>
      </c>
      <c r="AE30" s="681" t="s">
        <v>17</v>
      </c>
      <c r="AF30" s="761" t="s">
        <v>3798</v>
      </c>
    </row>
    <row r="31" spans="1:32" ht="150" customHeight="1" x14ac:dyDescent="0.25">
      <c r="A31" s="761">
        <v>744464</v>
      </c>
      <c r="B31" s="761" t="s">
        <v>143</v>
      </c>
      <c r="C31" s="761" t="s">
        <v>3799</v>
      </c>
      <c r="D31" s="761" t="s">
        <v>149</v>
      </c>
      <c r="E31" s="762">
        <v>44572</v>
      </c>
      <c r="F31" s="761" t="s">
        <v>962</v>
      </c>
      <c r="G31" s="761" t="s">
        <v>15</v>
      </c>
      <c r="H31" s="761" t="s">
        <v>963</v>
      </c>
      <c r="I31" s="761" t="s">
        <v>964</v>
      </c>
      <c r="J31" s="761" t="s">
        <v>16</v>
      </c>
      <c r="K31" s="761" t="s">
        <v>327</v>
      </c>
      <c r="L31" s="761" t="s">
        <v>965</v>
      </c>
      <c r="M31" s="761" t="s">
        <v>17</v>
      </c>
      <c r="N31" s="763" t="s">
        <v>966</v>
      </c>
      <c r="O31" s="761" t="s">
        <v>967</v>
      </c>
      <c r="P31" s="761" t="s">
        <v>17</v>
      </c>
      <c r="Q31" s="761" t="s">
        <v>17</v>
      </c>
      <c r="R31" s="761" t="s">
        <v>96</v>
      </c>
      <c r="S31" s="761" t="s">
        <v>968</v>
      </c>
      <c r="T31" s="761" t="s">
        <v>157</v>
      </c>
      <c r="U31" s="761">
        <v>417.54</v>
      </c>
      <c r="V31" s="761" t="s">
        <v>17</v>
      </c>
      <c r="W31" s="761" t="s">
        <v>17</v>
      </c>
      <c r="X31" s="761" t="s">
        <v>17</v>
      </c>
      <c r="Y31" s="761" t="s">
        <v>17</v>
      </c>
      <c r="Z31" s="761" t="s">
        <v>17</v>
      </c>
      <c r="AA31" s="761" t="s">
        <v>17</v>
      </c>
      <c r="AB31" s="761" t="s">
        <v>17</v>
      </c>
      <c r="AC31" s="761" t="s">
        <v>815</v>
      </c>
      <c r="AD31" s="761" t="s">
        <v>19</v>
      </c>
      <c r="AE31" s="681" t="s">
        <v>17</v>
      </c>
      <c r="AF31" s="761" t="s">
        <v>969</v>
      </c>
    </row>
    <row r="32" spans="1:32" ht="150" customHeight="1" x14ac:dyDescent="0.25">
      <c r="A32" s="761">
        <v>750162</v>
      </c>
      <c r="B32" s="761" t="s">
        <v>143</v>
      </c>
      <c r="C32" s="761" t="s">
        <v>970</v>
      </c>
      <c r="D32" s="761" t="s">
        <v>149</v>
      </c>
      <c r="E32" s="762">
        <v>40413</v>
      </c>
      <c r="F32" s="761" t="s">
        <v>971</v>
      </c>
      <c r="G32" s="761" t="s">
        <v>147</v>
      </c>
      <c r="H32" s="761" t="s">
        <v>972</v>
      </c>
      <c r="I32" s="761" t="s">
        <v>382</v>
      </c>
      <c r="J32" s="761" t="s">
        <v>16</v>
      </c>
      <c r="K32" s="761" t="s">
        <v>327</v>
      </c>
      <c r="L32" s="761" t="s">
        <v>973</v>
      </c>
      <c r="M32" s="761" t="s">
        <v>17</v>
      </c>
      <c r="N32" s="761" t="s">
        <v>974</v>
      </c>
      <c r="O32" s="761" t="s">
        <v>975</v>
      </c>
      <c r="P32" s="761" t="s">
        <v>17</v>
      </c>
      <c r="Q32" s="761" t="s">
        <v>17</v>
      </c>
      <c r="R32" s="761" t="s">
        <v>96</v>
      </c>
      <c r="S32" s="761" t="s">
        <v>976</v>
      </c>
      <c r="T32" s="761" t="s">
        <v>59</v>
      </c>
      <c r="U32" s="761" t="s">
        <v>169</v>
      </c>
      <c r="V32" s="761" t="s">
        <v>17</v>
      </c>
      <c r="W32" s="761" t="s">
        <v>17</v>
      </c>
      <c r="X32" s="761" t="s">
        <v>17</v>
      </c>
      <c r="Y32" s="761" t="s">
        <v>17</v>
      </c>
      <c r="Z32" s="788">
        <v>41155</v>
      </c>
      <c r="AA32" s="761" t="s">
        <v>17</v>
      </c>
      <c r="AB32" s="761" t="s">
        <v>17</v>
      </c>
      <c r="AC32" s="761" t="s">
        <v>977</v>
      </c>
      <c r="AD32" s="761" t="s">
        <v>19</v>
      </c>
      <c r="AE32" s="681" t="s">
        <v>17</v>
      </c>
      <c r="AF32" s="761" t="s">
        <v>978</v>
      </c>
    </row>
    <row r="33" spans="1:32" ht="150" customHeight="1" x14ac:dyDescent="0.25">
      <c r="A33" s="761">
        <v>635511</v>
      </c>
      <c r="B33" s="761" t="s">
        <v>143</v>
      </c>
      <c r="C33" s="761" t="s">
        <v>979</v>
      </c>
      <c r="D33" s="761" t="s">
        <v>166</v>
      </c>
      <c r="E33" s="762">
        <v>43795</v>
      </c>
      <c r="F33" s="761" t="s">
        <v>980</v>
      </c>
      <c r="G33" s="761" t="s">
        <v>145</v>
      </c>
      <c r="H33" s="761" t="s">
        <v>981</v>
      </c>
      <c r="I33" s="761" t="s">
        <v>982</v>
      </c>
      <c r="J33" s="761" t="s">
        <v>16</v>
      </c>
      <c r="K33" s="761" t="s">
        <v>298</v>
      </c>
      <c r="L33" s="761" t="s">
        <v>983</v>
      </c>
      <c r="M33" s="761" t="s">
        <v>17</v>
      </c>
      <c r="N33" s="763" t="s">
        <v>983</v>
      </c>
      <c r="O33" s="761" t="s">
        <v>17</v>
      </c>
      <c r="P33" s="771" t="s">
        <v>17</v>
      </c>
      <c r="Q33" s="761" t="s">
        <v>17</v>
      </c>
      <c r="R33" s="761" t="s">
        <v>148</v>
      </c>
      <c r="S33" s="771" t="s">
        <v>984</v>
      </c>
      <c r="T33" s="761" t="s">
        <v>170</v>
      </c>
      <c r="U33" s="771" t="s">
        <v>17</v>
      </c>
      <c r="V33" s="771" t="s">
        <v>985</v>
      </c>
      <c r="W33" s="789">
        <v>6.9999999999999999E-4</v>
      </c>
      <c r="X33" s="761" t="s">
        <v>17</v>
      </c>
      <c r="Y33" s="761" t="s">
        <v>17</v>
      </c>
      <c r="Z33" s="771" t="s">
        <v>17</v>
      </c>
      <c r="AA33" s="761" t="s">
        <v>17</v>
      </c>
      <c r="AB33" s="761" t="s">
        <v>17</v>
      </c>
      <c r="AC33" s="761" t="s">
        <v>986</v>
      </c>
      <c r="AD33" s="761" t="s">
        <v>19</v>
      </c>
      <c r="AE33" s="681" t="s">
        <v>17</v>
      </c>
      <c r="AF33" s="761" t="s">
        <v>768</v>
      </c>
    </row>
    <row r="34" spans="1:32" ht="150" customHeight="1" x14ac:dyDescent="0.25">
      <c r="A34" s="761">
        <v>534654</v>
      </c>
      <c r="B34" s="761" t="s">
        <v>143</v>
      </c>
      <c r="C34" s="761" t="s">
        <v>997</v>
      </c>
      <c r="D34" s="761" t="s">
        <v>166</v>
      </c>
      <c r="E34" s="762">
        <v>42573</v>
      </c>
      <c r="F34" s="761" t="s">
        <v>998</v>
      </c>
      <c r="G34" s="761" t="s">
        <v>145</v>
      </c>
      <c r="H34" s="761" t="s">
        <v>999</v>
      </c>
      <c r="I34" s="761" t="s">
        <v>929</v>
      </c>
      <c r="J34" s="761" t="s">
        <v>16</v>
      </c>
      <c r="K34" s="761" t="s">
        <v>298</v>
      </c>
      <c r="L34" s="761" t="s">
        <v>1000</v>
      </c>
      <c r="M34" s="761" t="s">
        <v>23</v>
      </c>
      <c r="N34" s="763" t="s">
        <v>1000</v>
      </c>
      <c r="O34" s="761" t="s">
        <v>23</v>
      </c>
      <c r="P34" s="681" t="s">
        <v>23</v>
      </c>
      <c r="Q34" s="681">
        <v>75911047</v>
      </c>
      <c r="R34" s="761" t="s">
        <v>148</v>
      </c>
      <c r="S34" s="770" t="s">
        <v>1001</v>
      </c>
      <c r="T34" s="681" t="s">
        <v>75</v>
      </c>
      <c r="U34" s="765" t="s">
        <v>23</v>
      </c>
      <c r="V34" s="681">
        <v>365378970</v>
      </c>
      <c r="W34" s="783">
        <v>0.10929999999999999</v>
      </c>
      <c r="X34" s="681" t="s">
        <v>23</v>
      </c>
      <c r="Y34" s="681" t="s">
        <v>23</v>
      </c>
      <c r="Z34" s="681" t="s">
        <v>23</v>
      </c>
      <c r="AA34" s="681" t="s">
        <v>23</v>
      </c>
      <c r="AB34" s="681" t="s">
        <v>23</v>
      </c>
      <c r="AC34" s="681" t="s">
        <v>1002</v>
      </c>
      <c r="AD34" s="681" t="s">
        <v>19</v>
      </c>
      <c r="AE34" s="681" t="s">
        <v>17</v>
      </c>
      <c r="AF34" s="761" t="s">
        <v>1003</v>
      </c>
    </row>
    <row r="35" spans="1:32" ht="150" customHeight="1" x14ac:dyDescent="0.25">
      <c r="A35" s="761">
        <v>582144</v>
      </c>
      <c r="B35" s="761" t="s">
        <v>143</v>
      </c>
      <c r="C35" s="761" t="s">
        <v>1012</v>
      </c>
      <c r="D35" s="761" t="s">
        <v>166</v>
      </c>
      <c r="E35" s="762">
        <v>43347</v>
      </c>
      <c r="F35" s="761" t="s">
        <v>1013</v>
      </c>
      <c r="G35" s="761" t="s">
        <v>145</v>
      </c>
      <c r="H35" s="761" t="s">
        <v>1014</v>
      </c>
      <c r="I35" s="761" t="s">
        <v>345</v>
      </c>
      <c r="J35" s="761" t="s">
        <v>16</v>
      </c>
      <c r="K35" s="761" t="s">
        <v>298</v>
      </c>
      <c r="L35" s="761" t="s">
        <v>1015</v>
      </c>
      <c r="M35" s="761" t="s">
        <v>23</v>
      </c>
      <c r="N35" s="763" t="s">
        <v>1015</v>
      </c>
      <c r="O35" s="761" t="s">
        <v>1016</v>
      </c>
      <c r="P35" s="681" t="s">
        <v>17</v>
      </c>
      <c r="Q35" s="681" t="s">
        <v>17</v>
      </c>
      <c r="R35" s="761" t="s">
        <v>148</v>
      </c>
      <c r="S35" s="681" t="s">
        <v>1017</v>
      </c>
      <c r="T35" s="681" t="s">
        <v>51</v>
      </c>
      <c r="U35" s="765" t="s">
        <v>171</v>
      </c>
      <c r="V35" s="681" t="s">
        <v>1018</v>
      </c>
      <c r="W35" s="790">
        <v>5.33E-2</v>
      </c>
      <c r="X35" s="765" t="s">
        <v>23</v>
      </c>
      <c r="Y35" s="681" t="s">
        <v>23</v>
      </c>
      <c r="Z35" s="767" t="s">
        <v>23</v>
      </c>
      <c r="AA35" s="767" t="s">
        <v>23</v>
      </c>
      <c r="AB35" s="681" t="s">
        <v>23</v>
      </c>
      <c r="AC35" s="681" t="s">
        <v>1019</v>
      </c>
      <c r="AD35" s="681" t="s">
        <v>19</v>
      </c>
      <c r="AE35" s="681" t="s">
        <v>17</v>
      </c>
      <c r="AF35" s="681" t="s">
        <v>1020</v>
      </c>
    </row>
    <row r="36" spans="1:32" ht="150" customHeight="1" x14ac:dyDescent="0.25">
      <c r="A36" s="771">
        <v>793476</v>
      </c>
      <c r="B36" s="771" t="s">
        <v>143</v>
      </c>
      <c r="C36" s="784" t="s">
        <v>3800</v>
      </c>
      <c r="D36" s="761" t="s">
        <v>144</v>
      </c>
      <c r="E36" s="762">
        <v>45355</v>
      </c>
      <c r="F36" s="785" t="s">
        <v>1032</v>
      </c>
      <c r="G36" s="761" t="s">
        <v>15</v>
      </c>
      <c r="H36" s="771" t="s">
        <v>296</v>
      </c>
      <c r="I36" s="761" t="s">
        <v>1033</v>
      </c>
      <c r="J36" s="761" t="s">
        <v>16</v>
      </c>
      <c r="K36" s="761" t="s">
        <v>298</v>
      </c>
      <c r="L36" s="761" t="s">
        <v>945</v>
      </c>
      <c r="M36" s="761" t="s">
        <v>17</v>
      </c>
      <c r="N36" s="761" t="s">
        <v>946</v>
      </c>
      <c r="O36" s="761" t="s">
        <v>1034</v>
      </c>
      <c r="P36" s="786" t="s">
        <v>17</v>
      </c>
      <c r="Q36" s="786" t="s">
        <v>17</v>
      </c>
      <c r="R36" s="761" t="s">
        <v>96</v>
      </c>
      <c r="S36" s="786" t="s">
        <v>1028</v>
      </c>
      <c r="T36" s="681" t="s">
        <v>38</v>
      </c>
      <c r="U36" s="787" t="s">
        <v>172</v>
      </c>
      <c r="V36" s="761" t="s">
        <v>17</v>
      </c>
      <c r="W36" s="761" t="s">
        <v>17</v>
      </c>
      <c r="X36" s="761" t="s">
        <v>17</v>
      </c>
      <c r="Y36" s="761" t="s">
        <v>17</v>
      </c>
      <c r="Z36" s="761" t="s">
        <v>17</v>
      </c>
      <c r="AA36" s="761" t="s">
        <v>17</v>
      </c>
      <c r="AB36" s="761" t="s">
        <v>17</v>
      </c>
      <c r="AC36" s="761" t="s">
        <v>949</v>
      </c>
      <c r="AD36" s="761" t="s">
        <v>19</v>
      </c>
      <c r="AE36" s="681" t="s">
        <v>17</v>
      </c>
      <c r="AF36" s="761" t="s">
        <v>1035</v>
      </c>
    </row>
    <row r="37" spans="1:32" ht="150" customHeight="1" x14ac:dyDescent="0.25">
      <c r="A37" s="761">
        <v>561413</v>
      </c>
      <c r="B37" s="761" t="s">
        <v>143</v>
      </c>
      <c r="C37" s="761" t="s">
        <v>1036</v>
      </c>
      <c r="D37" s="761" t="s">
        <v>173</v>
      </c>
      <c r="E37" s="762">
        <v>42613</v>
      </c>
      <c r="F37" s="761" t="s">
        <v>1037</v>
      </c>
      <c r="G37" s="761" t="s">
        <v>145</v>
      </c>
      <c r="H37" s="761" t="s">
        <v>1038</v>
      </c>
      <c r="I37" s="761" t="s">
        <v>1039</v>
      </c>
      <c r="J37" s="761" t="s">
        <v>16</v>
      </c>
      <c r="K37" s="761" t="s">
        <v>298</v>
      </c>
      <c r="L37" s="761" t="s">
        <v>1040</v>
      </c>
      <c r="M37" s="761" t="s">
        <v>23</v>
      </c>
      <c r="N37" s="763" t="s">
        <v>1041</v>
      </c>
      <c r="O37" s="761" t="s">
        <v>23</v>
      </c>
      <c r="P37" s="761" t="s">
        <v>23</v>
      </c>
      <c r="Q37" s="761" t="s">
        <v>23</v>
      </c>
      <c r="R37" s="761" t="s">
        <v>148</v>
      </c>
      <c r="S37" s="761" t="s">
        <v>1042</v>
      </c>
      <c r="T37" s="761" t="s">
        <v>174</v>
      </c>
      <c r="U37" s="761" t="s">
        <v>23</v>
      </c>
      <c r="V37" s="761" t="s">
        <v>1043</v>
      </c>
      <c r="W37" s="791">
        <v>3.8E-3</v>
      </c>
      <c r="X37" s="761" t="s">
        <v>23</v>
      </c>
      <c r="Y37" s="761" t="s">
        <v>23</v>
      </c>
      <c r="Z37" s="761" t="s">
        <v>23</v>
      </c>
      <c r="AA37" s="761" t="s">
        <v>23</v>
      </c>
      <c r="AB37" s="761" t="s">
        <v>23</v>
      </c>
      <c r="AC37" s="761" t="s">
        <v>1044</v>
      </c>
      <c r="AD37" s="681" t="s">
        <v>19</v>
      </c>
      <c r="AE37" s="681" t="s">
        <v>17</v>
      </c>
      <c r="AF37" s="761" t="s">
        <v>1045</v>
      </c>
    </row>
    <row r="38" spans="1:32" ht="150" customHeight="1" x14ac:dyDescent="0.25">
      <c r="A38" s="761">
        <v>534677</v>
      </c>
      <c r="B38" s="761" t="s">
        <v>143</v>
      </c>
      <c r="C38" s="761" t="s">
        <v>1046</v>
      </c>
      <c r="D38" s="761" t="s">
        <v>166</v>
      </c>
      <c r="E38" s="762">
        <v>42519</v>
      </c>
      <c r="F38" s="761" t="s">
        <v>1047</v>
      </c>
      <c r="G38" s="761" t="s">
        <v>145</v>
      </c>
      <c r="H38" s="761" t="s">
        <v>928</v>
      </c>
      <c r="I38" s="761" t="s">
        <v>929</v>
      </c>
      <c r="J38" s="761" t="s">
        <v>16</v>
      </c>
      <c r="K38" s="761" t="s">
        <v>298</v>
      </c>
      <c r="L38" s="761" t="s">
        <v>1048</v>
      </c>
      <c r="M38" s="761" t="s">
        <v>23</v>
      </c>
      <c r="N38" s="763" t="s">
        <v>1048</v>
      </c>
      <c r="O38" s="761" t="s">
        <v>23</v>
      </c>
      <c r="P38" s="681" t="s">
        <v>23</v>
      </c>
      <c r="Q38" s="681">
        <v>29088360</v>
      </c>
      <c r="R38" s="761" t="s">
        <v>148</v>
      </c>
      <c r="S38" s="770" t="s">
        <v>1049</v>
      </c>
      <c r="T38" s="681" t="s">
        <v>41</v>
      </c>
      <c r="U38" s="765" t="s">
        <v>23</v>
      </c>
      <c r="V38" s="681">
        <v>1499400000</v>
      </c>
      <c r="W38" s="783">
        <v>1.9400000000000001E-2</v>
      </c>
      <c r="X38" s="681" t="s">
        <v>23</v>
      </c>
      <c r="Y38" s="681" t="s">
        <v>23</v>
      </c>
      <c r="Z38" s="681" t="s">
        <v>23</v>
      </c>
      <c r="AA38" s="681" t="s">
        <v>23</v>
      </c>
      <c r="AB38" s="681" t="s">
        <v>23</v>
      </c>
      <c r="AC38" s="681" t="s">
        <v>924</v>
      </c>
      <c r="AD38" s="681" t="s">
        <v>19</v>
      </c>
      <c r="AE38" s="681" t="s">
        <v>17</v>
      </c>
      <c r="AF38" s="681" t="s">
        <v>924</v>
      </c>
    </row>
    <row r="39" spans="1:32" ht="150" customHeight="1" x14ac:dyDescent="0.25">
      <c r="A39" s="763" t="s">
        <v>175</v>
      </c>
      <c r="B39" s="768" t="s">
        <v>143</v>
      </c>
      <c r="C39" s="768" t="s">
        <v>3801</v>
      </c>
      <c r="D39" s="761" t="s">
        <v>144</v>
      </c>
      <c r="E39" s="762">
        <v>44167</v>
      </c>
      <c r="F39" s="761" t="s">
        <v>912</v>
      </c>
      <c r="G39" s="761" t="s">
        <v>15</v>
      </c>
      <c r="H39" s="763" t="s">
        <v>296</v>
      </c>
      <c r="I39" s="763" t="s">
        <v>1051</v>
      </c>
      <c r="J39" s="761" t="s">
        <v>16</v>
      </c>
      <c r="K39" s="761" t="s">
        <v>298</v>
      </c>
      <c r="L39" s="761" t="s">
        <v>1052</v>
      </c>
      <c r="M39" s="761" t="s">
        <v>1053</v>
      </c>
      <c r="N39" s="792" t="s">
        <v>1054</v>
      </c>
      <c r="O39" s="773" t="s">
        <v>1055</v>
      </c>
      <c r="P39" s="681" t="s">
        <v>17</v>
      </c>
      <c r="Q39" s="681" t="s">
        <v>17</v>
      </c>
      <c r="R39" s="761" t="s">
        <v>148</v>
      </c>
      <c r="S39" s="774" t="s">
        <v>1056</v>
      </c>
      <c r="T39" s="681" t="s">
        <v>75</v>
      </c>
      <c r="U39" s="793" t="s">
        <v>176</v>
      </c>
      <c r="V39" s="794" t="s">
        <v>1057</v>
      </c>
      <c r="W39" s="793" t="s">
        <v>17</v>
      </c>
      <c r="X39" s="793" t="s">
        <v>17</v>
      </c>
      <c r="Y39" s="793" t="s">
        <v>17</v>
      </c>
      <c r="Z39" s="793" t="s">
        <v>17</v>
      </c>
      <c r="AA39" s="793" t="s">
        <v>17</v>
      </c>
      <c r="AB39" s="793" t="s">
        <v>17</v>
      </c>
      <c r="AC39" s="793" t="s">
        <v>1058</v>
      </c>
      <c r="AD39" s="681" t="s">
        <v>19</v>
      </c>
      <c r="AE39" s="681" t="s">
        <v>17</v>
      </c>
      <c r="AF39" s="761" t="s">
        <v>1059</v>
      </c>
    </row>
    <row r="40" spans="1:32" ht="150" customHeight="1" x14ac:dyDescent="0.25">
      <c r="A40" s="761">
        <v>541653</v>
      </c>
      <c r="B40" s="761" t="s">
        <v>143</v>
      </c>
      <c r="C40" s="761" t="s">
        <v>1067</v>
      </c>
      <c r="D40" s="761" t="s">
        <v>166</v>
      </c>
      <c r="E40" s="762">
        <v>42690</v>
      </c>
      <c r="F40" s="761" t="s">
        <v>1068</v>
      </c>
      <c r="G40" s="761" t="s">
        <v>145</v>
      </c>
      <c r="H40" s="761" t="s">
        <v>1069</v>
      </c>
      <c r="I40" s="761" t="s">
        <v>1070</v>
      </c>
      <c r="J40" s="761" t="s">
        <v>16</v>
      </c>
      <c r="K40" s="761" t="s">
        <v>298</v>
      </c>
      <c r="L40" s="761" t="s">
        <v>1071</v>
      </c>
      <c r="M40" s="761" t="s">
        <v>23</v>
      </c>
      <c r="N40" s="763" t="s">
        <v>1071</v>
      </c>
      <c r="O40" s="761" t="s">
        <v>23</v>
      </c>
      <c r="P40" s="681" t="s">
        <v>23</v>
      </c>
      <c r="Q40" s="681" t="s">
        <v>1018</v>
      </c>
      <c r="R40" s="761" t="s">
        <v>148</v>
      </c>
      <c r="S40" s="770" t="s">
        <v>1072</v>
      </c>
      <c r="T40" s="681" t="s">
        <v>21</v>
      </c>
      <c r="U40" s="765" t="s">
        <v>23</v>
      </c>
      <c r="V40" s="681" t="s">
        <v>1018</v>
      </c>
      <c r="W40" s="766">
        <v>5.2900000000000003E-2</v>
      </c>
      <c r="X40" s="765" t="s">
        <v>23</v>
      </c>
      <c r="Y40" s="681" t="s">
        <v>23</v>
      </c>
      <c r="Z40" s="767" t="s">
        <v>23</v>
      </c>
      <c r="AA40" s="767" t="s">
        <v>23</v>
      </c>
      <c r="AB40" s="681" t="s">
        <v>23</v>
      </c>
      <c r="AC40" s="681" t="s">
        <v>924</v>
      </c>
      <c r="AD40" s="681" t="s">
        <v>19</v>
      </c>
      <c r="AE40" s="681" t="s">
        <v>17</v>
      </c>
      <c r="AF40" s="681" t="s">
        <v>924</v>
      </c>
    </row>
    <row r="41" spans="1:32" ht="150" customHeight="1" x14ac:dyDescent="0.25">
      <c r="A41" s="761">
        <v>534671</v>
      </c>
      <c r="B41" s="761" t="s">
        <v>143</v>
      </c>
      <c r="C41" s="761" t="s">
        <v>1073</v>
      </c>
      <c r="D41" s="761" t="s">
        <v>166</v>
      </c>
      <c r="E41" s="762">
        <v>42220</v>
      </c>
      <c r="F41" s="761" t="s">
        <v>1074</v>
      </c>
      <c r="G41" s="761" t="s">
        <v>145</v>
      </c>
      <c r="H41" s="761" t="s">
        <v>999</v>
      </c>
      <c r="I41" s="761" t="s">
        <v>929</v>
      </c>
      <c r="J41" s="761" t="s">
        <v>16</v>
      </c>
      <c r="K41" s="761" t="s">
        <v>298</v>
      </c>
      <c r="L41" s="761" t="s">
        <v>1075</v>
      </c>
      <c r="M41" s="761" t="s">
        <v>23</v>
      </c>
      <c r="N41" s="763" t="s">
        <v>1075</v>
      </c>
      <c r="O41" s="761" t="s">
        <v>23</v>
      </c>
      <c r="P41" s="681" t="s">
        <v>23</v>
      </c>
      <c r="Q41" s="681">
        <v>119757120</v>
      </c>
      <c r="R41" s="761" t="s">
        <v>148</v>
      </c>
      <c r="S41" s="770" t="s">
        <v>1076</v>
      </c>
      <c r="T41" s="681" t="s">
        <v>177</v>
      </c>
      <c r="U41" s="765" t="s">
        <v>23</v>
      </c>
      <c r="V41" s="681">
        <v>1405600000</v>
      </c>
      <c r="W41" s="783">
        <v>8.5199999999999998E-2</v>
      </c>
      <c r="X41" s="681" t="s">
        <v>23</v>
      </c>
      <c r="Y41" s="681" t="s">
        <v>23</v>
      </c>
      <c r="Z41" s="681" t="s">
        <v>23</v>
      </c>
      <c r="AA41" s="681" t="s">
        <v>23</v>
      </c>
      <c r="AB41" s="681" t="s">
        <v>23</v>
      </c>
      <c r="AC41" s="770" t="s">
        <v>1077</v>
      </c>
      <c r="AD41" s="681" t="s">
        <v>19</v>
      </c>
      <c r="AE41" s="681" t="s">
        <v>17</v>
      </c>
      <c r="AF41" s="761" t="s">
        <v>1078</v>
      </c>
    </row>
    <row r="42" spans="1:32" ht="150" customHeight="1" x14ac:dyDescent="0.25">
      <c r="A42" s="761">
        <v>673114</v>
      </c>
      <c r="B42" s="761" t="s">
        <v>143</v>
      </c>
      <c r="C42" s="761" t="s">
        <v>1079</v>
      </c>
      <c r="D42" s="761" t="s">
        <v>166</v>
      </c>
      <c r="E42" s="762">
        <v>43343</v>
      </c>
      <c r="F42" s="761" t="s">
        <v>1080</v>
      </c>
      <c r="G42" s="761" t="s">
        <v>145</v>
      </c>
      <c r="H42" s="761" t="s">
        <v>928</v>
      </c>
      <c r="I42" s="761" t="s">
        <v>1081</v>
      </c>
      <c r="J42" s="761" t="s">
        <v>16</v>
      </c>
      <c r="K42" s="761" t="s">
        <v>781</v>
      </c>
      <c r="L42" s="761" t="s">
        <v>1082</v>
      </c>
      <c r="M42" s="761" t="s">
        <v>17</v>
      </c>
      <c r="N42" s="763" t="s">
        <v>1083</v>
      </c>
      <c r="O42" s="761" t="s">
        <v>17</v>
      </c>
      <c r="P42" s="681" t="s">
        <v>17</v>
      </c>
      <c r="Q42" s="681" t="s">
        <v>17</v>
      </c>
      <c r="R42" s="761" t="s">
        <v>148</v>
      </c>
      <c r="S42" s="770" t="s">
        <v>1084</v>
      </c>
      <c r="T42" s="681" t="s">
        <v>41</v>
      </c>
      <c r="U42" s="765">
        <v>476</v>
      </c>
      <c r="V42" s="681">
        <v>1038741000</v>
      </c>
      <c r="W42" s="766">
        <v>1.4749E-2</v>
      </c>
      <c r="X42" s="765" t="s">
        <v>17</v>
      </c>
      <c r="Y42" s="681" t="s">
        <v>17</v>
      </c>
      <c r="Z42" s="767" t="s">
        <v>17</v>
      </c>
      <c r="AA42" s="767" t="s">
        <v>17</v>
      </c>
      <c r="AB42" s="681" t="s">
        <v>17</v>
      </c>
      <c r="AC42" s="681" t="s">
        <v>1085</v>
      </c>
      <c r="AD42" s="761" t="s">
        <v>19</v>
      </c>
      <c r="AE42" s="681" t="s">
        <v>17</v>
      </c>
      <c r="AF42" s="761" t="s">
        <v>768</v>
      </c>
    </row>
    <row r="43" spans="1:32" ht="150" customHeight="1" x14ac:dyDescent="0.25">
      <c r="A43" s="761">
        <v>692782</v>
      </c>
      <c r="B43" s="761" t="s">
        <v>143</v>
      </c>
      <c r="C43" s="761" t="s">
        <v>3802</v>
      </c>
      <c r="D43" s="761" t="s">
        <v>159</v>
      </c>
      <c r="E43" s="762">
        <v>44866</v>
      </c>
      <c r="F43" s="761" t="s">
        <v>1087</v>
      </c>
      <c r="G43" s="761" t="s">
        <v>15</v>
      </c>
      <c r="H43" s="761" t="s">
        <v>296</v>
      </c>
      <c r="I43" s="761" t="s">
        <v>1088</v>
      </c>
      <c r="J43" s="761" t="s">
        <v>16</v>
      </c>
      <c r="K43" s="761" t="s">
        <v>298</v>
      </c>
      <c r="L43" s="761" t="s">
        <v>1089</v>
      </c>
      <c r="M43" s="761" t="s">
        <v>17</v>
      </c>
      <c r="N43" s="795" t="s">
        <v>1090</v>
      </c>
      <c r="O43" s="761" t="s">
        <v>1091</v>
      </c>
      <c r="P43" s="761" t="s">
        <v>57</v>
      </c>
      <c r="Q43" s="761" t="s">
        <v>17</v>
      </c>
      <c r="R43" s="761" t="s">
        <v>148</v>
      </c>
      <c r="S43" s="796" t="s">
        <v>1092</v>
      </c>
      <c r="T43" s="761" t="s">
        <v>57</v>
      </c>
      <c r="U43" s="761">
        <v>32.06</v>
      </c>
      <c r="V43" s="761" t="s">
        <v>17</v>
      </c>
      <c r="W43" s="761" t="s">
        <v>17</v>
      </c>
      <c r="X43" s="761" t="s">
        <v>17</v>
      </c>
      <c r="Y43" s="761" t="s">
        <v>17</v>
      </c>
      <c r="Z43" s="761" t="s">
        <v>836</v>
      </c>
      <c r="AA43" s="761" t="s">
        <v>836</v>
      </c>
      <c r="AB43" s="761" t="s">
        <v>17</v>
      </c>
      <c r="AC43" s="761" t="s">
        <v>1093</v>
      </c>
      <c r="AD43" s="681" t="s">
        <v>19</v>
      </c>
      <c r="AE43" s="681" t="s">
        <v>17</v>
      </c>
      <c r="AF43" s="761" t="s">
        <v>1094</v>
      </c>
    </row>
    <row r="44" spans="1:32" ht="150" customHeight="1" x14ac:dyDescent="0.25">
      <c r="A44" s="761">
        <v>679310</v>
      </c>
      <c r="B44" s="761" t="s">
        <v>143</v>
      </c>
      <c r="C44" s="761" t="s">
        <v>1095</v>
      </c>
      <c r="D44" s="761" t="s">
        <v>166</v>
      </c>
      <c r="E44" s="762">
        <v>44447</v>
      </c>
      <c r="F44" s="761" t="s">
        <v>1096</v>
      </c>
      <c r="G44" s="761" t="s">
        <v>145</v>
      </c>
      <c r="H44" s="761" t="s">
        <v>1097</v>
      </c>
      <c r="I44" s="761" t="s">
        <v>1098</v>
      </c>
      <c r="J44" s="761" t="s">
        <v>16</v>
      </c>
      <c r="K44" s="761" t="s">
        <v>298</v>
      </c>
      <c r="L44" s="761" t="s">
        <v>1099</v>
      </c>
      <c r="M44" s="761" t="s">
        <v>17</v>
      </c>
      <c r="N44" s="763" t="s">
        <v>1100</v>
      </c>
      <c r="O44" s="761" t="s">
        <v>17</v>
      </c>
      <c r="P44" s="761" t="s">
        <v>17</v>
      </c>
      <c r="Q44" s="761" t="s">
        <v>17</v>
      </c>
      <c r="R44" s="761" t="s">
        <v>148</v>
      </c>
      <c r="S44" s="770" t="s">
        <v>1101</v>
      </c>
      <c r="T44" s="761" t="s">
        <v>157</v>
      </c>
      <c r="U44" s="761" t="s">
        <v>17</v>
      </c>
      <c r="V44" s="761" t="s">
        <v>1102</v>
      </c>
      <c r="W44" s="761" t="s">
        <v>1102</v>
      </c>
      <c r="X44" s="761" t="s">
        <v>17</v>
      </c>
      <c r="Y44" s="761" t="s">
        <v>17</v>
      </c>
      <c r="Z44" s="761" t="s">
        <v>17</v>
      </c>
      <c r="AA44" s="761" t="s">
        <v>17</v>
      </c>
      <c r="AB44" s="761" t="s">
        <v>17</v>
      </c>
      <c r="AC44" s="761" t="s">
        <v>1103</v>
      </c>
      <c r="AD44" s="761" t="s">
        <v>19</v>
      </c>
      <c r="AE44" s="681" t="s">
        <v>17</v>
      </c>
      <c r="AF44" s="761" t="s">
        <v>1104</v>
      </c>
    </row>
    <row r="45" spans="1:32" ht="150" customHeight="1" x14ac:dyDescent="0.25">
      <c r="A45" s="761">
        <v>255241</v>
      </c>
      <c r="B45" s="761" t="s">
        <v>143</v>
      </c>
      <c r="C45" s="761" t="s">
        <v>1114</v>
      </c>
      <c r="D45" s="761" t="s">
        <v>144</v>
      </c>
      <c r="E45" s="762">
        <v>39287</v>
      </c>
      <c r="F45" s="761" t="s">
        <v>1115</v>
      </c>
      <c r="G45" s="761" t="s">
        <v>145</v>
      </c>
      <c r="H45" s="761" t="s">
        <v>296</v>
      </c>
      <c r="I45" s="761" t="s">
        <v>1116</v>
      </c>
      <c r="J45" s="761" t="s">
        <v>16</v>
      </c>
      <c r="K45" s="761" t="s">
        <v>298</v>
      </c>
      <c r="L45" s="761" t="s">
        <v>307</v>
      </c>
      <c r="M45" s="761" t="s">
        <v>23</v>
      </c>
      <c r="N45" s="763" t="s">
        <v>307</v>
      </c>
      <c r="O45" s="761" t="s">
        <v>1117</v>
      </c>
      <c r="P45" s="681" t="s">
        <v>23</v>
      </c>
      <c r="Q45" s="681" t="s">
        <v>23</v>
      </c>
      <c r="R45" s="761" t="s">
        <v>96</v>
      </c>
      <c r="S45" s="770" t="s">
        <v>1111</v>
      </c>
      <c r="T45" s="681" t="s">
        <v>41</v>
      </c>
      <c r="U45" s="765">
        <v>60</v>
      </c>
      <c r="V45" s="681" t="s">
        <v>23</v>
      </c>
      <c r="W45" s="766" t="s">
        <v>23</v>
      </c>
      <c r="X45" s="681" t="s">
        <v>23</v>
      </c>
      <c r="Y45" s="681" t="s">
        <v>23</v>
      </c>
      <c r="Z45" s="767">
        <v>42719</v>
      </c>
      <c r="AA45" s="767" t="s">
        <v>23</v>
      </c>
      <c r="AB45" s="681" t="s">
        <v>309</v>
      </c>
      <c r="AC45" s="681" t="s">
        <v>1118</v>
      </c>
      <c r="AD45" s="681" t="s">
        <v>19</v>
      </c>
      <c r="AE45" s="681" t="s">
        <v>17</v>
      </c>
      <c r="AF45" s="761" t="s">
        <v>1119</v>
      </c>
    </row>
    <row r="46" spans="1:32" ht="150" customHeight="1" x14ac:dyDescent="0.25">
      <c r="A46" s="761">
        <v>683132</v>
      </c>
      <c r="B46" s="761" t="s">
        <v>143</v>
      </c>
      <c r="C46" s="761" t="s">
        <v>1120</v>
      </c>
      <c r="D46" s="761" t="s">
        <v>166</v>
      </c>
      <c r="E46" s="762">
        <v>44467</v>
      </c>
      <c r="F46" s="761" t="s">
        <v>1121</v>
      </c>
      <c r="G46" s="761" t="s">
        <v>145</v>
      </c>
      <c r="H46" s="761" t="s">
        <v>999</v>
      </c>
      <c r="I46" s="784" t="s">
        <v>1122</v>
      </c>
      <c r="J46" s="761" t="s">
        <v>16</v>
      </c>
      <c r="K46" s="761" t="s">
        <v>298</v>
      </c>
      <c r="L46" s="761" t="s">
        <v>1123</v>
      </c>
      <c r="M46" s="761" t="s">
        <v>17</v>
      </c>
      <c r="N46" s="763" t="s">
        <v>1124</v>
      </c>
      <c r="O46" s="761" t="s">
        <v>17</v>
      </c>
      <c r="P46" s="681" t="s">
        <v>17</v>
      </c>
      <c r="Q46" s="681" t="s">
        <v>17</v>
      </c>
      <c r="R46" s="761" t="s">
        <v>148</v>
      </c>
      <c r="S46" s="770" t="s">
        <v>1125</v>
      </c>
      <c r="T46" s="681" t="s">
        <v>59</v>
      </c>
      <c r="U46" s="765" t="s">
        <v>178</v>
      </c>
      <c r="V46" s="681">
        <v>2718035500</v>
      </c>
      <c r="W46" s="766">
        <v>7.8299999999999995E-2</v>
      </c>
      <c r="X46" s="765" t="s">
        <v>17</v>
      </c>
      <c r="Y46" s="765" t="s">
        <v>17</v>
      </c>
      <c r="Z46" s="765" t="s">
        <v>17</v>
      </c>
      <c r="AA46" s="765" t="s">
        <v>17</v>
      </c>
      <c r="AB46" s="765" t="s">
        <v>17</v>
      </c>
      <c r="AC46" s="681" t="s">
        <v>1126</v>
      </c>
      <c r="AD46" s="761" t="s">
        <v>24</v>
      </c>
      <c r="AE46" s="681" t="s">
        <v>17</v>
      </c>
      <c r="AF46" s="761" t="s">
        <v>1127</v>
      </c>
    </row>
    <row r="47" spans="1:32" ht="150" customHeight="1" x14ac:dyDescent="0.25">
      <c r="A47" s="761">
        <v>470618</v>
      </c>
      <c r="B47" s="761" t="s">
        <v>143</v>
      </c>
      <c r="C47" s="761" t="s">
        <v>1128</v>
      </c>
      <c r="D47" s="761" t="s">
        <v>166</v>
      </c>
      <c r="E47" s="762">
        <v>41678</v>
      </c>
      <c r="F47" s="761" t="s">
        <v>1129</v>
      </c>
      <c r="G47" s="761" t="s">
        <v>145</v>
      </c>
      <c r="H47" s="761" t="s">
        <v>999</v>
      </c>
      <c r="I47" s="761" t="s">
        <v>772</v>
      </c>
      <c r="J47" s="761" t="s">
        <v>16</v>
      </c>
      <c r="K47" s="761" t="s">
        <v>298</v>
      </c>
      <c r="L47" s="761" t="s">
        <v>1130</v>
      </c>
      <c r="M47" s="761" t="s">
        <v>23</v>
      </c>
      <c r="N47" s="763" t="s">
        <v>1130</v>
      </c>
      <c r="O47" s="761" t="s">
        <v>23</v>
      </c>
      <c r="P47" s="681" t="s">
        <v>23</v>
      </c>
      <c r="Q47" s="681">
        <v>75888356.405399993</v>
      </c>
      <c r="R47" s="761" t="s">
        <v>148</v>
      </c>
      <c r="S47" s="770" t="s">
        <v>1131</v>
      </c>
      <c r="T47" s="681" t="s">
        <v>21</v>
      </c>
      <c r="U47" s="765" t="s">
        <v>23</v>
      </c>
      <c r="V47" s="681">
        <v>2521207854</v>
      </c>
      <c r="W47" s="783">
        <v>3.0099999999999998E-2</v>
      </c>
      <c r="X47" s="681" t="s">
        <v>23</v>
      </c>
      <c r="Y47" s="681" t="s">
        <v>23</v>
      </c>
      <c r="Z47" s="681" t="s">
        <v>23</v>
      </c>
      <c r="AA47" s="681" t="s">
        <v>23</v>
      </c>
      <c r="AB47" s="681" t="s">
        <v>23</v>
      </c>
      <c r="AC47" s="681" t="s">
        <v>1132</v>
      </c>
      <c r="AD47" s="681" t="s">
        <v>19</v>
      </c>
      <c r="AE47" s="681" t="s">
        <v>17</v>
      </c>
      <c r="AF47" s="761" t="s">
        <v>1078</v>
      </c>
    </row>
    <row r="48" spans="1:32" ht="150" customHeight="1" x14ac:dyDescent="0.25">
      <c r="A48" s="761">
        <v>668910</v>
      </c>
      <c r="B48" s="761" t="s">
        <v>143</v>
      </c>
      <c r="C48" s="761" t="s">
        <v>1133</v>
      </c>
      <c r="D48" s="761" t="s">
        <v>179</v>
      </c>
      <c r="E48" s="762">
        <v>43989</v>
      </c>
      <c r="F48" s="761" t="s">
        <v>1134</v>
      </c>
      <c r="G48" s="761" t="s">
        <v>145</v>
      </c>
      <c r="H48" s="761" t="s">
        <v>1135</v>
      </c>
      <c r="I48" s="761" t="s">
        <v>1136</v>
      </c>
      <c r="J48" s="761" t="s">
        <v>16</v>
      </c>
      <c r="K48" s="761" t="s">
        <v>781</v>
      </c>
      <c r="L48" s="761" t="s">
        <v>1137</v>
      </c>
      <c r="M48" s="761" t="s">
        <v>23</v>
      </c>
      <c r="N48" s="763" t="s">
        <v>1138</v>
      </c>
      <c r="O48" s="761" t="s">
        <v>17</v>
      </c>
      <c r="P48" s="681" t="s">
        <v>17</v>
      </c>
      <c r="Q48" s="681" t="s">
        <v>17</v>
      </c>
      <c r="R48" s="761" t="s">
        <v>148</v>
      </c>
      <c r="S48" s="770" t="s">
        <v>1139</v>
      </c>
      <c r="T48" s="681" t="s">
        <v>59</v>
      </c>
      <c r="U48" s="765" t="s">
        <v>17</v>
      </c>
      <c r="V48" s="761" t="s">
        <v>1140</v>
      </c>
      <c r="W48" s="791">
        <v>1.6899999999999998E-2</v>
      </c>
      <c r="X48" s="761" t="s">
        <v>17</v>
      </c>
      <c r="Y48" s="761" t="s">
        <v>17</v>
      </c>
      <c r="Z48" s="761" t="s">
        <v>17</v>
      </c>
      <c r="AA48" s="761" t="s">
        <v>17</v>
      </c>
      <c r="AB48" s="761" t="s">
        <v>17</v>
      </c>
      <c r="AC48" s="681" t="s">
        <v>1141</v>
      </c>
      <c r="AD48" s="681" t="s">
        <v>19</v>
      </c>
      <c r="AE48" s="681" t="s">
        <v>17</v>
      </c>
      <c r="AF48" s="761" t="s">
        <v>768</v>
      </c>
    </row>
    <row r="49" spans="1:32" ht="150" customHeight="1" x14ac:dyDescent="0.25">
      <c r="A49" s="761">
        <v>546196</v>
      </c>
      <c r="B49" s="761" t="s">
        <v>143</v>
      </c>
      <c r="C49" s="768" t="s">
        <v>1142</v>
      </c>
      <c r="D49" s="768" t="s">
        <v>149</v>
      </c>
      <c r="E49" s="797">
        <v>40659</v>
      </c>
      <c r="F49" s="768" t="s">
        <v>1143</v>
      </c>
      <c r="G49" s="768" t="s">
        <v>147</v>
      </c>
      <c r="H49" s="768" t="s">
        <v>1144</v>
      </c>
      <c r="I49" s="768" t="s">
        <v>1145</v>
      </c>
      <c r="J49" s="761" t="s">
        <v>16</v>
      </c>
      <c r="K49" s="761" t="s">
        <v>327</v>
      </c>
      <c r="L49" s="768" t="s">
        <v>1146</v>
      </c>
      <c r="M49" s="768" t="s">
        <v>23</v>
      </c>
      <c r="N49" s="798" t="s">
        <v>1146</v>
      </c>
      <c r="O49" s="768" t="s">
        <v>17</v>
      </c>
      <c r="P49" s="793" t="s">
        <v>23</v>
      </c>
      <c r="Q49" s="793" t="s">
        <v>23</v>
      </c>
      <c r="R49" s="793" t="s">
        <v>180</v>
      </c>
      <c r="S49" s="793" t="s">
        <v>1147</v>
      </c>
      <c r="T49" s="799" t="s">
        <v>17</v>
      </c>
      <c r="U49" s="794" t="s">
        <v>23</v>
      </c>
      <c r="V49" s="681" t="s">
        <v>23</v>
      </c>
      <c r="W49" s="793" t="s">
        <v>23</v>
      </c>
      <c r="X49" s="793" t="s">
        <v>23</v>
      </c>
      <c r="Y49" s="793" t="s">
        <v>23</v>
      </c>
      <c r="Z49" s="800" t="s">
        <v>1148</v>
      </c>
      <c r="AA49" s="800" t="s">
        <v>1149</v>
      </c>
      <c r="AB49" s="793" t="s">
        <v>17</v>
      </c>
      <c r="AC49" s="793" t="s">
        <v>1150</v>
      </c>
      <c r="AD49" s="793" t="s">
        <v>19</v>
      </c>
      <c r="AE49" s="681" t="s">
        <v>17</v>
      </c>
      <c r="AF49" s="793" t="s">
        <v>1151</v>
      </c>
    </row>
    <row r="50" spans="1:32" ht="150" customHeight="1" x14ac:dyDescent="0.25">
      <c r="A50" s="761">
        <v>701137</v>
      </c>
      <c r="B50" s="761" t="s">
        <v>143</v>
      </c>
      <c r="C50" s="761" t="s">
        <v>3803</v>
      </c>
      <c r="D50" s="761" t="s">
        <v>144</v>
      </c>
      <c r="E50" s="762">
        <v>44597</v>
      </c>
      <c r="F50" s="761" t="s">
        <v>1168</v>
      </c>
      <c r="G50" s="761" t="s">
        <v>15</v>
      </c>
      <c r="H50" s="761" t="s">
        <v>1169</v>
      </c>
      <c r="I50" s="761" t="s">
        <v>1170</v>
      </c>
      <c r="J50" s="761" t="s">
        <v>16</v>
      </c>
      <c r="K50" s="761" t="s">
        <v>298</v>
      </c>
      <c r="L50" s="761" t="s">
        <v>1171</v>
      </c>
      <c r="M50" s="761" t="s">
        <v>23</v>
      </c>
      <c r="N50" s="763" t="s">
        <v>1172</v>
      </c>
      <c r="O50" s="761" t="s">
        <v>1173</v>
      </c>
      <c r="P50" s="681" t="s">
        <v>17</v>
      </c>
      <c r="Q50" s="681" t="s">
        <v>17</v>
      </c>
      <c r="R50" s="761" t="s">
        <v>96</v>
      </c>
      <c r="S50" s="770" t="s">
        <v>1174</v>
      </c>
      <c r="T50" s="681" t="s">
        <v>157</v>
      </c>
      <c r="U50" s="765" t="s">
        <v>181</v>
      </c>
      <c r="V50" s="761" t="s">
        <v>17</v>
      </c>
      <c r="W50" s="761" t="s">
        <v>17</v>
      </c>
      <c r="X50" s="761" t="s">
        <v>17</v>
      </c>
      <c r="Y50" s="761" t="s">
        <v>17</v>
      </c>
      <c r="Z50" s="761" t="s">
        <v>17</v>
      </c>
      <c r="AA50" s="761" t="s">
        <v>17</v>
      </c>
      <c r="AB50" s="761" t="s">
        <v>17</v>
      </c>
      <c r="AC50" s="681" t="s">
        <v>1175</v>
      </c>
      <c r="AD50" s="681" t="s">
        <v>19</v>
      </c>
      <c r="AE50" s="681" t="s">
        <v>17</v>
      </c>
      <c r="AF50" s="761" t="s">
        <v>3804</v>
      </c>
    </row>
    <row r="51" spans="1:32" ht="150" customHeight="1" x14ac:dyDescent="0.25">
      <c r="A51" s="761">
        <v>660780</v>
      </c>
      <c r="B51" s="761" t="s">
        <v>143</v>
      </c>
      <c r="C51" s="761" t="s">
        <v>1241</v>
      </c>
      <c r="D51" s="761" t="s">
        <v>149</v>
      </c>
      <c r="E51" s="762">
        <v>41261</v>
      </c>
      <c r="F51" s="761" t="s">
        <v>1242</v>
      </c>
      <c r="G51" s="761" t="s">
        <v>147</v>
      </c>
      <c r="H51" s="761" t="s">
        <v>1243</v>
      </c>
      <c r="I51" s="761" t="s">
        <v>1244</v>
      </c>
      <c r="J51" s="761" t="s">
        <v>16</v>
      </c>
      <c r="K51" s="761" t="s">
        <v>327</v>
      </c>
      <c r="L51" s="761" t="s">
        <v>1245</v>
      </c>
      <c r="M51" s="761" t="s">
        <v>17</v>
      </c>
      <c r="N51" s="763" t="s">
        <v>1246</v>
      </c>
      <c r="O51" s="761" t="s">
        <v>1247</v>
      </c>
      <c r="P51" s="681" t="s">
        <v>17</v>
      </c>
      <c r="Q51" s="681" t="s">
        <v>17</v>
      </c>
      <c r="R51" s="761" t="s">
        <v>96</v>
      </c>
      <c r="S51" s="770" t="s">
        <v>1248</v>
      </c>
      <c r="T51" s="681" t="s">
        <v>59</v>
      </c>
      <c r="U51" s="765" t="s">
        <v>182</v>
      </c>
      <c r="V51" s="681" t="s">
        <v>17</v>
      </c>
      <c r="W51" s="766" t="s">
        <v>17</v>
      </c>
      <c r="X51" s="765" t="s">
        <v>17</v>
      </c>
      <c r="Y51" s="681" t="s">
        <v>17</v>
      </c>
      <c r="Z51" s="767">
        <v>42062</v>
      </c>
      <c r="AA51" s="767" t="s">
        <v>17</v>
      </c>
      <c r="AB51" s="681" t="s">
        <v>17</v>
      </c>
      <c r="AC51" s="767" t="s">
        <v>1249</v>
      </c>
      <c r="AD51" s="761" t="s">
        <v>22</v>
      </c>
      <c r="AE51" s="681" t="s">
        <v>17</v>
      </c>
      <c r="AF51" s="761" t="s">
        <v>1250</v>
      </c>
    </row>
    <row r="52" spans="1:32" ht="150" customHeight="1" x14ac:dyDescent="0.25">
      <c r="A52" s="801">
        <v>650110</v>
      </c>
      <c r="B52" s="801" t="s">
        <v>143</v>
      </c>
      <c r="C52" s="801" t="s">
        <v>1258</v>
      </c>
      <c r="D52" s="801" t="s">
        <v>149</v>
      </c>
      <c r="E52" s="762">
        <v>41753</v>
      </c>
      <c r="F52" s="801" t="s">
        <v>1259</v>
      </c>
      <c r="G52" s="801" t="s">
        <v>147</v>
      </c>
      <c r="H52" s="801" t="s">
        <v>1260</v>
      </c>
      <c r="I52" s="801" t="s">
        <v>1261</v>
      </c>
      <c r="J52" s="761" t="s">
        <v>16</v>
      </c>
      <c r="K52" s="771" t="s">
        <v>781</v>
      </c>
      <c r="L52" s="801" t="s">
        <v>1245</v>
      </c>
      <c r="M52" s="801" t="s">
        <v>17</v>
      </c>
      <c r="N52" s="763" t="s">
        <v>1262</v>
      </c>
      <c r="O52" s="801" t="s">
        <v>1263</v>
      </c>
      <c r="P52" s="801" t="s">
        <v>17</v>
      </c>
      <c r="Q52" s="801" t="s">
        <v>17</v>
      </c>
      <c r="R52" s="761" t="s">
        <v>96</v>
      </c>
      <c r="S52" s="801" t="s">
        <v>1264</v>
      </c>
      <c r="T52" s="681" t="s">
        <v>51</v>
      </c>
      <c r="U52" s="801" t="s">
        <v>183</v>
      </c>
      <c r="V52" s="801" t="s">
        <v>17</v>
      </c>
      <c r="W52" s="801" t="s">
        <v>17</v>
      </c>
      <c r="X52" s="801" t="s">
        <v>17</v>
      </c>
      <c r="Y52" s="801" t="s">
        <v>17</v>
      </c>
      <c r="Z52" s="801" t="s">
        <v>17</v>
      </c>
      <c r="AA52" s="801" t="s">
        <v>17</v>
      </c>
      <c r="AB52" s="801" t="s">
        <v>17</v>
      </c>
      <c r="AC52" s="801" t="s">
        <v>1265</v>
      </c>
      <c r="AD52" s="801" t="s">
        <v>19</v>
      </c>
      <c r="AE52" s="681" t="s">
        <v>17</v>
      </c>
      <c r="AF52" s="801" t="s">
        <v>1266</v>
      </c>
    </row>
    <row r="53" spans="1:32" ht="150" customHeight="1" x14ac:dyDescent="0.25">
      <c r="A53" s="761">
        <v>455749</v>
      </c>
      <c r="B53" s="761" t="s">
        <v>143</v>
      </c>
      <c r="C53" s="761" t="s">
        <v>1282</v>
      </c>
      <c r="D53" s="761" t="s">
        <v>149</v>
      </c>
      <c r="E53" s="762">
        <v>41779</v>
      </c>
      <c r="F53" s="761" t="s">
        <v>1283</v>
      </c>
      <c r="G53" s="768" t="s">
        <v>147</v>
      </c>
      <c r="H53" s="761" t="s">
        <v>296</v>
      </c>
      <c r="I53" s="761" t="s">
        <v>1284</v>
      </c>
      <c r="J53" s="761" t="s">
        <v>16</v>
      </c>
      <c r="K53" s="761" t="s">
        <v>298</v>
      </c>
      <c r="L53" s="761" t="s">
        <v>1285</v>
      </c>
      <c r="M53" s="761" t="s">
        <v>23</v>
      </c>
      <c r="N53" s="763" t="s">
        <v>1286</v>
      </c>
      <c r="O53" s="761" t="s">
        <v>1287</v>
      </c>
      <c r="P53" s="681" t="s">
        <v>23</v>
      </c>
      <c r="Q53" s="681" t="s">
        <v>23</v>
      </c>
      <c r="R53" s="761" t="s">
        <v>96</v>
      </c>
      <c r="S53" s="681" t="s">
        <v>1288</v>
      </c>
      <c r="T53" s="681" t="s">
        <v>18</v>
      </c>
      <c r="U53" s="765">
        <v>5760</v>
      </c>
      <c r="V53" s="681" t="s">
        <v>23</v>
      </c>
      <c r="W53" s="681" t="s">
        <v>23</v>
      </c>
      <c r="X53" s="765" t="s">
        <v>23</v>
      </c>
      <c r="Y53" s="681" t="s">
        <v>23</v>
      </c>
      <c r="Z53" s="681" t="s">
        <v>1289</v>
      </c>
      <c r="AA53" s="767">
        <v>45327</v>
      </c>
      <c r="AB53" s="681" t="s">
        <v>23</v>
      </c>
      <c r="AC53" s="681" t="s">
        <v>1290</v>
      </c>
      <c r="AD53" s="681" t="s">
        <v>19</v>
      </c>
      <c r="AE53" s="681" t="s">
        <v>17</v>
      </c>
      <c r="AF53" s="681" t="s">
        <v>1291</v>
      </c>
    </row>
    <row r="54" spans="1:32" ht="150" customHeight="1" x14ac:dyDescent="0.25">
      <c r="A54" s="761">
        <v>593130</v>
      </c>
      <c r="B54" s="761" t="s">
        <v>143</v>
      </c>
      <c r="C54" s="761" t="s">
        <v>1313</v>
      </c>
      <c r="D54" s="761" t="s">
        <v>159</v>
      </c>
      <c r="E54" s="762">
        <v>42914</v>
      </c>
      <c r="F54" s="761" t="s">
        <v>1314</v>
      </c>
      <c r="G54" s="768" t="s">
        <v>147</v>
      </c>
      <c r="H54" s="761" t="s">
        <v>1315</v>
      </c>
      <c r="I54" s="768" t="s">
        <v>1316</v>
      </c>
      <c r="J54" s="761" t="s">
        <v>16</v>
      </c>
      <c r="K54" s="761" t="s">
        <v>298</v>
      </c>
      <c r="L54" s="761" t="s">
        <v>1317</v>
      </c>
      <c r="M54" s="761" t="s">
        <v>23</v>
      </c>
      <c r="N54" s="763" t="s">
        <v>1317</v>
      </c>
      <c r="O54" s="793" t="s">
        <v>17</v>
      </c>
      <c r="P54" s="793" t="s">
        <v>17</v>
      </c>
      <c r="Q54" s="793" t="s">
        <v>17</v>
      </c>
      <c r="R54" s="761" t="s">
        <v>17</v>
      </c>
      <c r="S54" s="793" t="s">
        <v>1318</v>
      </c>
      <c r="T54" s="799" t="s">
        <v>17</v>
      </c>
      <c r="U54" s="793" t="s">
        <v>17</v>
      </c>
      <c r="V54" s="793" t="s">
        <v>17</v>
      </c>
      <c r="W54" s="793" t="s">
        <v>17</v>
      </c>
      <c r="X54" s="793" t="s">
        <v>17</v>
      </c>
      <c r="Y54" s="793" t="s">
        <v>17</v>
      </c>
      <c r="Z54" s="793" t="s">
        <v>17</v>
      </c>
      <c r="AA54" s="793" t="s">
        <v>17</v>
      </c>
      <c r="AB54" s="793" t="s">
        <v>17</v>
      </c>
      <c r="AC54" s="681" t="s">
        <v>1319</v>
      </c>
      <c r="AD54" s="681" t="s">
        <v>19</v>
      </c>
      <c r="AE54" s="681" t="s">
        <v>17</v>
      </c>
      <c r="AF54" s="681" t="s">
        <v>1320</v>
      </c>
    </row>
    <row r="55" spans="1:32" ht="150" customHeight="1" x14ac:dyDescent="0.25">
      <c r="A55" s="801" t="s">
        <v>184</v>
      </c>
      <c r="B55" s="801" t="s">
        <v>143</v>
      </c>
      <c r="C55" s="801" t="s">
        <v>1321</v>
      </c>
      <c r="D55" s="801" t="s">
        <v>149</v>
      </c>
      <c r="E55" s="762">
        <v>43509</v>
      </c>
      <c r="F55" s="801" t="s">
        <v>1322</v>
      </c>
      <c r="G55" s="761" t="s">
        <v>145</v>
      </c>
      <c r="H55" s="801" t="s">
        <v>1323</v>
      </c>
      <c r="I55" s="801" t="s">
        <v>1324</v>
      </c>
      <c r="J55" s="761" t="s">
        <v>16</v>
      </c>
      <c r="K55" s="761" t="s">
        <v>298</v>
      </c>
      <c r="L55" s="801" t="s">
        <v>365</v>
      </c>
      <c r="M55" s="801" t="s">
        <v>17</v>
      </c>
      <c r="N55" s="763" t="s">
        <v>17</v>
      </c>
      <c r="O55" s="801" t="s">
        <v>1325</v>
      </c>
      <c r="P55" s="801" t="s">
        <v>17</v>
      </c>
      <c r="Q55" s="801" t="s">
        <v>17</v>
      </c>
      <c r="R55" s="761" t="s">
        <v>96</v>
      </c>
      <c r="S55" s="801" t="s">
        <v>1326</v>
      </c>
      <c r="T55" s="801" t="s">
        <v>157</v>
      </c>
      <c r="U55" s="801" t="s">
        <v>17</v>
      </c>
      <c r="V55" s="801" t="s">
        <v>17</v>
      </c>
      <c r="W55" s="801" t="s">
        <v>17</v>
      </c>
      <c r="X55" s="801" t="s">
        <v>17</v>
      </c>
      <c r="Y55" s="801" t="s">
        <v>17</v>
      </c>
      <c r="Z55" s="801" t="s">
        <v>17</v>
      </c>
      <c r="AA55" s="801" t="s">
        <v>17</v>
      </c>
      <c r="AB55" s="801" t="s">
        <v>17</v>
      </c>
      <c r="AC55" s="801" t="s">
        <v>1327</v>
      </c>
      <c r="AD55" s="801" t="s">
        <v>24</v>
      </c>
      <c r="AE55" s="681" t="s">
        <v>17</v>
      </c>
      <c r="AF55" s="801" t="s">
        <v>768</v>
      </c>
    </row>
    <row r="56" spans="1:32" ht="150" customHeight="1" x14ac:dyDescent="0.25">
      <c r="A56" s="761">
        <v>651297</v>
      </c>
      <c r="B56" s="761" t="s">
        <v>143</v>
      </c>
      <c r="C56" s="761" t="s">
        <v>3805</v>
      </c>
      <c r="D56" s="761" t="s">
        <v>149</v>
      </c>
      <c r="E56" s="762">
        <v>43672</v>
      </c>
      <c r="F56" s="763" t="s">
        <v>1329</v>
      </c>
      <c r="G56" s="761" t="s">
        <v>15</v>
      </c>
      <c r="H56" s="763" t="s">
        <v>1330</v>
      </c>
      <c r="I56" s="763" t="s">
        <v>1331</v>
      </c>
      <c r="J56" s="761" t="s">
        <v>16</v>
      </c>
      <c r="K56" s="761" t="s">
        <v>327</v>
      </c>
      <c r="L56" s="761" t="s">
        <v>149</v>
      </c>
      <c r="M56" s="761" t="s">
        <v>460</v>
      </c>
      <c r="N56" s="792" t="s">
        <v>1332</v>
      </c>
      <c r="O56" s="771" t="s">
        <v>1333</v>
      </c>
      <c r="P56" s="681" t="s">
        <v>17</v>
      </c>
      <c r="Q56" s="681" t="s">
        <v>17</v>
      </c>
      <c r="R56" s="771" t="s">
        <v>185</v>
      </c>
      <c r="S56" s="763" t="s">
        <v>1334</v>
      </c>
      <c r="T56" s="771" t="s">
        <v>157</v>
      </c>
      <c r="V56" s="771" t="s">
        <v>17</v>
      </c>
      <c r="W56" s="771" t="s">
        <v>17</v>
      </c>
      <c r="X56" s="771" t="s">
        <v>17</v>
      </c>
      <c r="Y56" s="771" t="s">
        <v>17</v>
      </c>
      <c r="Z56" s="771" t="s">
        <v>17</v>
      </c>
      <c r="AA56" s="771" t="s">
        <v>17</v>
      </c>
      <c r="AB56" s="771" t="s">
        <v>17</v>
      </c>
      <c r="AC56" s="761" t="s">
        <v>1335</v>
      </c>
      <c r="AD56" s="761" t="s">
        <v>19</v>
      </c>
      <c r="AE56" s="681" t="s">
        <v>17</v>
      </c>
      <c r="AF56" s="761" t="s">
        <v>3806</v>
      </c>
    </row>
    <row r="57" spans="1:32" ht="150" customHeight="1" x14ac:dyDescent="0.25">
      <c r="A57" s="761">
        <v>334329</v>
      </c>
      <c r="B57" s="761" t="s">
        <v>143</v>
      </c>
      <c r="C57" s="761" t="s">
        <v>1344</v>
      </c>
      <c r="D57" s="761" t="s">
        <v>186</v>
      </c>
      <c r="E57" s="762">
        <v>32912</v>
      </c>
      <c r="F57" s="761" t="s">
        <v>1345</v>
      </c>
      <c r="G57" s="761" t="s">
        <v>145</v>
      </c>
      <c r="H57" s="761" t="s">
        <v>1346</v>
      </c>
      <c r="I57" s="761" t="s">
        <v>1347</v>
      </c>
      <c r="J57" s="761" t="s">
        <v>16</v>
      </c>
      <c r="K57" s="761" t="s">
        <v>298</v>
      </c>
      <c r="L57" s="761" t="s">
        <v>1348</v>
      </c>
      <c r="M57" s="761" t="s">
        <v>17</v>
      </c>
      <c r="N57" s="763" t="s">
        <v>1348</v>
      </c>
      <c r="O57" s="761" t="s">
        <v>23</v>
      </c>
      <c r="P57" s="681" t="s">
        <v>23</v>
      </c>
      <c r="Q57" s="681" t="s">
        <v>23</v>
      </c>
      <c r="R57" s="793" t="s">
        <v>180</v>
      </c>
      <c r="S57" s="681" t="s">
        <v>329</v>
      </c>
      <c r="T57" s="681" t="s">
        <v>187</v>
      </c>
      <c r="U57" s="765" t="s">
        <v>23</v>
      </c>
      <c r="V57" s="681" t="s">
        <v>23</v>
      </c>
      <c r="W57" s="766" t="s">
        <v>23</v>
      </c>
      <c r="X57" s="681" t="s">
        <v>23</v>
      </c>
      <c r="Y57" s="681" t="s">
        <v>23</v>
      </c>
      <c r="Z57" s="767">
        <v>35565</v>
      </c>
      <c r="AA57" s="767" t="s">
        <v>23</v>
      </c>
      <c r="AB57" s="681" t="s">
        <v>23</v>
      </c>
      <c r="AC57" s="681" t="s">
        <v>1349</v>
      </c>
      <c r="AD57" s="681" t="s">
        <v>188</v>
      </c>
      <c r="AE57" s="681" t="s">
        <v>17</v>
      </c>
      <c r="AF57" s="761" t="s">
        <v>1350</v>
      </c>
    </row>
    <row r="58" spans="1:32" ht="150" customHeight="1" x14ac:dyDescent="0.25">
      <c r="A58" s="761">
        <v>600630</v>
      </c>
      <c r="B58" s="761" t="s">
        <v>143</v>
      </c>
      <c r="C58" s="761" t="s">
        <v>3807</v>
      </c>
      <c r="D58" s="761" t="s">
        <v>189</v>
      </c>
      <c r="E58" s="762">
        <v>43609</v>
      </c>
      <c r="F58" s="761" t="s">
        <v>1361</v>
      </c>
      <c r="G58" s="761" t="s">
        <v>15</v>
      </c>
      <c r="H58" s="761" t="s">
        <v>296</v>
      </c>
      <c r="I58" s="761" t="s">
        <v>1362</v>
      </c>
      <c r="J58" s="761" t="s">
        <v>16</v>
      </c>
      <c r="K58" s="761" t="s">
        <v>298</v>
      </c>
      <c r="L58" s="761" t="s">
        <v>1363</v>
      </c>
      <c r="M58" s="761" t="s">
        <v>17</v>
      </c>
      <c r="N58" s="763" t="s">
        <v>1364</v>
      </c>
      <c r="O58" s="761" t="s">
        <v>1365</v>
      </c>
      <c r="P58" s="681" t="s">
        <v>17</v>
      </c>
      <c r="Q58" s="681" t="s">
        <v>17</v>
      </c>
      <c r="R58" s="761" t="s">
        <v>96</v>
      </c>
      <c r="S58" s="770" t="s">
        <v>1366</v>
      </c>
      <c r="T58" s="681" t="s">
        <v>85</v>
      </c>
      <c r="U58" s="765">
        <v>44650</v>
      </c>
      <c r="V58" s="681" t="s">
        <v>17</v>
      </c>
      <c r="W58" s="766" t="s">
        <v>17</v>
      </c>
      <c r="X58" s="765" t="s">
        <v>17</v>
      </c>
      <c r="Y58" s="681" t="s">
        <v>17</v>
      </c>
      <c r="Z58" s="767" t="s">
        <v>17</v>
      </c>
      <c r="AA58" s="767" t="s">
        <v>17</v>
      </c>
      <c r="AB58" s="681" t="s">
        <v>17</v>
      </c>
      <c r="AC58" s="681" t="s">
        <v>1367</v>
      </c>
      <c r="AD58" s="681" t="s">
        <v>19</v>
      </c>
      <c r="AE58" s="681" t="s">
        <v>17</v>
      </c>
      <c r="AF58" s="761" t="s">
        <v>3808</v>
      </c>
    </row>
    <row r="59" spans="1:32" ht="150" customHeight="1" x14ac:dyDescent="0.25">
      <c r="A59" s="761">
        <v>664511</v>
      </c>
      <c r="B59" s="761" t="s">
        <v>143</v>
      </c>
      <c r="C59" s="761" t="s">
        <v>1377</v>
      </c>
      <c r="D59" s="761" t="s">
        <v>149</v>
      </c>
      <c r="E59" s="762">
        <v>44221</v>
      </c>
      <c r="F59" s="761" t="s">
        <v>1378</v>
      </c>
      <c r="G59" s="761" t="s">
        <v>145</v>
      </c>
      <c r="H59" s="761" t="s">
        <v>1379</v>
      </c>
      <c r="I59" s="761" t="s">
        <v>1380</v>
      </c>
      <c r="J59" s="761" t="s">
        <v>16</v>
      </c>
      <c r="K59" s="761" t="s">
        <v>327</v>
      </c>
      <c r="L59" s="761" t="s">
        <v>365</v>
      </c>
      <c r="M59" s="761" t="s">
        <v>17</v>
      </c>
      <c r="N59" s="761" t="s">
        <v>1381</v>
      </c>
      <c r="O59" s="761" t="s">
        <v>17</v>
      </c>
      <c r="P59" s="761" t="s">
        <v>17</v>
      </c>
      <c r="Q59" s="761" t="s">
        <v>17</v>
      </c>
      <c r="R59" s="761" t="s">
        <v>96</v>
      </c>
      <c r="S59" s="761" t="s">
        <v>1382</v>
      </c>
      <c r="T59" s="761" t="s">
        <v>157</v>
      </c>
      <c r="U59" s="761" t="s">
        <v>17</v>
      </c>
      <c r="V59" s="761" t="s">
        <v>17</v>
      </c>
      <c r="W59" s="761" t="s">
        <v>17</v>
      </c>
      <c r="X59" s="761" t="s">
        <v>17</v>
      </c>
      <c r="Y59" s="761" t="s">
        <v>17</v>
      </c>
      <c r="Z59" s="761" t="s">
        <v>17</v>
      </c>
      <c r="AA59" s="761" t="s">
        <v>17</v>
      </c>
      <c r="AB59" s="761" t="s">
        <v>17</v>
      </c>
      <c r="AC59" s="761" t="s">
        <v>1383</v>
      </c>
      <c r="AD59" s="761" t="s">
        <v>19</v>
      </c>
      <c r="AE59" s="681" t="s">
        <v>17</v>
      </c>
      <c r="AF59" s="761" t="s">
        <v>768</v>
      </c>
    </row>
    <row r="60" spans="1:32" ht="150" customHeight="1" x14ac:dyDescent="0.25">
      <c r="A60" s="768">
        <v>546199</v>
      </c>
      <c r="B60" s="768" t="s">
        <v>143</v>
      </c>
      <c r="C60" s="768" t="s">
        <v>1384</v>
      </c>
      <c r="D60" s="768" t="s">
        <v>149</v>
      </c>
      <c r="E60" s="797">
        <v>42128</v>
      </c>
      <c r="F60" s="768" t="s">
        <v>1385</v>
      </c>
      <c r="G60" s="768" t="s">
        <v>147</v>
      </c>
      <c r="H60" s="768" t="s">
        <v>1386</v>
      </c>
      <c r="I60" s="768" t="s">
        <v>1387</v>
      </c>
      <c r="J60" s="761" t="s">
        <v>16</v>
      </c>
      <c r="K60" s="771" t="s">
        <v>781</v>
      </c>
      <c r="L60" s="768" t="s">
        <v>1388</v>
      </c>
      <c r="M60" s="761" t="s">
        <v>23</v>
      </c>
      <c r="N60" s="798" t="s">
        <v>1388</v>
      </c>
      <c r="O60" s="793" t="s">
        <v>17</v>
      </c>
      <c r="P60" s="793" t="s">
        <v>17</v>
      </c>
      <c r="Q60" s="681" t="s">
        <v>23</v>
      </c>
      <c r="R60" s="761" t="s">
        <v>96</v>
      </c>
      <c r="S60" s="793">
        <v>1170969</v>
      </c>
      <c r="T60" s="681" t="s">
        <v>68</v>
      </c>
      <c r="U60" s="802" t="s">
        <v>190</v>
      </c>
      <c r="V60" s="793" t="s">
        <v>23</v>
      </c>
      <c r="W60" s="793" t="s">
        <v>23</v>
      </c>
      <c r="X60" s="793" t="s">
        <v>1389</v>
      </c>
      <c r="Y60" s="793" t="s">
        <v>23</v>
      </c>
      <c r="Z60" s="800" t="s">
        <v>17</v>
      </c>
      <c r="AA60" s="800" t="s">
        <v>17</v>
      </c>
      <c r="AB60" s="793" t="s">
        <v>17</v>
      </c>
      <c r="AC60" s="793" t="s">
        <v>1390</v>
      </c>
      <c r="AD60" s="681" t="s">
        <v>19</v>
      </c>
      <c r="AE60" s="681" t="s">
        <v>17</v>
      </c>
      <c r="AF60" s="793" t="s">
        <v>1391</v>
      </c>
    </row>
    <row r="61" spans="1:32" ht="150" customHeight="1" x14ac:dyDescent="0.25">
      <c r="A61" s="761">
        <v>561539</v>
      </c>
      <c r="B61" s="761" t="s">
        <v>143</v>
      </c>
      <c r="C61" s="761" t="s">
        <v>1419</v>
      </c>
      <c r="D61" s="761" t="s">
        <v>149</v>
      </c>
      <c r="E61" s="762">
        <v>42005</v>
      </c>
      <c r="F61" s="761" t="s">
        <v>1420</v>
      </c>
      <c r="G61" s="768" t="s">
        <v>147</v>
      </c>
      <c r="H61" s="761" t="s">
        <v>1421</v>
      </c>
      <c r="I61" s="761" t="s">
        <v>1422</v>
      </c>
      <c r="J61" s="761" t="s">
        <v>16</v>
      </c>
      <c r="K61" s="761" t="s">
        <v>327</v>
      </c>
      <c r="L61" s="761" t="s">
        <v>1423</v>
      </c>
      <c r="M61" s="761" t="s">
        <v>23</v>
      </c>
      <c r="N61" s="763" t="s">
        <v>1423</v>
      </c>
      <c r="O61" s="761" t="s">
        <v>1424</v>
      </c>
      <c r="P61" s="793" t="s">
        <v>17</v>
      </c>
      <c r="Q61" s="793" t="s">
        <v>17</v>
      </c>
      <c r="R61" s="761" t="s">
        <v>96</v>
      </c>
      <c r="S61" s="770" t="s">
        <v>1425</v>
      </c>
      <c r="T61" s="681" t="s">
        <v>59</v>
      </c>
      <c r="U61" s="765">
        <v>3465</v>
      </c>
      <c r="V61" s="793" t="s">
        <v>17</v>
      </c>
      <c r="W61" s="793" t="s">
        <v>17</v>
      </c>
      <c r="X61" s="793" t="s">
        <v>17</v>
      </c>
      <c r="Y61" s="793" t="s">
        <v>17</v>
      </c>
      <c r="Z61" s="793" t="s">
        <v>17</v>
      </c>
      <c r="AA61" s="793" t="s">
        <v>17</v>
      </c>
      <c r="AB61" s="793" t="s">
        <v>17</v>
      </c>
      <c r="AC61" s="681" t="s">
        <v>1426</v>
      </c>
      <c r="AD61" s="681" t="s">
        <v>19</v>
      </c>
      <c r="AE61" s="681" t="s">
        <v>17</v>
      </c>
      <c r="AF61" s="681" t="s">
        <v>1427</v>
      </c>
    </row>
    <row r="62" spans="1:32" ht="150" customHeight="1" x14ac:dyDescent="0.25">
      <c r="A62" s="761">
        <v>744079</v>
      </c>
      <c r="B62" s="761" t="s">
        <v>143</v>
      </c>
      <c r="C62" s="761" t="s">
        <v>1434</v>
      </c>
      <c r="D62" s="761" t="s">
        <v>144</v>
      </c>
      <c r="E62" s="762">
        <v>45051</v>
      </c>
      <c r="F62" s="761" t="s">
        <v>1435</v>
      </c>
      <c r="G62" s="761" t="s">
        <v>145</v>
      </c>
      <c r="H62" s="761" t="s">
        <v>296</v>
      </c>
      <c r="I62" s="761" t="s">
        <v>1436</v>
      </c>
      <c r="J62" s="761" t="s">
        <v>16</v>
      </c>
      <c r="K62" s="761" t="s">
        <v>298</v>
      </c>
      <c r="L62" s="761" t="s">
        <v>1437</v>
      </c>
      <c r="M62" s="761" t="s">
        <v>17</v>
      </c>
      <c r="N62" s="763" t="s">
        <v>1437</v>
      </c>
      <c r="O62" s="761" t="s">
        <v>1438</v>
      </c>
      <c r="P62" s="761" t="s">
        <v>17</v>
      </c>
      <c r="Q62" s="761" t="s">
        <v>17</v>
      </c>
      <c r="R62" s="761" t="s">
        <v>96</v>
      </c>
      <c r="S62" s="761" t="s">
        <v>1439</v>
      </c>
      <c r="T62" s="761" t="s">
        <v>41</v>
      </c>
      <c r="U62" s="761" t="s">
        <v>17</v>
      </c>
      <c r="V62" s="761" t="s">
        <v>17</v>
      </c>
      <c r="W62" s="761" t="s">
        <v>17</v>
      </c>
      <c r="X62" s="761" t="s">
        <v>17</v>
      </c>
      <c r="Y62" s="761" t="s">
        <v>17</v>
      </c>
      <c r="Z62" s="761" t="s">
        <v>17</v>
      </c>
      <c r="AA62" s="761" t="s">
        <v>17</v>
      </c>
      <c r="AB62" s="761" t="s">
        <v>17</v>
      </c>
      <c r="AC62" s="761" t="s">
        <v>1440</v>
      </c>
      <c r="AD62" s="761" t="s">
        <v>19</v>
      </c>
      <c r="AE62" s="681" t="s">
        <v>17</v>
      </c>
      <c r="AF62" s="761" t="s">
        <v>1441</v>
      </c>
    </row>
    <row r="63" spans="1:32" ht="150" customHeight="1" x14ac:dyDescent="0.25">
      <c r="A63" s="761">
        <v>792124</v>
      </c>
      <c r="B63" s="761" t="s">
        <v>143</v>
      </c>
      <c r="C63" s="761" t="s">
        <v>1442</v>
      </c>
      <c r="D63" s="761" t="s">
        <v>144</v>
      </c>
      <c r="E63" s="762">
        <v>45061</v>
      </c>
      <c r="F63" s="761" t="s">
        <v>1443</v>
      </c>
      <c r="G63" s="761" t="s">
        <v>145</v>
      </c>
      <c r="H63" s="761" t="s">
        <v>296</v>
      </c>
      <c r="I63" s="761" t="s">
        <v>1444</v>
      </c>
      <c r="J63" s="761" t="s">
        <v>16</v>
      </c>
      <c r="K63" s="761" t="s">
        <v>298</v>
      </c>
      <c r="L63" s="761" t="s">
        <v>1445</v>
      </c>
      <c r="M63" s="761" t="s">
        <v>17</v>
      </c>
      <c r="N63" s="763" t="s">
        <v>1445</v>
      </c>
      <c r="O63" s="761" t="s">
        <v>1446</v>
      </c>
      <c r="P63" s="761" t="s">
        <v>17</v>
      </c>
      <c r="Q63" s="761" t="s">
        <v>17</v>
      </c>
      <c r="R63" s="761" t="s">
        <v>96</v>
      </c>
      <c r="S63" s="761" t="s">
        <v>1447</v>
      </c>
      <c r="T63" s="761" t="s">
        <v>41</v>
      </c>
      <c r="U63" s="761" t="s">
        <v>17</v>
      </c>
      <c r="V63" s="761" t="s">
        <v>17</v>
      </c>
      <c r="W63" s="761" t="s">
        <v>17</v>
      </c>
      <c r="X63" s="761" t="s">
        <v>17</v>
      </c>
      <c r="Y63" s="761" t="s">
        <v>17</v>
      </c>
      <c r="Z63" s="761" t="s">
        <v>17</v>
      </c>
      <c r="AA63" s="761" t="s">
        <v>17</v>
      </c>
      <c r="AB63" s="761" t="s">
        <v>17</v>
      </c>
      <c r="AC63" s="761" t="s">
        <v>1448</v>
      </c>
      <c r="AD63" s="761" t="s">
        <v>19</v>
      </c>
      <c r="AE63" s="681" t="s">
        <v>17</v>
      </c>
      <c r="AF63" s="761" t="s">
        <v>1449</v>
      </c>
    </row>
    <row r="64" spans="1:32" ht="150" customHeight="1" x14ac:dyDescent="0.25">
      <c r="A64" s="761">
        <v>334865</v>
      </c>
      <c r="B64" s="761" t="s">
        <v>143</v>
      </c>
      <c r="C64" s="761" t="s">
        <v>3809</v>
      </c>
      <c r="D64" s="761" t="s">
        <v>144</v>
      </c>
      <c r="E64" s="762">
        <v>40456</v>
      </c>
      <c r="F64" s="761" t="s">
        <v>1451</v>
      </c>
      <c r="G64" s="761" t="s">
        <v>15</v>
      </c>
      <c r="H64" s="761" t="s">
        <v>296</v>
      </c>
      <c r="I64" s="761" t="s">
        <v>1452</v>
      </c>
      <c r="J64" s="761" t="s">
        <v>16</v>
      </c>
      <c r="K64" s="761" t="s">
        <v>298</v>
      </c>
      <c r="L64" s="761" t="s">
        <v>1453</v>
      </c>
      <c r="M64" s="761" t="s">
        <v>23</v>
      </c>
      <c r="N64" s="763" t="s">
        <v>1453</v>
      </c>
      <c r="O64" s="761" t="s">
        <v>23</v>
      </c>
      <c r="P64" s="681" t="s">
        <v>23</v>
      </c>
      <c r="Q64" s="681" t="s">
        <v>23</v>
      </c>
      <c r="R64" s="681" t="s">
        <v>191</v>
      </c>
      <c r="S64" s="681" t="s">
        <v>606</v>
      </c>
      <c r="T64" s="681" t="s">
        <v>68</v>
      </c>
      <c r="U64" s="765">
        <v>2789.44</v>
      </c>
      <c r="V64" s="681" t="s">
        <v>23</v>
      </c>
      <c r="W64" s="681" t="s">
        <v>23</v>
      </c>
      <c r="X64" s="681" t="s">
        <v>23</v>
      </c>
      <c r="Y64" s="681" t="s">
        <v>23</v>
      </c>
      <c r="Z64" s="767" t="s">
        <v>23</v>
      </c>
      <c r="AA64" s="681" t="s">
        <v>23</v>
      </c>
      <c r="AB64" s="681" t="s">
        <v>23</v>
      </c>
      <c r="AC64" s="681" t="s">
        <v>1454</v>
      </c>
      <c r="AD64" s="761" t="s">
        <v>22</v>
      </c>
      <c r="AE64" s="681" t="s">
        <v>17</v>
      </c>
      <c r="AF64" s="761" t="s">
        <v>1455</v>
      </c>
    </row>
    <row r="65" spans="1:32" ht="150" customHeight="1" x14ac:dyDescent="0.25">
      <c r="A65" s="761">
        <v>565560</v>
      </c>
      <c r="B65" s="761" t="s">
        <v>143</v>
      </c>
      <c r="C65" s="768" t="s">
        <v>1456</v>
      </c>
      <c r="D65" s="768" t="s">
        <v>149</v>
      </c>
      <c r="E65" s="797">
        <v>42272</v>
      </c>
      <c r="F65" s="768" t="s">
        <v>1457</v>
      </c>
      <c r="G65" s="768" t="s">
        <v>147</v>
      </c>
      <c r="H65" s="768" t="s">
        <v>1458</v>
      </c>
      <c r="I65" s="768" t="s">
        <v>1459</v>
      </c>
      <c r="J65" s="761" t="s">
        <v>16</v>
      </c>
      <c r="K65" s="761" t="s">
        <v>327</v>
      </c>
      <c r="L65" s="768" t="s">
        <v>1460</v>
      </c>
      <c r="M65" s="768" t="s">
        <v>23</v>
      </c>
      <c r="N65" s="798" t="s">
        <v>1461</v>
      </c>
      <c r="O65" s="768" t="s">
        <v>1462</v>
      </c>
      <c r="P65" s="793" t="s">
        <v>23</v>
      </c>
      <c r="Q65" s="793" t="s">
        <v>23</v>
      </c>
      <c r="R65" s="761" t="s">
        <v>96</v>
      </c>
      <c r="S65" s="803" t="s">
        <v>1463</v>
      </c>
      <c r="T65" s="681" t="s">
        <v>43</v>
      </c>
      <c r="U65" s="794" t="s">
        <v>192</v>
      </c>
      <c r="V65" s="681" t="s">
        <v>23</v>
      </c>
      <c r="W65" s="793" t="s">
        <v>23</v>
      </c>
      <c r="X65" s="793" t="s">
        <v>23</v>
      </c>
      <c r="Y65" s="793" t="s">
        <v>23</v>
      </c>
      <c r="Z65" s="800" t="s">
        <v>1464</v>
      </c>
      <c r="AA65" s="800" t="s">
        <v>1465</v>
      </c>
      <c r="AB65" s="793" t="s">
        <v>17</v>
      </c>
      <c r="AC65" s="793" t="s">
        <v>1466</v>
      </c>
      <c r="AD65" s="761" t="s">
        <v>22</v>
      </c>
      <c r="AE65" s="681" t="s">
        <v>17</v>
      </c>
      <c r="AF65" s="768" t="s">
        <v>1467</v>
      </c>
    </row>
    <row r="66" spans="1:32" ht="150" customHeight="1" x14ac:dyDescent="0.25">
      <c r="A66" s="761">
        <v>747488</v>
      </c>
      <c r="B66" s="761" t="s">
        <v>143</v>
      </c>
      <c r="C66" s="761" t="s">
        <v>1468</v>
      </c>
      <c r="D66" s="761" t="s">
        <v>159</v>
      </c>
      <c r="E66" s="762">
        <v>42149</v>
      </c>
      <c r="F66" s="761" t="s">
        <v>1469</v>
      </c>
      <c r="G66" s="761" t="s">
        <v>147</v>
      </c>
      <c r="H66" s="761" t="s">
        <v>1470</v>
      </c>
      <c r="I66" s="761" t="s">
        <v>1471</v>
      </c>
      <c r="J66" s="761" t="s">
        <v>16</v>
      </c>
      <c r="K66" s="761" t="s">
        <v>327</v>
      </c>
      <c r="L66" s="761" t="s">
        <v>1472</v>
      </c>
      <c r="M66" s="761" t="s">
        <v>23</v>
      </c>
      <c r="N66" s="761" t="s">
        <v>1473</v>
      </c>
      <c r="O66" s="761" t="s">
        <v>17</v>
      </c>
      <c r="P66" s="761" t="s">
        <v>23</v>
      </c>
      <c r="Q66" s="761" t="s">
        <v>23</v>
      </c>
      <c r="R66" s="793" t="s">
        <v>180</v>
      </c>
      <c r="S66" s="761" t="s">
        <v>17</v>
      </c>
      <c r="T66" s="799" t="s">
        <v>17</v>
      </c>
      <c r="U66" s="761" t="s">
        <v>23</v>
      </c>
      <c r="V66" s="761" t="s">
        <v>23</v>
      </c>
      <c r="W66" s="761" t="s">
        <v>23</v>
      </c>
      <c r="X66" s="761" t="s">
        <v>23</v>
      </c>
      <c r="Y66" s="761" t="s">
        <v>17</v>
      </c>
      <c r="Z66" s="761" t="s">
        <v>23</v>
      </c>
      <c r="AA66" s="761" t="s">
        <v>17</v>
      </c>
      <c r="AB66" s="761" t="s">
        <v>23</v>
      </c>
      <c r="AC66" s="761" t="s">
        <v>1474</v>
      </c>
      <c r="AD66" s="761" t="s">
        <v>19</v>
      </c>
      <c r="AE66" s="681" t="s">
        <v>17</v>
      </c>
      <c r="AF66" s="761" t="s">
        <v>1474</v>
      </c>
    </row>
    <row r="67" spans="1:32" ht="150" customHeight="1" x14ac:dyDescent="0.25">
      <c r="A67" s="761">
        <v>530000</v>
      </c>
      <c r="B67" s="761" t="s">
        <v>143</v>
      </c>
      <c r="C67" s="761" t="s">
        <v>1475</v>
      </c>
      <c r="D67" s="761" t="s">
        <v>159</v>
      </c>
      <c r="E67" s="762">
        <v>42564</v>
      </c>
      <c r="F67" s="761" t="s">
        <v>1476</v>
      </c>
      <c r="G67" s="768" t="s">
        <v>147</v>
      </c>
      <c r="H67" s="761" t="s">
        <v>296</v>
      </c>
      <c r="I67" s="761" t="s">
        <v>1477</v>
      </c>
      <c r="J67" s="761" t="s">
        <v>16</v>
      </c>
      <c r="K67" s="761" t="s">
        <v>298</v>
      </c>
      <c r="L67" s="761" t="s">
        <v>1478</v>
      </c>
      <c r="M67" s="761" t="s">
        <v>23</v>
      </c>
      <c r="N67" s="763" t="s">
        <v>1478</v>
      </c>
      <c r="O67" s="761" t="s">
        <v>23</v>
      </c>
      <c r="P67" s="681" t="s">
        <v>23</v>
      </c>
      <c r="Q67" s="681" t="s">
        <v>23</v>
      </c>
      <c r="R67" s="761" t="s">
        <v>148</v>
      </c>
      <c r="S67" s="681" t="s">
        <v>1479</v>
      </c>
      <c r="T67" s="681" t="s">
        <v>46</v>
      </c>
      <c r="U67" s="765">
        <v>228.74</v>
      </c>
      <c r="V67" s="681" t="s">
        <v>23</v>
      </c>
      <c r="W67" s="681" t="s">
        <v>23</v>
      </c>
      <c r="X67" s="765" t="s">
        <v>23</v>
      </c>
      <c r="Y67" s="681" t="s">
        <v>23</v>
      </c>
      <c r="Z67" s="767">
        <v>43648</v>
      </c>
      <c r="AA67" s="681" t="s">
        <v>23</v>
      </c>
      <c r="AB67" s="681" t="s">
        <v>23</v>
      </c>
      <c r="AC67" s="681" t="s">
        <v>1480</v>
      </c>
      <c r="AD67" s="681" t="s">
        <v>19</v>
      </c>
      <c r="AE67" s="681" t="s">
        <v>17</v>
      </c>
      <c r="AF67" s="681" t="s">
        <v>1481</v>
      </c>
    </row>
    <row r="68" spans="1:32" ht="150" customHeight="1" x14ac:dyDescent="0.25">
      <c r="A68" s="761">
        <v>682791</v>
      </c>
      <c r="B68" s="761" t="s">
        <v>143</v>
      </c>
      <c r="C68" s="761" t="s">
        <v>1482</v>
      </c>
      <c r="D68" s="761" t="s">
        <v>149</v>
      </c>
      <c r="E68" s="762">
        <v>44323</v>
      </c>
      <c r="F68" s="761" t="s">
        <v>735</v>
      </c>
      <c r="G68" s="761" t="s">
        <v>145</v>
      </c>
      <c r="H68" s="761" t="s">
        <v>1483</v>
      </c>
      <c r="I68" s="761" t="s">
        <v>1484</v>
      </c>
      <c r="J68" s="761" t="s">
        <v>16</v>
      </c>
      <c r="K68" s="761" t="s">
        <v>298</v>
      </c>
      <c r="L68" s="761" t="s">
        <v>611</v>
      </c>
      <c r="M68" s="761" t="s">
        <v>17</v>
      </c>
      <c r="N68" s="763" t="s">
        <v>1485</v>
      </c>
      <c r="O68" s="761" t="s">
        <v>17</v>
      </c>
      <c r="P68" s="761" t="s">
        <v>17</v>
      </c>
      <c r="Q68" s="761" t="s">
        <v>17</v>
      </c>
      <c r="R68" s="761" t="s">
        <v>96</v>
      </c>
      <c r="S68" s="770" t="s">
        <v>1486</v>
      </c>
      <c r="T68" s="681" t="s">
        <v>68</v>
      </c>
      <c r="U68" s="765" t="s">
        <v>17</v>
      </c>
      <c r="V68" s="681" t="s">
        <v>17</v>
      </c>
      <c r="W68" s="766" t="s">
        <v>17</v>
      </c>
      <c r="X68" s="765" t="s">
        <v>17</v>
      </c>
      <c r="Y68" s="681" t="s">
        <v>17</v>
      </c>
      <c r="Z68" s="767" t="s">
        <v>17</v>
      </c>
      <c r="AA68" s="767" t="s">
        <v>17</v>
      </c>
      <c r="AB68" s="681" t="s">
        <v>17</v>
      </c>
      <c r="AC68" s="681" t="s">
        <v>1487</v>
      </c>
      <c r="AD68" s="761" t="s">
        <v>19</v>
      </c>
      <c r="AE68" s="681" t="s">
        <v>17</v>
      </c>
      <c r="AF68" s="761" t="s">
        <v>768</v>
      </c>
    </row>
    <row r="69" spans="1:32" ht="150" customHeight="1" x14ac:dyDescent="0.25">
      <c r="A69" s="761">
        <v>667385</v>
      </c>
      <c r="B69" s="761" t="s">
        <v>143</v>
      </c>
      <c r="C69" s="761" t="s">
        <v>1488</v>
      </c>
      <c r="D69" s="761" t="s">
        <v>156</v>
      </c>
      <c r="E69" s="762">
        <v>44088</v>
      </c>
      <c r="F69" s="761" t="s">
        <v>1489</v>
      </c>
      <c r="G69" s="761" t="s">
        <v>145</v>
      </c>
      <c r="H69" s="761" t="s">
        <v>1490</v>
      </c>
      <c r="I69" s="761" t="s">
        <v>1491</v>
      </c>
      <c r="J69" s="761" t="s">
        <v>16</v>
      </c>
      <c r="K69" s="761" t="s">
        <v>298</v>
      </c>
      <c r="L69" s="761" t="s">
        <v>1492</v>
      </c>
      <c r="M69" s="761" t="s">
        <v>17</v>
      </c>
      <c r="N69" s="763" t="s">
        <v>17</v>
      </c>
      <c r="O69" s="761" t="s">
        <v>17</v>
      </c>
      <c r="P69" s="761" t="s">
        <v>17</v>
      </c>
      <c r="Q69" s="761" t="s">
        <v>17</v>
      </c>
      <c r="R69" s="761" t="s">
        <v>96</v>
      </c>
      <c r="S69" s="761" t="s">
        <v>1493</v>
      </c>
      <c r="T69" s="761" t="s">
        <v>157</v>
      </c>
      <c r="U69" s="761" t="s">
        <v>193</v>
      </c>
      <c r="V69" s="761" t="s">
        <v>17</v>
      </c>
      <c r="W69" s="761" t="s">
        <v>17</v>
      </c>
      <c r="X69" s="761" t="s">
        <v>17</v>
      </c>
      <c r="Y69" s="761" t="s">
        <v>17</v>
      </c>
      <c r="Z69" s="761" t="s">
        <v>17</v>
      </c>
      <c r="AA69" s="761" t="s">
        <v>17</v>
      </c>
      <c r="AB69" s="761" t="s">
        <v>17</v>
      </c>
      <c r="AC69" s="761" t="s">
        <v>1494</v>
      </c>
      <c r="AD69" s="761" t="s">
        <v>24</v>
      </c>
      <c r="AE69" s="681" t="s">
        <v>17</v>
      </c>
      <c r="AF69" s="761" t="s">
        <v>19</v>
      </c>
    </row>
    <row r="70" spans="1:32" ht="150" customHeight="1" x14ac:dyDescent="0.25">
      <c r="A70" s="763" t="s">
        <v>194</v>
      </c>
      <c r="B70" s="768" t="s">
        <v>143</v>
      </c>
      <c r="C70" s="763" t="s">
        <v>3810</v>
      </c>
      <c r="D70" s="761" t="s">
        <v>195</v>
      </c>
      <c r="E70" s="762">
        <v>44365</v>
      </c>
      <c r="F70" s="763" t="s">
        <v>1502</v>
      </c>
      <c r="G70" s="761" t="s">
        <v>15</v>
      </c>
      <c r="H70" s="763" t="s">
        <v>296</v>
      </c>
      <c r="I70" s="763" t="s">
        <v>1503</v>
      </c>
      <c r="J70" s="761" t="s">
        <v>16</v>
      </c>
      <c r="K70" s="761" t="s">
        <v>298</v>
      </c>
      <c r="L70" s="761" t="s">
        <v>1180</v>
      </c>
      <c r="M70" s="761" t="s">
        <v>460</v>
      </c>
      <c r="N70" s="792" t="s">
        <v>1504</v>
      </c>
      <c r="O70" s="761" t="s">
        <v>1505</v>
      </c>
      <c r="P70" s="681" t="s">
        <v>17</v>
      </c>
      <c r="Q70" s="681" t="s">
        <v>17</v>
      </c>
      <c r="R70" s="761" t="s">
        <v>96</v>
      </c>
      <c r="S70" s="763" t="s">
        <v>483</v>
      </c>
      <c r="T70" s="681" t="s">
        <v>68</v>
      </c>
      <c r="U70" s="793" t="s">
        <v>196</v>
      </c>
      <c r="V70" s="794" t="s">
        <v>17</v>
      </c>
      <c r="W70" s="793" t="s">
        <v>17</v>
      </c>
      <c r="X70" s="793" t="s">
        <v>17</v>
      </c>
      <c r="Y70" s="793" t="s">
        <v>17</v>
      </c>
      <c r="Z70" s="793" t="s">
        <v>17</v>
      </c>
      <c r="AA70" s="793" t="s">
        <v>17</v>
      </c>
      <c r="AB70" s="793" t="s">
        <v>17</v>
      </c>
      <c r="AC70" s="793" t="s">
        <v>1506</v>
      </c>
      <c r="AD70" s="681" t="s">
        <v>19</v>
      </c>
      <c r="AE70" s="681" t="s">
        <v>17</v>
      </c>
      <c r="AF70" s="761" t="s">
        <v>1507</v>
      </c>
    </row>
    <row r="71" spans="1:32" ht="150" customHeight="1" x14ac:dyDescent="0.25">
      <c r="A71" s="761">
        <v>706387</v>
      </c>
      <c r="B71" s="761" t="s">
        <v>143</v>
      </c>
      <c r="C71" s="761" t="s">
        <v>1508</v>
      </c>
      <c r="D71" s="761" t="s">
        <v>144</v>
      </c>
      <c r="E71" s="762">
        <v>44568</v>
      </c>
      <c r="F71" s="761" t="s">
        <v>1096</v>
      </c>
      <c r="G71" s="761" t="s">
        <v>145</v>
      </c>
      <c r="H71" s="761" t="s">
        <v>762</v>
      </c>
      <c r="I71" s="761" t="s">
        <v>1509</v>
      </c>
      <c r="J71" s="761" t="s">
        <v>16</v>
      </c>
      <c r="K71" s="761" t="s">
        <v>298</v>
      </c>
      <c r="L71" s="761" t="s">
        <v>1510</v>
      </c>
      <c r="M71" s="761" t="s">
        <v>17</v>
      </c>
      <c r="N71" s="763" t="s">
        <v>1510</v>
      </c>
      <c r="O71" s="761" t="s">
        <v>1511</v>
      </c>
      <c r="P71" s="761" t="s">
        <v>17</v>
      </c>
      <c r="Q71" s="761" t="s">
        <v>17</v>
      </c>
      <c r="R71" s="761" t="s">
        <v>96</v>
      </c>
      <c r="S71" s="761" t="s">
        <v>1512</v>
      </c>
      <c r="T71" s="761" t="s">
        <v>41</v>
      </c>
      <c r="U71" s="761" t="s">
        <v>17</v>
      </c>
      <c r="V71" s="761" t="s">
        <v>17</v>
      </c>
      <c r="W71" s="761" t="s">
        <v>17</v>
      </c>
      <c r="X71" s="761" t="s">
        <v>17</v>
      </c>
      <c r="Y71" s="761" t="s">
        <v>17</v>
      </c>
      <c r="Z71" s="761" t="s">
        <v>17</v>
      </c>
      <c r="AA71" s="761" t="s">
        <v>17</v>
      </c>
      <c r="AB71" s="761" t="s">
        <v>17</v>
      </c>
      <c r="AC71" s="761" t="s">
        <v>1513</v>
      </c>
      <c r="AD71" s="771" t="s">
        <v>19</v>
      </c>
      <c r="AE71" s="681" t="s">
        <v>17</v>
      </c>
      <c r="AF71" s="771" t="s">
        <v>1514</v>
      </c>
    </row>
    <row r="72" spans="1:32" ht="150" customHeight="1" x14ac:dyDescent="0.25">
      <c r="A72" s="761">
        <v>505455</v>
      </c>
      <c r="B72" s="761" t="s">
        <v>143</v>
      </c>
      <c r="C72" s="761" t="s">
        <v>1524</v>
      </c>
      <c r="D72" s="761" t="s">
        <v>149</v>
      </c>
      <c r="E72" s="762">
        <v>41906</v>
      </c>
      <c r="F72" s="761" t="s">
        <v>1525</v>
      </c>
      <c r="G72" s="761" t="s">
        <v>147</v>
      </c>
      <c r="H72" s="761" t="s">
        <v>296</v>
      </c>
      <c r="I72" s="761" t="s">
        <v>1526</v>
      </c>
      <c r="J72" s="761" t="s">
        <v>16</v>
      </c>
      <c r="K72" s="761" t="s">
        <v>298</v>
      </c>
      <c r="L72" s="761" t="s">
        <v>1527</v>
      </c>
      <c r="M72" s="761" t="s">
        <v>23</v>
      </c>
      <c r="N72" s="763" t="s">
        <v>1527</v>
      </c>
      <c r="O72" s="761" t="s">
        <v>1528</v>
      </c>
      <c r="P72" s="681" t="s">
        <v>23</v>
      </c>
      <c r="Q72" s="681" t="s">
        <v>23</v>
      </c>
      <c r="R72" s="761" t="s">
        <v>96</v>
      </c>
      <c r="S72" s="681" t="s">
        <v>1529</v>
      </c>
      <c r="T72" s="681" t="s">
        <v>21</v>
      </c>
      <c r="U72" s="765">
        <v>10480</v>
      </c>
      <c r="V72" s="681" t="s">
        <v>23</v>
      </c>
      <c r="W72" s="681" t="s">
        <v>23</v>
      </c>
      <c r="X72" s="681" t="s">
        <v>23</v>
      </c>
      <c r="Y72" s="681" t="s">
        <v>23</v>
      </c>
      <c r="Z72" s="767" t="s">
        <v>23</v>
      </c>
      <c r="AA72" s="681" t="s">
        <v>23</v>
      </c>
      <c r="AB72" s="681" t="s">
        <v>23</v>
      </c>
      <c r="AC72" s="681" t="s">
        <v>1530</v>
      </c>
      <c r="AD72" s="681" t="s">
        <v>19</v>
      </c>
      <c r="AE72" s="681" t="s">
        <v>17</v>
      </c>
      <c r="AF72" s="761" t="s">
        <v>1531</v>
      </c>
    </row>
    <row r="73" spans="1:32" ht="150" customHeight="1" x14ac:dyDescent="0.25">
      <c r="A73" s="761">
        <v>597702</v>
      </c>
      <c r="B73" s="761" t="s">
        <v>143</v>
      </c>
      <c r="C73" s="788" t="s">
        <v>1532</v>
      </c>
      <c r="D73" s="761" t="s">
        <v>149</v>
      </c>
      <c r="E73" s="762">
        <v>43510</v>
      </c>
      <c r="F73" s="761" t="s">
        <v>879</v>
      </c>
      <c r="G73" s="761" t="s">
        <v>145</v>
      </c>
      <c r="H73" s="761" t="s">
        <v>1533</v>
      </c>
      <c r="I73" s="761" t="s">
        <v>1534</v>
      </c>
      <c r="J73" s="761" t="s">
        <v>16</v>
      </c>
      <c r="K73" s="761" t="s">
        <v>298</v>
      </c>
      <c r="L73" s="761" t="s">
        <v>365</v>
      </c>
      <c r="M73" s="761" t="s">
        <v>17</v>
      </c>
      <c r="N73" s="763" t="s">
        <v>1535</v>
      </c>
      <c r="O73" s="761" t="s">
        <v>1536</v>
      </c>
      <c r="P73" s="761" t="s">
        <v>17</v>
      </c>
      <c r="Q73" s="761" t="s">
        <v>17</v>
      </c>
      <c r="R73" s="761" t="s">
        <v>96</v>
      </c>
      <c r="S73" s="761" t="s">
        <v>1537</v>
      </c>
      <c r="T73" s="761" t="s">
        <v>41</v>
      </c>
      <c r="U73" s="761" t="s">
        <v>17</v>
      </c>
      <c r="V73" s="761" t="s">
        <v>17</v>
      </c>
      <c r="W73" s="761" t="s">
        <v>17</v>
      </c>
      <c r="X73" s="761" t="s">
        <v>17</v>
      </c>
      <c r="Y73" s="761" t="s">
        <v>17</v>
      </c>
      <c r="Z73" s="761" t="s">
        <v>17</v>
      </c>
      <c r="AA73" s="761" t="s">
        <v>17</v>
      </c>
      <c r="AB73" s="761" t="s">
        <v>17</v>
      </c>
      <c r="AC73" s="761" t="s">
        <v>1538</v>
      </c>
      <c r="AD73" s="761" t="s">
        <v>19</v>
      </c>
      <c r="AE73" s="681" t="s">
        <v>17</v>
      </c>
      <c r="AF73" s="761" t="s">
        <v>768</v>
      </c>
    </row>
    <row r="74" spans="1:32" ht="150" customHeight="1" x14ac:dyDescent="0.25">
      <c r="A74" s="761">
        <v>716731</v>
      </c>
      <c r="B74" s="761" t="s">
        <v>143</v>
      </c>
      <c r="C74" s="761" t="s">
        <v>3811</v>
      </c>
      <c r="D74" s="761" t="s">
        <v>144</v>
      </c>
      <c r="E74" s="762">
        <v>44833</v>
      </c>
      <c r="F74" s="761" t="s">
        <v>1548</v>
      </c>
      <c r="G74" s="761" t="s">
        <v>15</v>
      </c>
      <c r="H74" s="761" t="s">
        <v>1549</v>
      </c>
      <c r="I74" s="761" t="s">
        <v>1550</v>
      </c>
      <c r="J74" s="761" t="s">
        <v>16</v>
      </c>
      <c r="K74" s="761" t="s">
        <v>298</v>
      </c>
      <c r="L74" s="761" t="s">
        <v>906</v>
      </c>
      <c r="M74" s="761" t="s">
        <v>17</v>
      </c>
      <c r="N74" s="763" t="s">
        <v>1551</v>
      </c>
      <c r="O74" s="761" t="s">
        <v>1543</v>
      </c>
      <c r="P74" s="761" t="s">
        <v>17</v>
      </c>
      <c r="Q74" s="761" t="s">
        <v>17</v>
      </c>
      <c r="R74" s="761" t="s">
        <v>96</v>
      </c>
      <c r="S74" s="761" t="s">
        <v>1552</v>
      </c>
      <c r="T74" s="761" t="s">
        <v>41</v>
      </c>
      <c r="U74" s="761" t="s">
        <v>197</v>
      </c>
      <c r="V74" s="761" t="s">
        <v>1553</v>
      </c>
      <c r="W74" s="761" t="s">
        <v>17</v>
      </c>
      <c r="X74" s="761" t="s">
        <v>17</v>
      </c>
      <c r="Y74" s="761" t="s">
        <v>17</v>
      </c>
      <c r="Z74" s="761" t="s">
        <v>19</v>
      </c>
      <c r="AA74" s="761" t="s">
        <v>17</v>
      </c>
      <c r="AB74" s="761" t="s">
        <v>17</v>
      </c>
      <c r="AC74" s="761" t="s">
        <v>1554</v>
      </c>
      <c r="AD74" s="761" t="s">
        <v>19</v>
      </c>
      <c r="AE74" s="681" t="s">
        <v>17</v>
      </c>
      <c r="AF74" s="761" t="s">
        <v>1555</v>
      </c>
    </row>
    <row r="75" spans="1:32" ht="150" customHeight="1" x14ac:dyDescent="0.25">
      <c r="A75" s="761">
        <v>546194</v>
      </c>
      <c r="B75" s="761" t="s">
        <v>143</v>
      </c>
      <c r="C75" s="761" t="s">
        <v>1563</v>
      </c>
      <c r="D75" s="761" t="s">
        <v>159</v>
      </c>
      <c r="E75" s="762">
        <v>42354</v>
      </c>
      <c r="F75" s="761" t="s">
        <v>1564</v>
      </c>
      <c r="G75" s="768" t="s">
        <v>147</v>
      </c>
      <c r="H75" s="761" t="s">
        <v>296</v>
      </c>
      <c r="I75" s="761" t="s">
        <v>1565</v>
      </c>
      <c r="J75" s="761" t="s">
        <v>16</v>
      </c>
      <c r="K75" s="761" t="s">
        <v>298</v>
      </c>
      <c r="L75" s="761" t="s">
        <v>1566</v>
      </c>
      <c r="M75" s="761" t="s">
        <v>23</v>
      </c>
      <c r="N75" s="763" t="s">
        <v>1566</v>
      </c>
      <c r="O75" s="761" t="s">
        <v>23</v>
      </c>
      <c r="P75" s="681" t="s">
        <v>23</v>
      </c>
      <c r="Q75" s="681" t="s">
        <v>23</v>
      </c>
      <c r="R75" s="761" t="s">
        <v>148</v>
      </c>
      <c r="S75" s="770" t="s">
        <v>890</v>
      </c>
      <c r="T75" s="681" t="s">
        <v>46</v>
      </c>
      <c r="U75" s="765">
        <v>321.16000000000003</v>
      </c>
      <c r="V75" s="681" t="s">
        <v>23</v>
      </c>
      <c r="W75" s="681" t="s">
        <v>23</v>
      </c>
      <c r="X75" s="765" t="s">
        <v>23</v>
      </c>
      <c r="Y75" s="765" t="s">
        <v>23</v>
      </c>
      <c r="Z75" s="765" t="s">
        <v>23</v>
      </c>
      <c r="AA75" s="765" t="s">
        <v>23</v>
      </c>
      <c r="AB75" s="681" t="s">
        <v>23</v>
      </c>
      <c r="AC75" s="681" t="s">
        <v>1567</v>
      </c>
      <c r="AD75" s="681" t="s">
        <v>19</v>
      </c>
      <c r="AE75" s="681" t="s">
        <v>17</v>
      </c>
      <c r="AF75" s="681" t="s">
        <v>1568</v>
      </c>
    </row>
    <row r="76" spans="1:32" ht="150" customHeight="1" x14ac:dyDescent="0.25">
      <c r="A76" s="761">
        <v>768941</v>
      </c>
      <c r="B76" s="761" t="s">
        <v>143</v>
      </c>
      <c r="C76" s="761" t="s">
        <v>3812</v>
      </c>
      <c r="D76" s="761" t="s">
        <v>151</v>
      </c>
      <c r="E76" s="762">
        <v>42089</v>
      </c>
      <c r="F76" s="761" t="s">
        <v>1595</v>
      </c>
      <c r="G76" s="761" t="s">
        <v>15</v>
      </c>
      <c r="H76" s="761" t="s">
        <v>904</v>
      </c>
      <c r="I76" s="761" t="s">
        <v>1596</v>
      </c>
      <c r="J76" s="761" t="s">
        <v>16</v>
      </c>
      <c r="K76" s="761" t="s">
        <v>298</v>
      </c>
      <c r="L76" s="761" t="s">
        <v>1597</v>
      </c>
      <c r="M76" s="761" t="s">
        <v>23</v>
      </c>
      <c r="N76" s="763" t="s">
        <v>1598</v>
      </c>
      <c r="O76" s="761" t="s">
        <v>696</v>
      </c>
      <c r="P76" s="681" t="s">
        <v>23</v>
      </c>
      <c r="Q76" s="681" t="s">
        <v>23</v>
      </c>
      <c r="R76" s="761" t="s">
        <v>96</v>
      </c>
      <c r="S76" s="681" t="s">
        <v>700</v>
      </c>
      <c r="T76" s="681" t="s">
        <v>68</v>
      </c>
      <c r="U76" s="765" t="s">
        <v>23</v>
      </c>
      <c r="V76" s="681" t="s">
        <v>23</v>
      </c>
      <c r="W76" s="681" t="s">
        <v>23</v>
      </c>
      <c r="X76" s="765" t="s">
        <v>23</v>
      </c>
      <c r="Y76" s="681">
        <v>42553000</v>
      </c>
      <c r="Z76" s="767">
        <v>43748</v>
      </c>
      <c r="AA76" s="681" t="s">
        <v>23</v>
      </c>
      <c r="AB76" s="681" t="s">
        <v>23</v>
      </c>
      <c r="AC76" s="804" t="s">
        <v>1599</v>
      </c>
      <c r="AD76" s="761" t="s">
        <v>22</v>
      </c>
      <c r="AE76" s="681" t="s">
        <v>17</v>
      </c>
      <c r="AF76" s="681" t="s">
        <v>3813</v>
      </c>
    </row>
    <row r="77" spans="1:32" ht="150" customHeight="1" x14ac:dyDescent="0.25">
      <c r="A77" s="771">
        <v>653514</v>
      </c>
      <c r="B77" s="761" t="s">
        <v>143</v>
      </c>
      <c r="C77" s="761" t="s">
        <v>1636</v>
      </c>
      <c r="D77" s="761" t="s">
        <v>149</v>
      </c>
      <c r="E77" s="762">
        <v>43616</v>
      </c>
      <c r="F77" s="761" t="s">
        <v>609</v>
      </c>
      <c r="G77" s="761" t="s">
        <v>145</v>
      </c>
      <c r="H77" s="761" t="s">
        <v>1637</v>
      </c>
      <c r="I77" s="761" t="s">
        <v>1638</v>
      </c>
      <c r="J77" s="761" t="s">
        <v>16</v>
      </c>
      <c r="K77" s="761" t="s">
        <v>327</v>
      </c>
      <c r="L77" s="761" t="s">
        <v>365</v>
      </c>
      <c r="M77" s="761" t="s">
        <v>17</v>
      </c>
      <c r="N77" s="763" t="s">
        <v>17</v>
      </c>
      <c r="O77" s="761" t="s">
        <v>17</v>
      </c>
      <c r="P77" s="771" t="s">
        <v>17</v>
      </c>
      <c r="Q77" s="761" t="s">
        <v>17</v>
      </c>
      <c r="R77" s="761" t="s">
        <v>96</v>
      </c>
      <c r="S77" s="771" t="s">
        <v>1639</v>
      </c>
      <c r="T77" s="761" t="s">
        <v>18</v>
      </c>
      <c r="U77" s="771" t="s">
        <v>17</v>
      </c>
      <c r="V77" s="771" t="s">
        <v>17</v>
      </c>
      <c r="W77" s="771" t="s">
        <v>17</v>
      </c>
      <c r="X77" s="761" t="s">
        <v>17</v>
      </c>
      <c r="Y77" s="761" t="s">
        <v>17</v>
      </c>
      <c r="Z77" s="771" t="s">
        <v>17</v>
      </c>
      <c r="AA77" s="761" t="s">
        <v>17</v>
      </c>
      <c r="AB77" s="761" t="s">
        <v>17</v>
      </c>
      <c r="AC77" s="761" t="s">
        <v>1327</v>
      </c>
      <c r="AD77" s="761" t="s">
        <v>19</v>
      </c>
      <c r="AE77" s="681" t="s">
        <v>17</v>
      </c>
      <c r="AF77" s="761" t="s">
        <v>768</v>
      </c>
    </row>
    <row r="78" spans="1:32" ht="150" customHeight="1" x14ac:dyDescent="0.25">
      <c r="A78" s="761">
        <v>744339</v>
      </c>
      <c r="B78" s="761" t="s">
        <v>143</v>
      </c>
      <c r="C78" s="761" t="s">
        <v>3814</v>
      </c>
      <c r="D78" s="761" t="s">
        <v>149</v>
      </c>
      <c r="E78" s="762">
        <v>44722</v>
      </c>
      <c r="F78" s="761" t="s">
        <v>1641</v>
      </c>
      <c r="G78" s="761" t="s">
        <v>15</v>
      </c>
      <c r="H78" s="761" t="s">
        <v>1642</v>
      </c>
      <c r="I78" s="761" t="s">
        <v>1643</v>
      </c>
      <c r="J78" s="761" t="s">
        <v>16</v>
      </c>
      <c r="K78" s="761" t="s">
        <v>327</v>
      </c>
      <c r="L78" s="761" t="s">
        <v>1644</v>
      </c>
      <c r="M78" s="761" t="s">
        <v>17</v>
      </c>
      <c r="N78" s="763" t="s">
        <v>1645</v>
      </c>
      <c r="O78" s="761" t="s">
        <v>1646</v>
      </c>
      <c r="P78" s="761" t="s">
        <v>17</v>
      </c>
      <c r="Q78" s="761" t="s">
        <v>17</v>
      </c>
      <c r="R78" s="761" t="s">
        <v>96</v>
      </c>
      <c r="S78" s="761" t="s">
        <v>1647</v>
      </c>
      <c r="T78" s="761" t="s">
        <v>41</v>
      </c>
      <c r="U78" s="761">
        <v>438.86</v>
      </c>
      <c r="V78" s="761" t="s">
        <v>17</v>
      </c>
      <c r="W78" s="761" t="s">
        <v>17</v>
      </c>
      <c r="X78" s="761" t="s">
        <v>17</v>
      </c>
      <c r="Y78" s="761" t="s">
        <v>17</v>
      </c>
      <c r="Z78" s="761" t="s">
        <v>17</v>
      </c>
      <c r="AA78" s="761" t="s">
        <v>17</v>
      </c>
      <c r="AB78" s="761" t="s">
        <v>17</v>
      </c>
      <c r="AC78" s="761" t="s">
        <v>815</v>
      </c>
      <c r="AD78" s="761" t="s">
        <v>19</v>
      </c>
      <c r="AE78" s="681" t="s">
        <v>17</v>
      </c>
      <c r="AF78" s="761" t="s">
        <v>3815</v>
      </c>
    </row>
    <row r="79" spans="1:32" ht="150" customHeight="1" x14ac:dyDescent="0.25">
      <c r="A79" s="768">
        <v>651277</v>
      </c>
      <c r="B79" s="768" t="s">
        <v>143</v>
      </c>
      <c r="C79" s="763" t="s">
        <v>3816</v>
      </c>
      <c r="D79" s="761" t="s">
        <v>149</v>
      </c>
      <c r="E79" s="762">
        <v>43529</v>
      </c>
      <c r="F79" s="788" t="s">
        <v>1675</v>
      </c>
      <c r="G79" s="761" t="s">
        <v>15</v>
      </c>
      <c r="H79" s="763" t="s">
        <v>1676</v>
      </c>
      <c r="I79" s="763" t="s">
        <v>1677</v>
      </c>
      <c r="J79" s="761" t="s">
        <v>16</v>
      </c>
      <c r="K79" s="761" t="s">
        <v>327</v>
      </c>
      <c r="L79" s="761" t="s">
        <v>1678</v>
      </c>
      <c r="M79" s="761" t="s">
        <v>460</v>
      </c>
      <c r="N79" s="805" t="s">
        <v>1679</v>
      </c>
      <c r="O79" s="771" t="s">
        <v>1680</v>
      </c>
      <c r="P79" s="761" t="s">
        <v>17</v>
      </c>
      <c r="Q79" s="793" t="s">
        <v>17</v>
      </c>
      <c r="R79" s="761" t="s">
        <v>96</v>
      </c>
      <c r="S79" s="763" t="s">
        <v>1681</v>
      </c>
      <c r="T79" s="761" t="s">
        <v>18</v>
      </c>
      <c r="U79" s="793" t="s">
        <v>198</v>
      </c>
      <c r="V79" s="761" t="s">
        <v>17</v>
      </c>
      <c r="W79" s="761" t="s">
        <v>17</v>
      </c>
      <c r="X79" s="761" t="s">
        <v>17</v>
      </c>
      <c r="Y79" s="761" t="s">
        <v>17</v>
      </c>
      <c r="Z79" s="761" t="s">
        <v>17</v>
      </c>
      <c r="AA79" s="761" t="s">
        <v>17</v>
      </c>
      <c r="AB79" s="761" t="s">
        <v>17</v>
      </c>
      <c r="AC79" s="793" t="s">
        <v>1682</v>
      </c>
      <c r="AD79" s="771" t="s">
        <v>19</v>
      </c>
      <c r="AE79" s="681" t="s">
        <v>17</v>
      </c>
      <c r="AF79" s="761" t="s">
        <v>3817</v>
      </c>
    </row>
    <row r="80" spans="1:32" ht="150" customHeight="1" x14ac:dyDescent="0.25">
      <c r="A80" s="771">
        <v>749867</v>
      </c>
      <c r="B80" s="771" t="s">
        <v>143</v>
      </c>
      <c r="C80" s="771" t="s">
        <v>1684</v>
      </c>
      <c r="D80" s="771" t="s">
        <v>149</v>
      </c>
      <c r="E80" s="762">
        <v>44960</v>
      </c>
      <c r="F80" s="771" t="s">
        <v>1685</v>
      </c>
      <c r="G80" s="761" t="s">
        <v>145</v>
      </c>
      <c r="H80" s="771" t="s">
        <v>1686</v>
      </c>
      <c r="I80" s="771" t="s">
        <v>1687</v>
      </c>
      <c r="J80" s="761" t="s">
        <v>16</v>
      </c>
      <c r="K80" s="761" t="s">
        <v>327</v>
      </c>
      <c r="L80" s="761" t="s">
        <v>611</v>
      </c>
      <c r="M80" s="761" t="s">
        <v>17</v>
      </c>
      <c r="N80" s="763" t="s">
        <v>1688</v>
      </c>
      <c r="O80" s="761" t="s">
        <v>17</v>
      </c>
      <c r="P80" s="681" t="s">
        <v>17</v>
      </c>
      <c r="Q80" s="681" t="s">
        <v>17</v>
      </c>
      <c r="R80" s="761" t="s">
        <v>96</v>
      </c>
      <c r="S80" s="770" t="s">
        <v>1689</v>
      </c>
      <c r="T80" s="681" t="s">
        <v>43</v>
      </c>
      <c r="U80" s="765" t="s">
        <v>17</v>
      </c>
      <c r="V80" s="681" t="s">
        <v>17</v>
      </c>
      <c r="W80" s="766" t="s">
        <v>17</v>
      </c>
      <c r="X80" s="765" t="s">
        <v>17</v>
      </c>
      <c r="Y80" s="681" t="s">
        <v>17</v>
      </c>
      <c r="Z80" s="767" t="s">
        <v>17</v>
      </c>
      <c r="AA80" s="767" t="s">
        <v>17</v>
      </c>
      <c r="AB80" s="681" t="s">
        <v>17</v>
      </c>
      <c r="AC80" s="681" t="s">
        <v>1690</v>
      </c>
      <c r="AD80" s="681" t="s">
        <v>19</v>
      </c>
      <c r="AE80" s="681" t="s">
        <v>17</v>
      </c>
      <c r="AF80" s="681" t="s">
        <v>768</v>
      </c>
    </row>
    <row r="81" spans="1:32" ht="150" customHeight="1" x14ac:dyDescent="0.25">
      <c r="A81" s="761">
        <v>583560</v>
      </c>
      <c r="B81" s="761" t="s">
        <v>143</v>
      </c>
      <c r="C81" s="761" t="s">
        <v>1698</v>
      </c>
      <c r="D81" s="761" t="s">
        <v>149</v>
      </c>
      <c r="E81" s="762">
        <v>42689</v>
      </c>
      <c r="F81" s="761" t="s">
        <v>1699</v>
      </c>
      <c r="G81" s="761" t="s">
        <v>147</v>
      </c>
      <c r="H81" s="761" t="s">
        <v>1700</v>
      </c>
      <c r="I81" s="761" t="s">
        <v>1701</v>
      </c>
      <c r="J81" s="761" t="s">
        <v>16</v>
      </c>
      <c r="K81" s="761" t="s">
        <v>298</v>
      </c>
      <c r="L81" s="761" t="s">
        <v>1702</v>
      </c>
      <c r="M81" s="761" t="s">
        <v>17</v>
      </c>
      <c r="N81" s="763" t="s">
        <v>1703</v>
      </c>
      <c r="O81" s="761" t="s">
        <v>17</v>
      </c>
      <c r="P81" s="681" t="s">
        <v>17</v>
      </c>
      <c r="Q81" s="681" t="s">
        <v>17</v>
      </c>
      <c r="R81" s="681" t="s">
        <v>199</v>
      </c>
      <c r="S81" s="770" t="s">
        <v>1704</v>
      </c>
      <c r="T81" s="681" t="s">
        <v>187</v>
      </c>
      <c r="U81" s="765" t="s">
        <v>200</v>
      </c>
      <c r="V81" s="681" t="s">
        <v>17</v>
      </c>
      <c r="W81" s="766" t="s">
        <v>200</v>
      </c>
      <c r="X81" s="765" t="s">
        <v>17</v>
      </c>
      <c r="Y81" s="681" t="s">
        <v>17</v>
      </c>
      <c r="Z81" s="767" t="s">
        <v>17</v>
      </c>
      <c r="AA81" s="767" t="s">
        <v>17</v>
      </c>
      <c r="AB81" s="681" t="s">
        <v>17</v>
      </c>
      <c r="AC81" s="681" t="s">
        <v>1705</v>
      </c>
      <c r="AD81" s="681" t="s">
        <v>19</v>
      </c>
      <c r="AE81" s="681" t="s">
        <v>17</v>
      </c>
      <c r="AF81" s="761" t="s">
        <v>1706</v>
      </c>
    </row>
    <row r="82" spans="1:32" ht="150" customHeight="1" x14ac:dyDescent="0.25">
      <c r="A82" s="761">
        <v>762281</v>
      </c>
      <c r="B82" s="761" t="s">
        <v>143</v>
      </c>
      <c r="C82" s="761" t="s">
        <v>3818</v>
      </c>
      <c r="D82" s="761" t="s">
        <v>149</v>
      </c>
      <c r="E82" s="762">
        <v>44474</v>
      </c>
      <c r="F82" s="761" t="s">
        <v>1716</v>
      </c>
      <c r="G82" s="761" t="s">
        <v>15</v>
      </c>
      <c r="H82" s="771" t="s">
        <v>1717</v>
      </c>
      <c r="I82" s="771" t="s">
        <v>1718</v>
      </c>
      <c r="J82" s="761" t="s">
        <v>16</v>
      </c>
      <c r="K82" s="771" t="s">
        <v>781</v>
      </c>
      <c r="L82" s="761" t="s">
        <v>35</v>
      </c>
      <c r="M82" s="761" t="s">
        <v>17</v>
      </c>
      <c r="N82" s="763" t="s">
        <v>1719</v>
      </c>
      <c r="O82" s="806" t="s">
        <v>1720</v>
      </c>
      <c r="P82" s="761" t="s">
        <v>17</v>
      </c>
      <c r="Q82" s="761" t="s">
        <v>17</v>
      </c>
      <c r="R82" s="761" t="s">
        <v>96</v>
      </c>
      <c r="S82" s="761" t="s">
        <v>1721</v>
      </c>
      <c r="T82" s="761" t="s">
        <v>41</v>
      </c>
      <c r="U82" s="761">
        <v>3643</v>
      </c>
      <c r="V82" s="761" t="s">
        <v>17</v>
      </c>
      <c r="W82" s="761" t="s">
        <v>17</v>
      </c>
      <c r="X82" s="761" t="s">
        <v>17</v>
      </c>
      <c r="Y82" s="761" t="s">
        <v>17</v>
      </c>
      <c r="Z82" s="761" t="s">
        <v>17</v>
      </c>
      <c r="AA82" s="761" t="s">
        <v>17</v>
      </c>
      <c r="AB82" s="761" t="s">
        <v>17</v>
      </c>
      <c r="AC82" s="761" t="s">
        <v>1195</v>
      </c>
      <c r="AD82" s="761" t="s">
        <v>19</v>
      </c>
      <c r="AE82" s="681" t="s">
        <v>17</v>
      </c>
      <c r="AF82" s="761" t="s">
        <v>3819</v>
      </c>
    </row>
    <row r="83" spans="1:32" ht="150" customHeight="1" x14ac:dyDescent="0.25">
      <c r="A83" s="761">
        <v>655612</v>
      </c>
      <c r="B83" s="761" t="s">
        <v>143</v>
      </c>
      <c r="C83" s="761" t="s">
        <v>1731</v>
      </c>
      <c r="D83" s="807" t="s">
        <v>149</v>
      </c>
      <c r="E83" s="762">
        <v>42593</v>
      </c>
      <c r="F83" s="761" t="s">
        <v>1732</v>
      </c>
      <c r="G83" s="768" t="s">
        <v>147</v>
      </c>
      <c r="H83" s="761" t="s">
        <v>1733</v>
      </c>
      <c r="I83" s="761" t="s">
        <v>1734</v>
      </c>
      <c r="J83" s="761" t="s">
        <v>16</v>
      </c>
      <c r="K83" s="761" t="s">
        <v>327</v>
      </c>
      <c r="L83" s="761" t="s">
        <v>1245</v>
      </c>
      <c r="M83" s="761" t="s">
        <v>17</v>
      </c>
      <c r="N83" s="763" t="s">
        <v>1262</v>
      </c>
      <c r="O83" s="761" t="s">
        <v>1543</v>
      </c>
      <c r="P83" s="681" t="s">
        <v>17</v>
      </c>
      <c r="Q83" s="681" t="s">
        <v>17</v>
      </c>
      <c r="R83" s="761" t="s">
        <v>96</v>
      </c>
      <c r="S83" s="770" t="s">
        <v>1735</v>
      </c>
      <c r="T83" s="681" t="s">
        <v>41</v>
      </c>
      <c r="U83" s="765" t="s">
        <v>201</v>
      </c>
      <c r="V83" s="681" t="s">
        <v>17</v>
      </c>
      <c r="W83" s="766" t="s">
        <v>17</v>
      </c>
      <c r="X83" s="765" t="s">
        <v>17</v>
      </c>
      <c r="Y83" s="681" t="s">
        <v>17</v>
      </c>
      <c r="Z83" s="767" t="s">
        <v>17</v>
      </c>
      <c r="AA83" s="767" t="s">
        <v>17</v>
      </c>
      <c r="AB83" s="681" t="s">
        <v>17</v>
      </c>
      <c r="AC83" s="681" t="s">
        <v>1736</v>
      </c>
      <c r="AD83" s="681" t="s">
        <v>19</v>
      </c>
      <c r="AE83" s="681" t="s">
        <v>17</v>
      </c>
      <c r="AF83" s="761" t="s">
        <v>1266</v>
      </c>
    </row>
    <row r="84" spans="1:32" ht="150" customHeight="1" x14ac:dyDescent="0.25">
      <c r="A84" s="771">
        <v>749824</v>
      </c>
      <c r="B84" s="771" t="s">
        <v>143</v>
      </c>
      <c r="C84" s="771" t="s">
        <v>1737</v>
      </c>
      <c r="D84" s="771" t="s">
        <v>149</v>
      </c>
      <c r="E84" s="762">
        <v>44945</v>
      </c>
      <c r="F84" s="771" t="s">
        <v>1738</v>
      </c>
      <c r="G84" s="761" t="s">
        <v>145</v>
      </c>
      <c r="H84" s="771" t="s">
        <v>1739</v>
      </c>
      <c r="I84" s="761" t="s">
        <v>1740</v>
      </c>
      <c r="J84" s="761" t="s">
        <v>16</v>
      </c>
      <c r="K84" s="761" t="s">
        <v>327</v>
      </c>
      <c r="L84" s="761" t="s">
        <v>611</v>
      </c>
      <c r="M84" s="761" t="s">
        <v>17</v>
      </c>
      <c r="N84" s="763" t="s">
        <v>1741</v>
      </c>
      <c r="O84" s="761" t="s">
        <v>17</v>
      </c>
      <c r="P84" s="681" t="s">
        <v>17</v>
      </c>
      <c r="Q84" s="681" t="s">
        <v>17</v>
      </c>
      <c r="R84" s="761" t="s">
        <v>96</v>
      </c>
      <c r="S84" s="770" t="s">
        <v>1742</v>
      </c>
      <c r="T84" s="681" t="s">
        <v>18</v>
      </c>
      <c r="U84" s="765" t="s">
        <v>17</v>
      </c>
      <c r="V84" s="681" t="s">
        <v>17</v>
      </c>
      <c r="W84" s="766" t="s">
        <v>17</v>
      </c>
      <c r="X84" s="765" t="s">
        <v>17</v>
      </c>
      <c r="Y84" s="681" t="s">
        <v>17</v>
      </c>
      <c r="Z84" s="767" t="s">
        <v>17</v>
      </c>
      <c r="AA84" s="767" t="s">
        <v>17</v>
      </c>
      <c r="AB84" s="681" t="s">
        <v>17</v>
      </c>
      <c r="AC84" s="681" t="s">
        <v>1690</v>
      </c>
      <c r="AD84" s="681" t="s">
        <v>19</v>
      </c>
      <c r="AE84" s="681" t="s">
        <v>17</v>
      </c>
      <c r="AF84" s="681" t="s">
        <v>768</v>
      </c>
    </row>
    <row r="85" spans="1:32" ht="150" customHeight="1" x14ac:dyDescent="0.25">
      <c r="A85" s="761">
        <v>653337</v>
      </c>
      <c r="B85" s="761" t="s">
        <v>143</v>
      </c>
      <c r="C85" s="761" t="s">
        <v>1773</v>
      </c>
      <c r="D85" s="761" t="s">
        <v>159</v>
      </c>
      <c r="E85" s="762">
        <v>42639</v>
      </c>
      <c r="F85" s="761" t="s">
        <v>1774</v>
      </c>
      <c r="G85" s="768" t="s">
        <v>147</v>
      </c>
      <c r="H85" s="761" t="s">
        <v>1775</v>
      </c>
      <c r="I85" s="761" t="s">
        <v>1776</v>
      </c>
      <c r="J85" s="761" t="s">
        <v>16</v>
      </c>
      <c r="K85" s="761" t="s">
        <v>327</v>
      </c>
      <c r="L85" s="761" t="s">
        <v>1245</v>
      </c>
      <c r="M85" s="761" t="s">
        <v>17</v>
      </c>
      <c r="N85" s="763" t="s">
        <v>1777</v>
      </c>
      <c r="O85" s="761" t="s">
        <v>1778</v>
      </c>
      <c r="P85" s="681" t="s">
        <v>17</v>
      </c>
      <c r="Q85" s="681" t="s">
        <v>17</v>
      </c>
      <c r="R85" s="761" t="s">
        <v>96</v>
      </c>
      <c r="S85" s="761" t="s">
        <v>1779</v>
      </c>
      <c r="T85" s="681" t="s">
        <v>202</v>
      </c>
      <c r="U85" s="765" t="s">
        <v>203</v>
      </c>
      <c r="V85" s="681" t="s">
        <v>17</v>
      </c>
      <c r="W85" s="766" t="s">
        <v>17</v>
      </c>
      <c r="X85" s="765" t="s">
        <v>17</v>
      </c>
      <c r="Y85" s="681" t="s">
        <v>17</v>
      </c>
      <c r="Z85" s="767" t="s">
        <v>17</v>
      </c>
      <c r="AA85" s="767" t="s">
        <v>17</v>
      </c>
      <c r="AB85" s="681" t="s">
        <v>17</v>
      </c>
      <c r="AC85" s="681" t="s">
        <v>1780</v>
      </c>
      <c r="AD85" s="681" t="s">
        <v>19</v>
      </c>
      <c r="AE85" s="681" t="s">
        <v>17</v>
      </c>
      <c r="AF85" s="761" t="s">
        <v>1781</v>
      </c>
    </row>
    <row r="86" spans="1:32" ht="150" customHeight="1" x14ac:dyDescent="0.25">
      <c r="A86" s="761">
        <v>653333</v>
      </c>
      <c r="B86" s="761" t="s">
        <v>143</v>
      </c>
      <c r="C86" s="761" t="s">
        <v>1801</v>
      </c>
      <c r="D86" s="761" t="s">
        <v>149</v>
      </c>
      <c r="E86" s="762">
        <v>42612</v>
      </c>
      <c r="F86" s="761" t="s">
        <v>1802</v>
      </c>
      <c r="G86" s="768" t="s">
        <v>147</v>
      </c>
      <c r="H86" s="763" t="s">
        <v>1803</v>
      </c>
      <c r="I86" s="763" t="s">
        <v>1804</v>
      </c>
      <c r="J86" s="761" t="s">
        <v>16</v>
      </c>
      <c r="K86" s="761" t="s">
        <v>327</v>
      </c>
      <c r="L86" s="761" t="s">
        <v>1245</v>
      </c>
      <c r="M86" s="761" t="s">
        <v>17</v>
      </c>
      <c r="N86" s="763" t="s">
        <v>1805</v>
      </c>
      <c r="O86" s="761" t="s">
        <v>1806</v>
      </c>
      <c r="P86" s="681" t="s">
        <v>17</v>
      </c>
      <c r="Q86" s="681" t="s">
        <v>17</v>
      </c>
      <c r="R86" s="761" t="s">
        <v>17</v>
      </c>
      <c r="S86" s="770" t="s">
        <v>1807</v>
      </c>
      <c r="T86" s="681" t="s">
        <v>202</v>
      </c>
      <c r="U86" s="765" t="s">
        <v>183</v>
      </c>
      <c r="V86" s="681" t="s">
        <v>17</v>
      </c>
      <c r="W86" s="766" t="s">
        <v>17</v>
      </c>
      <c r="X86" s="765" t="s">
        <v>17</v>
      </c>
      <c r="Y86" s="681" t="s">
        <v>17</v>
      </c>
      <c r="Z86" s="767" t="s">
        <v>17</v>
      </c>
      <c r="AA86" s="767" t="s">
        <v>17</v>
      </c>
      <c r="AB86" s="681" t="s">
        <v>17</v>
      </c>
      <c r="AC86" s="681" t="s">
        <v>1808</v>
      </c>
      <c r="AD86" s="681" t="s">
        <v>19</v>
      </c>
      <c r="AE86" s="681" t="s">
        <v>17</v>
      </c>
      <c r="AF86" s="761" t="s">
        <v>1809</v>
      </c>
    </row>
    <row r="87" spans="1:32" ht="150" customHeight="1" x14ac:dyDescent="0.25">
      <c r="A87" s="761">
        <v>550502</v>
      </c>
      <c r="B87" s="761" t="s">
        <v>143</v>
      </c>
      <c r="C87" s="761" t="s">
        <v>1810</v>
      </c>
      <c r="D87" s="761" t="s">
        <v>159</v>
      </c>
      <c r="E87" s="762">
        <v>42678</v>
      </c>
      <c r="F87" s="761" t="s">
        <v>1811</v>
      </c>
      <c r="G87" s="768" t="s">
        <v>147</v>
      </c>
      <c r="H87" s="761" t="s">
        <v>1812</v>
      </c>
      <c r="I87" s="761" t="s">
        <v>1813</v>
      </c>
      <c r="J87" s="761" t="s">
        <v>16</v>
      </c>
      <c r="K87" s="761" t="s">
        <v>327</v>
      </c>
      <c r="L87" s="761" t="s">
        <v>1814</v>
      </c>
      <c r="M87" s="761" t="s">
        <v>23</v>
      </c>
      <c r="N87" s="763" t="s">
        <v>1814</v>
      </c>
      <c r="O87" s="761" t="s">
        <v>1815</v>
      </c>
      <c r="P87" s="761" t="s">
        <v>23</v>
      </c>
      <c r="Q87" s="761" t="s">
        <v>23</v>
      </c>
      <c r="R87" s="761" t="s">
        <v>96</v>
      </c>
      <c r="S87" s="761" t="s">
        <v>1816</v>
      </c>
      <c r="T87" s="761" t="s">
        <v>55</v>
      </c>
      <c r="U87" s="761" t="s">
        <v>23</v>
      </c>
      <c r="V87" s="761" t="s">
        <v>23</v>
      </c>
      <c r="W87" s="761" t="s">
        <v>23</v>
      </c>
      <c r="X87" s="761" t="s">
        <v>23</v>
      </c>
      <c r="Y87" s="761" t="s">
        <v>23</v>
      </c>
      <c r="Z87" s="761" t="s">
        <v>23</v>
      </c>
      <c r="AA87" s="761" t="s">
        <v>23</v>
      </c>
      <c r="AB87" s="761" t="s">
        <v>23</v>
      </c>
      <c r="AC87" s="761" t="s">
        <v>1817</v>
      </c>
      <c r="AD87" s="681" t="s">
        <v>19</v>
      </c>
      <c r="AE87" s="681" t="s">
        <v>17</v>
      </c>
      <c r="AF87" s="761" t="s">
        <v>1818</v>
      </c>
    </row>
    <row r="88" spans="1:32" ht="150" customHeight="1" x14ac:dyDescent="0.25">
      <c r="A88" s="761">
        <v>744119</v>
      </c>
      <c r="B88" s="761" t="s">
        <v>143</v>
      </c>
      <c r="C88" s="761" t="s">
        <v>3820</v>
      </c>
      <c r="D88" s="761" t="s">
        <v>149</v>
      </c>
      <c r="E88" s="762">
        <v>44768</v>
      </c>
      <c r="F88" s="761" t="s">
        <v>1820</v>
      </c>
      <c r="G88" s="761" t="s">
        <v>15</v>
      </c>
      <c r="H88" s="761" t="s">
        <v>1821</v>
      </c>
      <c r="I88" s="761" t="s">
        <v>1822</v>
      </c>
      <c r="J88" s="761" t="s">
        <v>16</v>
      </c>
      <c r="K88" s="761" t="s">
        <v>327</v>
      </c>
      <c r="L88" s="761" t="s">
        <v>1823</v>
      </c>
      <c r="M88" s="761" t="s">
        <v>17</v>
      </c>
      <c r="N88" s="763" t="s">
        <v>1823</v>
      </c>
      <c r="O88" s="761" t="s">
        <v>1824</v>
      </c>
      <c r="P88" s="761" t="s">
        <v>17</v>
      </c>
      <c r="Q88" s="761" t="s">
        <v>17</v>
      </c>
      <c r="R88" s="761" t="s">
        <v>96</v>
      </c>
      <c r="S88" s="761" t="s">
        <v>1825</v>
      </c>
      <c r="T88" s="761" t="s">
        <v>55</v>
      </c>
      <c r="U88" s="761">
        <v>359.55</v>
      </c>
      <c r="V88" s="761" t="s">
        <v>17</v>
      </c>
      <c r="W88" s="761" t="s">
        <v>17</v>
      </c>
      <c r="X88" s="761" t="s">
        <v>17</v>
      </c>
      <c r="Y88" s="761" t="s">
        <v>17</v>
      </c>
      <c r="Z88" s="761" t="s">
        <v>17</v>
      </c>
      <c r="AA88" s="761" t="s">
        <v>17</v>
      </c>
      <c r="AB88" s="761" t="s">
        <v>17</v>
      </c>
      <c r="AC88" s="761" t="s">
        <v>815</v>
      </c>
      <c r="AD88" s="761" t="s">
        <v>19</v>
      </c>
      <c r="AE88" s="681" t="s">
        <v>17</v>
      </c>
      <c r="AF88" s="761" t="s">
        <v>3821</v>
      </c>
    </row>
    <row r="89" spans="1:32" ht="150" customHeight="1" x14ac:dyDescent="0.25">
      <c r="A89" s="761">
        <v>711752</v>
      </c>
      <c r="B89" s="761" t="s">
        <v>143</v>
      </c>
      <c r="C89" s="761" t="s">
        <v>1827</v>
      </c>
      <c r="D89" s="761" t="s">
        <v>159</v>
      </c>
      <c r="E89" s="762">
        <v>43103</v>
      </c>
      <c r="F89" s="761" t="s">
        <v>1828</v>
      </c>
      <c r="G89" s="761" t="s">
        <v>147</v>
      </c>
      <c r="H89" s="761" t="s">
        <v>1829</v>
      </c>
      <c r="I89" s="761" t="s">
        <v>1830</v>
      </c>
      <c r="J89" s="761" t="s">
        <v>16</v>
      </c>
      <c r="K89" s="761" t="s">
        <v>327</v>
      </c>
      <c r="L89" s="761" t="s">
        <v>1472</v>
      </c>
      <c r="M89" s="761" t="s">
        <v>23</v>
      </c>
      <c r="N89" s="761" t="s">
        <v>1473</v>
      </c>
      <c r="O89" s="761" t="s">
        <v>38</v>
      </c>
      <c r="P89" s="761" t="s">
        <v>23</v>
      </c>
      <c r="Q89" s="761" t="s">
        <v>23</v>
      </c>
      <c r="R89" s="793" t="s">
        <v>180</v>
      </c>
      <c r="S89" s="761" t="s">
        <v>17</v>
      </c>
      <c r="T89" s="681" t="s">
        <v>38</v>
      </c>
      <c r="U89" s="761" t="s">
        <v>23</v>
      </c>
      <c r="V89" s="761" t="s">
        <v>23</v>
      </c>
      <c r="W89" s="761" t="s">
        <v>23</v>
      </c>
      <c r="X89" s="761" t="s">
        <v>23</v>
      </c>
      <c r="Y89" s="761" t="s">
        <v>17</v>
      </c>
      <c r="Z89" s="761" t="s">
        <v>23</v>
      </c>
      <c r="AA89" s="761" t="s">
        <v>17</v>
      </c>
      <c r="AB89" s="761" t="s">
        <v>23</v>
      </c>
      <c r="AC89" s="761" t="s">
        <v>1831</v>
      </c>
      <c r="AD89" s="761" t="s">
        <v>19</v>
      </c>
      <c r="AE89" s="681" t="s">
        <v>17</v>
      </c>
      <c r="AF89" s="761" t="s">
        <v>1474</v>
      </c>
    </row>
    <row r="90" spans="1:32" ht="150" customHeight="1" x14ac:dyDescent="0.25">
      <c r="A90" s="768">
        <v>774792</v>
      </c>
      <c r="B90" s="768" t="s">
        <v>143</v>
      </c>
      <c r="C90" s="761" t="s">
        <v>3822</v>
      </c>
      <c r="D90" s="761" t="s">
        <v>204</v>
      </c>
      <c r="E90" s="762">
        <v>45243</v>
      </c>
      <c r="F90" s="761" t="s">
        <v>1548</v>
      </c>
      <c r="G90" s="761" t="s">
        <v>15</v>
      </c>
      <c r="H90" s="761" t="s">
        <v>296</v>
      </c>
      <c r="I90" s="768" t="s">
        <v>1913</v>
      </c>
      <c r="J90" s="761" t="s">
        <v>16</v>
      </c>
      <c r="K90" s="761" t="s">
        <v>298</v>
      </c>
      <c r="L90" s="761" t="s">
        <v>1914</v>
      </c>
      <c r="M90" s="761" t="s">
        <v>17</v>
      </c>
      <c r="N90" s="777" t="s">
        <v>1915</v>
      </c>
      <c r="O90" s="763" t="s">
        <v>17</v>
      </c>
      <c r="P90" s="771" t="s">
        <v>1916</v>
      </c>
      <c r="Q90" s="771" t="s">
        <v>17</v>
      </c>
      <c r="R90" s="761" t="s">
        <v>17</v>
      </c>
      <c r="S90" s="771" t="s">
        <v>17</v>
      </c>
      <c r="T90" s="799" t="s">
        <v>17</v>
      </c>
      <c r="U90" s="771" t="s">
        <v>17</v>
      </c>
      <c r="V90" s="771" t="s">
        <v>17</v>
      </c>
      <c r="W90" s="771" t="s">
        <v>17</v>
      </c>
      <c r="X90" s="771" t="s">
        <v>17</v>
      </c>
      <c r="Y90" s="771" t="s">
        <v>17</v>
      </c>
      <c r="Z90" s="771" t="s">
        <v>853</v>
      </c>
      <c r="AA90" s="771" t="s">
        <v>853</v>
      </c>
      <c r="AB90" s="771" t="s">
        <v>853</v>
      </c>
      <c r="AC90" s="761" t="s">
        <v>1917</v>
      </c>
      <c r="AD90" s="771" t="s">
        <v>19</v>
      </c>
      <c r="AE90" s="681" t="s">
        <v>17</v>
      </c>
      <c r="AF90" s="761" t="s">
        <v>1918</v>
      </c>
    </row>
    <row r="91" spans="1:32" ht="150" customHeight="1" x14ac:dyDescent="0.25">
      <c r="A91" s="801">
        <v>650108</v>
      </c>
      <c r="B91" s="801" t="s">
        <v>143</v>
      </c>
      <c r="C91" s="801" t="s">
        <v>1933</v>
      </c>
      <c r="D91" s="801" t="s">
        <v>149</v>
      </c>
      <c r="E91" s="762">
        <v>43724</v>
      </c>
      <c r="F91" s="801" t="s">
        <v>1934</v>
      </c>
      <c r="G91" s="801" t="s">
        <v>147</v>
      </c>
      <c r="H91" s="801" t="s">
        <v>1935</v>
      </c>
      <c r="I91" s="801" t="s">
        <v>1936</v>
      </c>
      <c r="J91" s="761" t="s">
        <v>16</v>
      </c>
      <c r="K91" s="771" t="s">
        <v>781</v>
      </c>
      <c r="L91" s="801" t="s">
        <v>1245</v>
      </c>
      <c r="M91" s="801" t="s">
        <v>17</v>
      </c>
      <c r="N91" s="763" t="s">
        <v>1262</v>
      </c>
      <c r="O91" s="801" t="s">
        <v>1937</v>
      </c>
      <c r="P91" s="801" t="s">
        <v>17</v>
      </c>
      <c r="Q91" s="801" t="s">
        <v>17</v>
      </c>
      <c r="R91" s="761" t="s">
        <v>96</v>
      </c>
      <c r="S91" s="801" t="s">
        <v>1938</v>
      </c>
      <c r="T91" s="681" t="s">
        <v>51</v>
      </c>
      <c r="U91" s="801">
        <v>135</v>
      </c>
      <c r="V91" s="801" t="s">
        <v>17</v>
      </c>
      <c r="W91" s="801" t="s">
        <v>17</v>
      </c>
      <c r="X91" s="801" t="s">
        <v>17</v>
      </c>
      <c r="Y91" s="801" t="s">
        <v>17</v>
      </c>
      <c r="Z91" s="801" t="s">
        <v>17</v>
      </c>
      <c r="AA91" s="801" t="s">
        <v>17</v>
      </c>
      <c r="AB91" s="801" t="s">
        <v>17</v>
      </c>
      <c r="AC91" s="801" t="s">
        <v>1939</v>
      </c>
      <c r="AD91" s="801" t="s">
        <v>19</v>
      </c>
      <c r="AE91" s="681" t="s">
        <v>17</v>
      </c>
      <c r="AF91" s="801" t="s">
        <v>1940</v>
      </c>
    </row>
    <row r="92" spans="1:32" ht="150" customHeight="1" x14ac:dyDescent="0.25">
      <c r="A92" s="761">
        <v>587999</v>
      </c>
      <c r="B92" s="761" t="s">
        <v>143</v>
      </c>
      <c r="C92" s="761" t="s">
        <v>1991</v>
      </c>
      <c r="D92" s="761" t="s">
        <v>159</v>
      </c>
      <c r="E92" s="762">
        <v>43238</v>
      </c>
      <c r="F92" s="761" t="s">
        <v>1992</v>
      </c>
      <c r="G92" s="761" t="s">
        <v>147</v>
      </c>
      <c r="H92" s="761" t="s">
        <v>944</v>
      </c>
      <c r="I92" s="761" t="s">
        <v>1993</v>
      </c>
      <c r="J92" s="761" t="s">
        <v>16</v>
      </c>
      <c r="K92" s="761" t="s">
        <v>327</v>
      </c>
      <c r="L92" s="761" t="s">
        <v>1994</v>
      </c>
      <c r="M92" s="761" t="s">
        <v>17</v>
      </c>
      <c r="N92" s="763" t="s">
        <v>1995</v>
      </c>
      <c r="O92" s="761" t="s">
        <v>1996</v>
      </c>
      <c r="P92" s="681" t="s">
        <v>17</v>
      </c>
      <c r="Q92" s="681" t="s">
        <v>17</v>
      </c>
      <c r="R92" s="761" t="s">
        <v>96</v>
      </c>
      <c r="S92" s="770" t="s">
        <v>1997</v>
      </c>
      <c r="T92" s="681" t="s">
        <v>41</v>
      </c>
      <c r="U92" s="765"/>
      <c r="V92" s="681" t="s">
        <v>17</v>
      </c>
      <c r="W92" s="766" t="s">
        <v>17</v>
      </c>
      <c r="X92" s="765" t="s">
        <v>17</v>
      </c>
      <c r="Y92" s="681" t="s">
        <v>17</v>
      </c>
      <c r="Z92" s="767">
        <v>44116</v>
      </c>
      <c r="AA92" s="767" t="s">
        <v>17</v>
      </c>
      <c r="AB92" s="681" t="s">
        <v>17</v>
      </c>
      <c r="AC92" s="681" t="s">
        <v>1998</v>
      </c>
      <c r="AD92" s="761" t="s">
        <v>22</v>
      </c>
      <c r="AE92" s="681" t="s">
        <v>17</v>
      </c>
      <c r="AF92" s="761" t="s">
        <v>1999</v>
      </c>
    </row>
    <row r="93" spans="1:32" ht="150" customHeight="1" x14ac:dyDescent="0.25">
      <c r="A93" s="761">
        <v>675674</v>
      </c>
      <c r="B93" s="761" t="s">
        <v>143</v>
      </c>
      <c r="C93" s="761" t="s">
        <v>2054</v>
      </c>
      <c r="D93" s="761" t="s">
        <v>156</v>
      </c>
      <c r="E93" s="762">
        <v>44306</v>
      </c>
      <c r="F93" s="761" t="s">
        <v>1143</v>
      </c>
      <c r="G93" s="761" t="s">
        <v>145</v>
      </c>
      <c r="H93" s="761" t="s">
        <v>2055</v>
      </c>
      <c r="I93" s="761" t="s">
        <v>2056</v>
      </c>
      <c r="J93" s="761" t="s">
        <v>16</v>
      </c>
      <c r="K93" s="761" t="s">
        <v>298</v>
      </c>
      <c r="L93" s="761" t="s">
        <v>2057</v>
      </c>
      <c r="M93" s="761" t="s">
        <v>23</v>
      </c>
      <c r="N93" s="763" t="s">
        <v>2058</v>
      </c>
      <c r="O93" s="761" t="s">
        <v>23</v>
      </c>
      <c r="P93" s="681" t="s">
        <v>23</v>
      </c>
      <c r="Q93" s="681" t="s">
        <v>23</v>
      </c>
      <c r="R93" s="761" t="s">
        <v>17</v>
      </c>
      <c r="S93" s="770" t="s">
        <v>17</v>
      </c>
      <c r="T93" s="799" t="s">
        <v>17</v>
      </c>
      <c r="U93" s="765" t="s">
        <v>23</v>
      </c>
      <c r="V93" s="681" t="s">
        <v>23</v>
      </c>
      <c r="W93" s="766" t="s">
        <v>23</v>
      </c>
      <c r="X93" s="765" t="s">
        <v>23</v>
      </c>
      <c r="Y93" s="681" t="s">
        <v>23</v>
      </c>
      <c r="Z93" s="767" t="s">
        <v>17</v>
      </c>
      <c r="AA93" s="767" t="s">
        <v>23</v>
      </c>
      <c r="AB93" s="681" t="s">
        <v>23</v>
      </c>
      <c r="AC93" s="681" t="s">
        <v>2059</v>
      </c>
      <c r="AD93" s="681" t="s">
        <v>19</v>
      </c>
      <c r="AE93" s="681" t="s">
        <v>17</v>
      </c>
      <c r="AF93" s="681" t="s">
        <v>768</v>
      </c>
    </row>
    <row r="94" spans="1:32" ht="150" customHeight="1" x14ac:dyDescent="0.25">
      <c r="A94" s="761">
        <v>684782</v>
      </c>
      <c r="B94" s="761" t="s">
        <v>143</v>
      </c>
      <c r="C94" s="761" t="s">
        <v>2109</v>
      </c>
      <c r="D94" s="761" t="s">
        <v>156</v>
      </c>
      <c r="E94" s="762">
        <v>44489</v>
      </c>
      <c r="F94" s="761" t="s">
        <v>704</v>
      </c>
      <c r="G94" s="761" t="s">
        <v>145</v>
      </c>
      <c r="H94" s="761" t="s">
        <v>2110</v>
      </c>
      <c r="I94" s="761" t="s">
        <v>2111</v>
      </c>
      <c r="J94" s="761" t="s">
        <v>16</v>
      </c>
      <c r="K94" s="771" t="s">
        <v>781</v>
      </c>
      <c r="L94" s="761" t="s">
        <v>2112</v>
      </c>
      <c r="M94" s="761" t="s">
        <v>23</v>
      </c>
      <c r="N94" s="763" t="s">
        <v>2113</v>
      </c>
      <c r="O94" s="761" t="s">
        <v>17</v>
      </c>
      <c r="P94" s="681" t="s">
        <v>17</v>
      </c>
      <c r="Q94" s="681" t="s">
        <v>17</v>
      </c>
      <c r="R94" s="761" t="s">
        <v>96</v>
      </c>
      <c r="S94" s="770" t="s">
        <v>17</v>
      </c>
      <c r="T94" s="799" t="s">
        <v>17</v>
      </c>
      <c r="U94" s="765" t="s">
        <v>17</v>
      </c>
      <c r="V94" s="761" t="s">
        <v>17</v>
      </c>
      <c r="W94" s="761" t="s">
        <v>17</v>
      </c>
      <c r="X94" s="761" t="s">
        <v>17</v>
      </c>
      <c r="Y94" s="761" t="s">
        <v>17</v>
      </c>
      <c r="Z94" s="761" t="s">
        <v>17</v>
      </c>
      <c r="AA94" s="761" t="s">
        <v>17</v>
      </c>
      <c r="AB94" s="761" t="s">
        <v>17</v>
      </c>
      <c r="AC94" s="681" t="s">
        <v>2114</v>
      </c>
      <c r="AD94" s="681" t="s">
        <v>19</v>
      </c>
      <c r="AE94" s="681" t="s">
        <v>17</v>
      </c>
      <c r="AF94" s="761" t="s">
        <v>768</v>
      </c>
    </row>
    <row r="95" spans="1:32" ht="150" customHeight="1" x14ac:dyDescent="0.25">
      <c r="A95" s="761">
        <v>15834</v>
      </c>
      <c r="B95" s="761" t="s">
        <v>143</v>
      </c>
      <c r="C95" s="761" t="s">
        <v>2175</v>
      </c>
      <c r="D95" s="761" t="s">
        <v>166</v>
      </c>
      <c r="E95" s="762">
        <v>33940</v>
      </c>
      <c r="F95" s="761" t="s">
        <v>403</v>
      </c>
      <c r="G95" s="761" t="s">
        <v>145</v>
      </c>
      <c r="H95" s="761" t="s">
        <v>2176</v>
      </c>
      <c r="I95" s="761" t="s">
        <v>2177</v>
      </c>
      <c r="J95" s="761" t="s">
        <v>16</v>
      </c>
      <c r="K95" s="761" t="s">
        <v>327</v>
      </c>
      <c r="L95" s="761" t="s">
        <v>983</v>
      </c>
      <c r="M95" s="761" t="s">
        <v>17</v>
      </c>
      <c r="N95" s="763" t="s">
        <v>2178</v>
      </c>
      <c r="O95" s="761" t="s">
        <v>23</v>
      </c>
      <c r="P95" s="681" t="s">
        <v>23</v>
      </c>
      <c r="Q95" s="681" t="s">
        <v>23</v>
      </c>
      <c r="R95" s="793" t="s">
        <v>180</v>
      </c>
      <c r="S95" s="681" t="s">
        <v>23</v>
      </c>
      <c r="T95" s="681" t="s">
        <v>187</v>
      </c>
      <c r="U95" s="765" t="s">
        <v>23</v>
      </c>
      <c r="V95" s="681" t="s">
        <v>23</v>
      </c>
      <c r="W95" s="766" t="s">
        <v>23</v>
      </c>
      <c r="X95" s="681" t="s">
        <v>23</v>
      </c>
      <c r="Y95" s="681" t="s">
        <v>23</v>
      </c>
      <c r="Z95" s="767" t="s">
        <v>23</v>
      </c>
      <c r="AA95" s="767" t="s">
        <v>23</v>
      </c>
      <c r="AB95" s="681" t="s">
        <v>23</v>
      </c>
      <c r="AC95" s="681" t="s">
        <v>2179</v>
      </c>
      <c r="AD95" s="681" t="s">
        <v>188</v>
      </c>
      <c r="AE95" s="681" t="s">
        <v>17</v>
      </c>
      <c r="AF95" s="761" t="s">
        <v>1925</v>
      </c>
    </row>
    <row r="96" spans="1:32" ht="150" customHeight="1" x14ac:dyDescent="0.25">
      <c r="A96" s="761">
        <v>617495</v>
      </c>
      <c r="B96" s="761" t="s">
        <v>143</v>
      </c>
      <c r="C96" s="761" t="s">
        <v>2180</v>
      </c>
      <c r="D96" s="761" t="s">
        <v>189</v>
      </c>
      <c r="E96" s="762">
        <v>43322</v>
      </c>
      <c r="F96" s="761" t="s">
        <v>2181</v>
      </c>
      <c r="G96" s="761" t="s">
        <v>147</v>
      </c>
      <c r="H96" s="761" t="s">
        <v>2182</v>
      </c>
      <c r="I96" s="761" t="s">
        <v>2183</v>
      </c>
      <c r="J96" s="761" t="s">
        <v>16</v>
      </c>
      <c r="K96" s="761" t="s">
        <v>327</v>
      </c>
      <c r="L96" s="761" t="s">
        <v>2184</v>
      </c>
      <c r="M96" s="761" t="s">
        <v>17</v>
      </c>
      <c r="N96" s="763" t="s">
        <v>2185</v>
      </c>
      <c r="O96" s="761" t="s">
        <v>2186</v>
      </c>
      <c r="P96" s="681" t="s">
        <v>2187</v>
      </c>
      <c r="Q96" s="681" t="s">
        <v>17</v>
      </c>
      <c r="R96" s="761" t="s">
        <v>96</v>
      </c>
      <c r="S96" s="770" t="s">
        <v>2188</v>
      </c>
      <c r="T96" s="681" t="s">
        <v>59</v>
      </c>
      <c r="U96" s="681" t="s">
        <v>205</v>
      </c>
      <c r="V96" s="681" t="s">
        <v>17</v>
      </c>
      <c r="W96" s="766" t="s">
        <v>17</v>
      </c>
      <c r="X96" s="765" t="s">
        <v>17</v>
      </c>
      <c r="Y96" s="681" t="s">
        <v>17</v>
      </c>
      <c r="Z96" s="767" t="s">
        <v>17</v>
      </c>
      <c r="AA96" s="767" t="s">
        <v>17</v>
      </c>
      <c r="AB96" s="681" t="s">
        <v>17</v>
      </c>
      <c r="AC96" s="681" t="s">
        <v>2189</v>
      </c>
      <c r="AD96" s="681" t="s">
        <v>19</v>
      </c>
      <c r="AE96" s="681" t="s">
        <v>17</v>
      </c>
      <c r="AF96" s="761" t="s">
        <v>2190</v>
      </c>
    </row>
    <row r="97" spans="1:32" ht="150" customHeight="1" x14ac:dyDescent="0.25">
      <c r="A97" s="771">
        <v>723131</v>
      </c>
      <c r="B97" s="771" t="s">
        <v>143</v>
      </c>
      <c r="C97" s="782" t="s">
        <v>3823</v>
      </c>
      <c r="D97" s="771" t="s">
        <v>151</v>
      </c>
      <c r="E97" s="762">
        <v>44600</v>
      </c>
      <c r="F97" s="771" t="s">
        <v>2246</v>
      </c>
      <c r="G97" s="761" t="s">
        <v>15</v>
      </c>
      <c r="H97" s="771" t="s">
        <v>2247</v>
      </c>
      <c r="I97" s="761" t="s">
        <v>1206</v>
      </c>
      <c r="J97" s="761" t="s">
        <v>16</v>
      </c>
      <c r="K97" s="761" t="s">
        <v>298</v>
      </c>
      <c r="L97" s="761" t="s">
        <v>2248</v>
      </c>
      <c r="M97" s="761" t="s">
        <v>17</v>
      </c>
      <c r="N97" s="763" t="s">
        <v>2249</v>
      </c>
      <c r="O97" s="771" t="s">
        <v>516</v>
      </c>
      <c r="P97" s="761" t="s">
        <v>17</v>
      </c>
      <c r="Q97" s="761" t="s">
        <v>17</v>
      </c>
      <c r="R97" s="681" t="s">
        <v>163</v>
      </c>
      <c r="S97" s="761" t="s">
        <v>460</v>
      </c>
      <c r="T97" s="681" t="s">
        <v>38</v>
      </c>
      <c r="U97" s="771" t="s">
        <v>206</v>
      </c>
      <c r="V97" s="771" t="s">
        <v>17</v>
      </c>
      <c r="W97" s="771" t="s">
        <v>17</v>
      </c>
      <c r="X97" s="771" t="s">
        <v>17</v>
      </c>
      <c r="Y97" s="771" t="s">
        <v>17</v>
      </c>
      <c r="Z97" s="771" t="s">
        <v>17</v>
      </c>
      <c r="AA97" s="771" t="s">
        <v>17</v>
      </c>
      <c r="AB97" s="771" t="s">
        <v>17</v>
      </c>
      <c r="AC97" s="761" t="s">
        <v>2250</v>
      </c>
      <c r="AD97" s="771" t="s">
        <v>19</v>
      </c>
      <c r="AE97" s="681" t="s">
        <v>17</v>
      </c>
      <c r="AF97" s="771" t="s">
        <v>2251</v>
      </c>
    </row>
    <row r="98" spans="1:32" ht="150" customHeight="1" x14ac:dyDescent="0.25">
      <c r="A98" s="761">
        <v>750157</v>
      </c>
      <c r="B98" s="761" t="s">
        <v>143</v>
      </c>
      <c r="C98" s="761" t="s">
        <v>2271</v>
      </c>
      <c r="D98" s="761" t="s">
        <v>159</v>
      </c>
      <c r="E98" s="762">
        <v>43383</v>
      </c>
      <c r="F98" s="761" t="s">
        <v>2272</v>
      </c>
      <c r="G98" s="761" t="s">
        <v>147</v>
      </c>
      <c r="H98" s="761" t="s">
        <v>2273</v>
      </c>
      <c r="I98" s="761" t="s">
        <v>2274</v>
      </c>
      <c r="J98" s="761" t="s">
        <v>16</v>
      </c>
      <c r="K98" s="761" t="s">
        <v>327</v>
      </c>
      <c r="L98" s="761" t="s">
        <v>2275</v>
      </c>
      <c r="M98" s="761" t="s">
        <v>23</v>
      </c>
      <c r="N98" s="761" t="s">
        <v>2276</v>
      </c>
      <c r="O98" s="761" t="s">
        <v>43</v>
      </c>
      <c r="P98" s="761" t="s">
        <v>23</v>
      </c>
      <c r="Q98" s="761" t="s">
        <v>23</v>
      </c>
      <c r="R98" s="681" t="s">
        <v>163</v>
      </c>
      <c r="S98" s="761" t="s">
        <v>2277</v>
      </c>
      <c r="T98" s="681" t="s">
        <v>43</v>
      </c>
      <c r="U98" s="761" t="s">
        <v>23</v>
      </c>
      <c r="V98" s="761" t="s">
        <v>23</v>
      </c>
      <c r="W98" s="761" t="s">
        <v>23</v>
      </c>
      <c r="X98" s="761" t="s">
        <v>23</v>
      </c>
      <c r="Y98" s="761" t="s">
        <v>17</v>
      </c>
      <c r="Z98" s="761" t="s">
        <v>23</v>
      </c>
      <c r="AA98" s="761" t="s">
        <v>17</v>
      </c>
      <c r="AB98" s="761" t="s">
        <v>23</v>
      </c>
      <c r="AC98" s="761" t="s">
        <v>2278</v>
      </c>
      <c r="AD98" s="761" t="s">
        <v>19</v>
      </c>
      <c r="AE98" s="681" t="s">
        <v>17</v>
      </c>
      <c r="AF98" s="761" t="s">
        <v>2279</v>
      </c>
    </row>
    <row r="99" spans="1:32" ht="150" customHeight="1" x14ac:dyDescent="0.25">
      <c r="A99" s="801">
        <v>622600</v>
      </c>
      <c r="B99" s="801" t="s">
        <v>143</v>
      </c>
      <c r="C99" s="801" t="s">
        <v>2280</v>
      </c>
      <c r="D99" s="761" t="s">
        <v>144</v>
      </c>
      <c r="E99" s="762">
        <v>43783</v>
      </c>
      <c r="F99" s="801" t="s">
        <v>2281</v>
      </c>
      <c r="G99" s="761" t="s">
        <v>145</v>
      </c>
      <c r="H99" s="801" t="s">
        <v>296</v>
      </c>
      <c r="I99" s="801" t="s">
        <v>2282</v>
      </c>
      <c r="J99" s="761" t="s">
        <v>16</v>
      </c>
      <c r="K99" s="761" t="s">
        <v>298</v>
      </c>
      <c r="L99" s="801" t="s">
        <v>307</v>
      </c>
      <c r="M99" s="801" t="s">
        <v>17</v>
      </c>
      <c r="N99" s="763" t="s">
        <v>17</v>
      </c>
      <c r="O99" s="801" t="s">
        <v>2283</v>
      </c>
      <c r="P99" s="801" t="s">
        <v>17</v>
      </c>
      <c r="Q99" s="801" t="s">
        <v>17</v>
      </c>
      <c r="R99" s="761" t="s">
        <v>96</v>
      </c>
      <c r="S99" s="801" t="s">
        <v>2284</v>
      </c>
      <c r="T99" s="801" t="s">
        <v>157</v>
      </c>
      <c r="U99" s="801" t="s">
        <v>17</v>
      </c>
      <c r="V99" s="801" t="s">
        <v>17</v>
      </c>
      <c r="W99" s="801" t="s">
        <v>17</v>
      </c>
      <c r="X99" s="801" t="s">
        <v>17</v>
      </c>
      <c r="Y99" s="801" t="s">
        <v>17</v>
      </c>
      <c r="Z99" s="801" t="s">
        <v>17</v>
      </c>
      <c r="AA99" s="801" t="s">
        <v>17</v>
      </c>
      <c r="AB99" s="801" t="s">
        <v>17</v>
      </c>
      <c r="AC99" s="801" t="s">
        <v>2285</v>
      </c>
      <c r="AD99" s="801" t="s">
        <v>19</v>
      </c>
      <c r="AE99" s="681" t="s">
        <v>17</v>
      </c>
      <c r="AF99" s="801" t="s">
        <v>2286</v>
      </c>
    </row>
    <row r="100" spans="1:32" ht="150" customHeight="1" x14ac:dyDescent="0.25">
      <c r="A100" s="801" t="s">
        <v>207</v>
      </c>
      <c r="B100" s="801" t="s">
        <v>143</v>
      </c>
      <c r="C100" s="801" t="s">
        <v>2287</v>
      </c>
      <c r="D100" s="761" t="s">
        <v>204</v>
      </c>
      <c r="E100" s="762">
        <v>43783</v>
      </c>
      <c r="F100" s="801" t="s">
        <v>2288</v>
      </c>
      <c r="G100" s="761" t="s">
        <v>145</v>
      </c>
      <c r="H100" s="801" t="s">
        <v>296</v>
      </c>
      <c r="I100" s="801" t="s">
        <v>2289</v>
      </c>
      <c r="J100" s="761" t="s">
        <v>16</v>
      </c>
      <c r="K100" s="761" t="s">
        <v>298</v>
      </c>
      <c r="L100" s="801" t="s">
        <v>2290</v>
      </c>
      <c r="M100" s="801" t="s">
        <v>17</v>
      </c>
      <c r="N100" s="763" t="s">
        <v>17</v>
      </c>
      <c r="O100" s="801" t="s">
        <v>17</v>
      </c>
      <c r="P100" s="801" t="s">
        <v>17</v>
      </c>
      <c r="Q100" s="801" t="s">
        <v>17</v>
      </c>
      <c r="R100" s="761" t="s">
        <v>96</v>
      </c>
      <c r="S100" s="801" t="s">
        <v>2291</v>
      </c>
      <c r="T100" s="801" t="s">
        <v>21</v>
      </c>
      <c r="U100" s="801" t="s">
        <v>17</v>
      </c>
      <c r="V100" s="801" t="s">
        <v>17</v>
      </c>
      <c r="W100" s="801" t="s">
        <v>17</v>
      </c>
      <c r="X100" s="801" t="s">
        <v>17</v>
      </c>
      <c r="Y100" s="801" t="s">
        <v>17</v>
      </c>
      <c r="Z100" s="801" t="s">
        <v>17</v>
      </c>
      <c r="AA100" s="801" t="s">
        <v>17</v>
      </c>
      <c r="AB100" s="801" t="s">
        <v>17</v>
      </c>
      <c r="AC100" s="801" t="s">
        <v>2292</v>
      </c>
      <c r="AD100" s="801" t="s">
        <v>19</v>
      </c>
      <c r="AE100" s="681" t="s">
        <v>17</v>
      </c>
      <c r="AF100" s="801" t="s">
        <v>2286</v>
      </c>
    </row>
    <row r="101" spans="1:32" ht="150" customHeight="1" x14ac:dyDescent="0.25">
      <c r="A101" s="761">
        <v>653345</v>
      </c>
      <c r="B101" s="761" t="s">
        <v>143</v>
      </c>
      <c r="C101" s="761" t="s">
        <v>2293</v>
      </c>
      <c r="D101" s="761" t="s">
        <v>149</v>
      </c>
      <c r="E101" s="762">
        <v>43524</v>
      </c>
      <c r="F101" s="763" t="s">
        <v>2294</v>
      </c>
      <c r="G101" s="768" t="s">
        <v>147</v>
      </c>
      <c r="H101" s="763" t="s">
        <v>2295</v>
      </c>
      <c r="I101" s="761" t="s">
        <v>2296</v>
      </c>
      <c r="J101" s="761" t="s">
        <v>16</v>
      </c>
      <c r="K101" s="771" t="s">
        <v>781</v>
      </c>
      <c r="L101" s="761" t="s">
        <v>1245</v>
      </c>
      <c r="M101" s="761" t="s">
        <v>17</v>
      </c>
      <c r="N101" s="763" t="s">
        <v>2297</v>
      </c>
      <c r="O101" s="761" t="s">
        <v>2298</v>
      </c>
      <c r="P101" s="681" t="s">
        <v>17</v>
      </c>
      <c r="Q101" s="681" t="s">
        <v>17</v>
      </c>
      <c r="R101" s="761" t="s">
        <v>96</v>
      </c>
      <c r="S101" s="763" t="s">
        <v>2299</v>
      </c>
      <c r="T101" s="681" t="s">
        <v>157</v>
      </c>
      <c r="U101" s="765" t="s">
        <v>208</v>
      </c>
      <c r="V101" s="681" t="s">
        <v>17</v>
      </c>
      <c r="W101" s="766" t="s">
        <v>17</v>
      </c>
      <c r="X101" s="765" t="s">
        <v>17</v>
      </c>
      <c r="Y101" s="681" t="s">
        <v>17</v>
      </c>
      <c r="Z101" s="767" t="s">
        <v>17</v>
      </c>
      <c r="AA101" s="767" t="s">
        <v>17</v>
      </c>
      <c r="AB101" s="681" t="s">
        <v>17</v>
      </c>
      <c r="AC101" s="681" t="s">
        <v>2300</v>
      </c>
      <c r="AD101" s="681" t="s">
        <v>19</v>
      </c>
      <c r="AE101" s="681" t="s">
        <v>17</v>
      </c>
      <c r="AF101" s="761" t="s">
        <v>2301</v>
      </c>
    </row>
    <row r="102" spans="1:32" ht="150" customHeight="1" x14ac:dyDescent="0.25">
      <c r="A102" s="761">
        <v>653348</v>
      </c>
      <c r="B102" s="761" t="s">
        <v>143</v>
      </c>
      <c r="C102" s="761" t="s">
        <v>2302</v>
      </c>
      <c r="D102" s="761" t="s">
        <v>149</v>
      </c>
      <c r="E102" s="762">
        <v>43538</v>
      </c>
      <c r="F102" s="763" t="s">
        <v>2303</v>
      </c>
      <c r="G102" s="768" t="s">
        <v>147</v>
      </c>
      <c r="H102" s="763" t="s">
        <v>2304</v>
      </c>
      <c r="I102" s="763" t="s">
        <v>2305</v>
      </c>
      <c r="J102" s="761" t="s">
        <v>16</v>
      </c>
      <c r="K102" s="771" t="s">
        <v>781</v>
      </c>
      <c r="L102" s="761" t="s">
        <v>1245</v>
      </c>
      <c r="M102" s="761" t="s">
        <v>17</v>
      </c>
      <c r="N102" s="763" t="s">
        <v>2306</v>
      </c>
      <c r="O102" s="761" t="s">
        <v>2307</v>
      </c>
      <c r="P102" s="681" t="s">
        <v>17</v>
      </c>
      <c r="Q102" s="681" t="s">
        <v>17</v>
      </c>
      <c r="R102" s="761" t="s">
        <v>96</v>
      </c>
      <c r="S102" s="763" t="s">
        <v>2308</v>
      </c>
      <c r="T102" s="681" t="s">
        <v>157</v>
      </c>
      <c r="U102" s="765" t="s">
        <v>209</v>
      </c>
      <c r="V102" s="681" t="s">
        <v>17</v>
      </c>
      <c r="W102" s="681" t="s">
        <v>17</v>
      </c>
      <c r="X102" s="681" t="s">
        <v>17</v>
      </c>
      <c r="Y102" s="681" t="s">
        <v>17</v>
      </c>
      <c r="Z102" s="681" t="s">
        <v>17</v>
      </c>
      <c r="AA102" s="681" t="s">
        <v>17</v>
      </c>
      <c r="AB102" s="681" t="s">
        <v>17</v>
      </c>
      <c r="AC102" s="681" t="s">
        <v>2309</v>
      </c>
      <c r="AD102" s="681" t="s">
        <v>19</v>
      </c>
      <c r="AE102" s="681" t="s">
        <v>17</v>
      </c>
      <c r="AF102" s="761" t="s">
        <v>2310</v>
      </c>
    </row>
    <row r="103" spans="1:32" ht="150" customHeight="1" x14ac:dyDescent="0.25">
      <c r="A103" s="761">
        <v>610364</v>
      </c>
      <c r="B103" s="761" t="s">
        <v>143</v>
      </c>
      <c r="C103" s="761" t="s">
        <v>2311</v>
      </c>
      <c r="D103" s="761" t="s">
        <v>189</v>
      </c>
      <c r="E103" s="762">
        <v>43698</v>
      </c>
      <c r="F103" s="761" t="s">
        <v>2312</v>
      </c>
      <c r="G103" s="761" t="s">
        <v>147</v>
      </c>
      <c r="H103" s="761" t="s">
        <v>296</v>
      </c>
      <c r="I103" s="761" t="s">
        <v>2313</v>
      </c>
      <c r="J103" s="761" t="s">
        <v>16</v>
      </c>
      <c r="K103" s="761" t="s">
        <v>298</v>
      </c>
      <c r="L103" s="761" t="s">
        <v>2314</v>
      </c>
      <c r="M103" s="761" t="s">
        <v>17</v>
      </c>
      <c r="N103" s="763" t="s">
        <v>2315</v>
      </c>
      <c r="O103" s="761" t="s">
        <v>2316</v>
      </c>
      <c r="P103" s="681" t="s">
        <v>17</v>
      </c>
      <c r="Q103" s="681" t="s">
        <v>17</v>
      </c>
      <c r="R103" s="761" t="s">
        <v>148</v>
      </c>
      <c r="S103" s="770" t="s">
        <v>1807</v>
      </c>
      <c r="T103" s="681" t="s">
        <v>43</v>
      </c>
      <c r="U103" s="765" t="s">
        <v>17</v>
      </c>
      <c r="V103" s="681" t="s">
        <v>17</v>
      </c>
      <c r="W103" s="766" t="s">
        <v>17</v>
      </c>
      <c r="X103" s="765" t="s">
        <v>17</v>
      </c>
      <c r="Y103" s="681" t="s">
        <v>17</v>
      </c>
      <c r="Z103" s="767" t="s">
        <v>17</v>
      </c>
      <c r="AA103" s="767" t="s">
        <v>17</v>
      </c>
      <c r="AB103" s="681" t="s">
        <v>17</v>
      </c>
      <c r="AC103" s="681" t="s">
        <v>2317</v>
      </c>
      <c r="AD103" s="681" t="s">
        <v>24</v>
      </c>
      <c r="AE103" s="681" t="s">
        <v>17</v>
      </c>
      <c r="AF103" s="761" t="s">
        <v>448</v>
      </c>
    </row>
    <row r="104" spans="1:32" ht="150" customHeight="1" x14ac:dyDescent="0.25">
      <c r="A104" s="761">
        <v>622464</v>
      </c>
      <c r="B104" s="761" t="s">
        <v>143</v>
      </c>
      <c r="C104" s="761" t="s">
        <v>3824</v>
      </c>
      <c r="D104" s="761" t="s">
        <v>149</v>
      </c>
      <c r="E104" s="762">
        <v>43776</v>
      </c>
      <c r="F104" s="761" t="s">
        <v>2319</v>
      </c>
      <c r="G104" s="761" t="s">
        <v>15</v>
      </c>
      <c r="H104" s="761" t="s">
        <v>296</v>
      </c>
      <c r="I104" s="761" t="s">
        <v>2320</v>
      </c>
      <c r="J104" s="761" t="s">
        <v>16</v>
      </c>
      <c r="K104" s="761" t="s">
        <v>298</v>
      </c>
      <c r="L104" s="771" t="s">
        <v>2321</v>
      </c>
      <c r="M104" s="761" t="s">
        <v>17</v>
      </c>
      <c r="N104" s="763" t="s">
        <v>2322</v>
      </c>
      <c r="O104" s="771" t="s">
        <v>2323</v>
      </c>
      <c r="P104" s="681" t="s">
        <v>17</v>
      </c>
      <c r="Q104" s="681" t="s">
        <v>17</v>
      </c>
      <c r="R104" s="761" t="s">
        <v>17</v>
      </c>
      <c r="S104" s="770" t="s">
        <v>2324</v>
      </c>
      <c r="T104" s="771" t="s">
        <v>18</v>
      </c>
      <c r="U104" s="808">
        <v>17387</v>
      </c>
      <c r="V104" s="809">
        <v>6000000000</v>
      </c>
      <c r="W104" s="766" t="s">
        <v>17</v>
      </c>
      <c r="X104" s="766" t="s">
        <v>17</v>
      </c>
      <c r="Y104" s="766" t="s">
        <v>17</v>
      </c>
      <c r="Z104" s="766" t="s">
        <v>17</v>
      </c>
      <c r="AA104" s="766" t="s">
        <v>17</v>
      </c>
      <c r="AB104" s="766" t="s">
        <v>17</v>
      </c>
      <c r="AC104" s="761" t="s">
        <v>3825</v>
      </c>
      <c r="AD104" s="681" t="s">
        <v>19</v>
      </c>
      <c r="AE104" s="681" t="s">
        <v>17</v>
      </c>
      <c r="AF104" s="761" t="s">
        <v>3826</v>
      </c>
    </row>
    <row r="105" spans="1:32" ht="150" customHeight="1" x14ac:dyDescent="0.25">
      <c r="A105" s="768">
        <v>681919</v>
      </c>
      <c r="B105" s="761" t="s">
        <v>143</v>
      </c>
      <c r="C105" s="761" t="s">
        <v>3827</v>
      </c>
      <c r="D105" s="761" t="s">
        <v>159</v>
      </c>
      <c r="E105" s="762">
        <v>44439</v>
      </c>
      <c r="F105" s="788" t="s">
        <v>2358</v>
      </c>
      <c r="G105" s="761" t="s">
        <v>15</v>
      </c>
      <c r="H105" s="763" t="s">
        <v>296</v>
      </c>
      <c r="I105" s="763" t="s">
        <v>2359</v>
      </c>
      <c r="J105" s="761" t="s">
        <v>16</v>
      </c>
      <c r="K105" s="761" t="s">
        <v>298</v>
      </c>
      <c r="L105" s="761" t="s">
        <v>159</v>
      </c>
      <c r="M105" s="761" t="s">
        <v>460</v>
      </c>
      <c r="N105" s="810" t="s">
        <v>3828</v>
      </c>
      <c r="O105" s="761" t="s">
        <v>2361</v>
      </c>
      <c r="P105" s="681" t="s">
        <v>17</v>
      </c>
      <c r="Q105" s="793" t="s">
        <v>17</v>
      </c>
      <c r="R105" s="761" t="s">
        <v>148</v>
      </c>
      <c r="S105" s="763" t="s">
        <v>2362</v>
      </c>
      <c r="T105" s="681" t="s">
        <v>46</v>
      </c>
      <c r="U105" s="793" t="s">
        <v>210</v>
      </c>
      <c r="V105" s="794" t="s">
        <v>17</v>
      </c>
      <c r="W105" s="794" t="s">
        <v>17</v>
      </c>
      <c r="X105" s="794" t="s">
        <v>17</v>
      </c>
      <c r="Y105" s="794" t="s">
        <v>17</v>
      </c>
      <c r="Z105" s="794" t="s">
        <v>17</v>
      </c>
      <c r="AA105" s="794" t="s">
        <v>17</v>
      </c>
      <c r="AB105" s="794" t="s">
        <v>17</v>
      </c>
      <c r="AC105" s="681" t="s">
        <v>2363</v>
      </c>
      <c r="AD105" s="681" t="s">
        <v>19</v>
      </c>
      <c r="AE105" s="681" t="s">
        <v>17</v>
      </c>
      <c r="AF105" s="761" t="s">
        <v>3829</v>
      </c>
    </row>
    <row r="106" spans="1:32" ht="150" customHeight="1" x14ac:dyDescent="0.25">
      <c r="A106" s="761">
        <v>651225</v>
      </c>
      <c r="B106" s="761" t="s">
        <v>143</v>
      </c>
      <c r="C106" s="763" t="s">
        <v>3830</v>
      </c>
      <c r="D106" s="761" t="s">
        <v>149</v>
      </c>
      <c r="E106" s="762">
        <v>42354</v>
      </c>
      <c r="F106" s="763" t="s">
        <v>2366</v>
      </c>
      <c r="G106" s="761" t="s">
        <v>15</v>
      </c>
      <c r="H106" s="763" t="s">
        <v>2367</v>
      </c>
      <c r="I106" s="763" t="s">
        <v>2368</v>
      </c>
      <c r="J106" s="761" t="s">
        <v>16</v>
      </c>
      <c r="K106" s="761" t="s">
        <v>327</v>
      </c>
      <c r="L106" s="761" t="s">
        <v>149</v>
      </c>
      <c r="M106" s="761" t="s">
        <v>460</v>
      </c>
      <c r="N106" s="805" t="s">
        <v>2369</v>
      </c>
      <c r="O106" s="761" t="s">
        <v>1333</v>
      </c>
      <c r="P106" s="681" t="s">
        <v>17</v>
      </c>
      <c r="Q106" s="681" t="s">
        <v>17</v>
      </c>
      <c r="R106" s="771" t="s">
        <v>211</v>
      </c>
      <c r="S106" s="763" t="s">
        <v>2370</v>
      </c>
      <c r="T106" s="761" t="s">
        <v>157</v>
      </c>
      <c r="V106" s="771" t="s">
        <v>17</v>
      </c>
      <c r="W106" s="771" t="s">
        <v>17</v>
      </c>
      <c r="X106" s="771" t="s">
        <v>17</v>
      </c>
      <c r="Y106" s="771" t="s">
        <v>17</v>
      </c>
      <c r="Z106" s="771" t="s">
        <v>17</v>
      </c>
      <c r="AA106" s="771" t="s">
        <v>17</v>
      </c>
      <c r="AB106" s="771" t="s">
        <v>17</v>
      </c>
      <c r="AC106" s="761" t="s">
        <v>2371</v>
      </c>
      <c r="AD106" s="761" t="s">
        <v>19</v>
      </c>
      <c r="AE106" s="681" t="s">
        <v>17</v>
      </c>
      <c r="AF106" s="761" t="s">
        <v>3831</v>
      </c>
    </row>
    <row r="107" spans="1:32" ht="150" customHeight="1" x14ac:dyDescent="0.25">
      <c r="A107" s="761">
        <v>670186</v>
      </c>
      <c r="B107" s="761" t="s">
        <v>143</v>
      </c>
      <c r="C107" s="761" t="s">
        <v>2373</v>
      </c>
      <c r="D107" s="761" t="s">
        <v>149</v>
      </c>
      <c r="E107" s="762">
        <v>43524</v>
      </c>
      <c r="F107" s="761" t="s">
        <v>487</v>
      </c>
      <c r="G107" s="761" t="s">
        <v>147</v>
      </c>
      <c r="H107" s="761" t="s">
        <v>2374</v>
      </c>
      <c r="I107" s="761" t="s">
        <v>2375</v>
      </c>
      <c r="J107" s="761" t="s">
        <v>16</v>
      </c>
      <c r="K107" s="761" t="s">
        <v>327</v>
      </c>
      <c r="L107" s="761" t="s">
        <v>1245</v>
      </c>
      <c r="M107" s="761" t="s">
        <v>17</v>
      </c>
      <c r="N107" s="763" t="s">
        <v>2376</v>
      </c>
      <c r="O107" s="761" t="s">
        <v>2377</v>
      </c>
      <c r="P107" s="681" t="s">
        <v>17</v>
      </c>
      <c r="Q107" s="681" t="s">
        <v>17</v>
      </c>
      <c r="R107" s="761" t="s">
        <v>96</v>
      </c>
      <c r="S107" s="770" t="s">
        <v>2378</v>
      </c>
      <c r="T107" s="681" t="s">
        <v>85</v>
      </c>
      <c r="U107" s="765" t="s">
        <v>183</v>
      </c>
      <c r="V107" s="681" t="s">
        <v>17</v>
      </c>
      <c r="W107" s="766" t="s">
        <v>17</v>
      </c>
      <c r="X107" s="765" t="s">
        <v>17</v>
      </c>
      <c r="Y107" s="681" t="s">
        <v>17</v>
      </c>
      <c r="Z107" s="767" t="s">
        <v>17</v>
      </c>
      <c r="AA107" s="767" t="s">
        <v>17</v>
      </c>
      <c r="AB107" s="681" t="s">
        <v>17</v>
      </c>
      <c r="AC107" s="767" t="s">
        <v>2379</v>
      </c>
      <c r="AD107" s="681" t="s">
        <v>19</v>
      </c>
      <c r="AE107" s="681" t="s">
        <v>17</v>
      </c>
      <c r="AF107" s="761" t="s">
        <v>2380</v>
      </c>
    </row>
    <row r="108" spans="1:32" ht="150" customHeight="1" x14ac:dyDescent="0.25">
      <c r="A108" s="761">
        <v>653354</v>
      </c>
      <c r="B108" s="761" t="s">
        <v>143</v>
      </c>
      <c r="C108" s="761" t="s">
        <v>2381</v>
      </c>
      <c r="D108" s="761" t="s">
        <v>149</v>
      </c>
      <c r="E108" s="762">
        <v>43685</v>
      </c>
      <c r="F108" s="763" t="s">
        <v>2382</v>
      </c>
      <c r="G108" s="768" t="s">
        <v>147</v>
      </c>
      <c r="H108" s="763" t="s">
        <v>2383</v>
      </c>
      <c r="I108" s="761" t="s">
        <v>2384</v>
      </c>
      <c r="J108" s="761" t="s">
        <v>16</v>
      </c>
      <c r="K108" s="771" t="s">
        <v>781</v>
      </c>
      <c r="L108" s="761" t="s">
        <v>1245</v>
      </c>
      <c r="M108" s="761" t="s">
        <v>17</v>
      </c>
      <c r="N108" s="763" t="s">
        <v>2385</v>
      </c>
      <c r="O108" s="761" t="s">
        <v>2386</v>
      </c>
      <c r="P108" s="681" t="s">
        <v>17</v>
      </c>
      <c r="Q108" s="681" t="s">
        <v>17</v>
      </c>
      <c r="R108" s="761" t="s">
        <v>96</v>
      </c>
      <c r="S108" s="763" t="s">
        <v>2387</v>
      </c>
      <c r="T108" s="681" t="s">
        <v>212</v>
      </c>
      <c r="U108" s="765" t="s">
        <v>213</v>
      </c>
      <c r="V108" s="681" t="s">
        <v>17</v>
      </c>
      <c r="W108" s="681" t="s">
        <v>17</v>
      </c>
      <c r="X108" s="681" t="s">
        <v>17</v>
      </c>
      <c r="Y108" s="681" t="s">
        <v>17</v>
      </c>
      <c r="Z108" s="681" t="s">
        <v>17</v>
      </c>
      <c r="AA108" s="681" t="s">
        <v>17</v>
      </c>
      <c r="AB108" s="681" t="s">
        <v>17</v>
      </c>
      <c r="AC108" s="681" t="s">
        <v>2388</v>
      </c>
      <c r="AD108" s="681" t="s">
        <v>19</v>
      </c>
      <c r="AE108" s="681" t="s">
        <v>17</v>
      </c>
      <c r="AF108" s="761" t="s">
        <v>2389</v>
      </c>
    </row>
    <row r="109" spans="1:32" ht="150" customHeight="1" x14ac:dyDescent="0.25">
      <c r="A109" s="761">
        <v>653363</v>
      </c>
      <c r="B109" s="761" t="s">
        <v>143</v>
      </c>
      <c r="C109" s="761" t="s">
        <v>2390</v>
      </c>
      <c r="D109" s="761" t="s">
        <v>149</v>
      </c>
      <c r="E109" s="762">
        <v>43712</v>
      </c>
      <c r="F109" s="763" t="s">
        <v>2391</v>
      </c>
      <c r="G109" s="768" t="s">
        <v>147</v>
      </c>
      <c r="H109" s="763" t="s">
        <v>2392</v>
      </c>
      <c r="I109" s="763" t="s">
        <v>2393</v>
      </c>
      <c r="J109" s="761" t="s">
        <v>16</v>
      </c>
      <c r="K109" s="771" t="s">
        <v>781</v>
      </c>
      <c r="L109" s="761" t="s">
        <v>1245</v>
      </c>
      <c r="M109" s="761" t="s">
        <v>17</v>
      </c>
      <c r="N109" s="763" t="s">
        <v>2394</v>
      </c>
      <c r="O109" s="761" t="s">
        <v>2395</v>
      </c>
      <c r="P109" s="761" t="s">
        <v>17</v>
      </c>
      <c r="Q109" s="761" t="s">
        <v>17</v>
      </c>
      <c r="R109" s="761" t="s">
        <v>96</v>
      </c>
      <c r="S109" s="763" t="s">
        <v>2396</v>
      </c>
      <c r="T109" s="761" t="s">
        <v>55</v>
      </c>
      <c r="U109" s="761" t="s">
        <v>214</v>
      </c>
      <c r="V109" s="681" t="s">
        <v>17</v>
      </c>
      <c r="W109" s="766" t="s">
        <v>17</v>
      </c>
      <c r="X109" s="765" t="s">
        <v>17</v>
      </c>
      <c r="Y109" s="681" t="s">
        <v>17</v>
      </c>
      <c r="Z109" s="767" t="s">
        <v>17</v>
      </c>
      <c r="AA109" s="767" t="s">
        <v>17</v>
      </c>
      <c r="AB109" s="681" t="s">
        <v>17</v>
      </c>
      <c r="AC109" s="761" t="s">
        <v>2397</v>
      </c>
      <c r="AD109" s="761" t="s">
        <v>19</v>
      </c>
      <c r="AE109" s="681" t="s">
        <v>17</v>
      </c>
      <c r="AF109" s="761" t="s">
        <v>1809</v>
      </c>
    </row>
    <row r="110" spans="1:32" ht="150" customHeight="1" x14ac:dyDescent="0.25">
      <c r="A110" s="842">
        <v>651244</v>
      </c>
      <c r="B110" s="761" t="s">
        <v>143</v>
      </c>
      <c r="C110" s="763" t="s">
        <v>3832</v>
      </c>
      <c r="D110" s="761" t="s">
        <v>149</v>
      </c>
      <c r="E110" s="762">
        <v>42940</v>
      </c>
      <c r="F110" s="763" t="s">
        <v>2399</v>
      </c>
      <c r="G110" s="761" t="s">
        <v>15</v>
      </c>
      <c r="H110" s="763" t="s">
        <v>2400</v>
      </c>
      <c r="I110" s="763" t="s">
        <v>2401</v>
      </c>
      <c r="J110" s="761" t="s">
        <v>16</v>
      </c>
      <c r="K110" s="761" t="s">
        <v>327</v>
      </c>
      <c r="L110" s="761" t="s">
        <v>149</v>
      </c>
      <c r="M110" s="761" t="s">
        <v>460</v>
      </c>
      <c r="N110" s="805" t="s">
        <v>2402</v>
      </c>
      <c r="O110" s="761" t="s">
        <v>1333</v>
      </c>
      <c r="P110" s="681" t="s">
        <v>17</v>
      </c>
      <c r="Q110" s="681" t="s">
        <v>17</v>
      </c>
      <c r="R110" s="771" t="s">
        <v>185</v>
      </c>
      <c r="S110" s="763" t="s">
        <v>2403</v>
      </c>
      <c r="T110" s="761" t="s">
        <v>157</v>
      </c>
      <c r="V110" s="771" t="s">
        <v>17</v>
      </c>
      <c r="W110" s="771" t="s">
        <v>17</v>
      </c>
      <c r="X110" s="771" t="s">
        <v>17</v>
      </c>
      <c r="Y110" s="771" t="s">
        <v>17</v>
      </c>
      <c r="Z110" s="771" t="s">
        <v>17</v>
      </c>
      <c r="AA110" s="771" t="s">
        <v>17</v>
      </c>
      <c r="AB110" s="771" t="s">
        <v>17</v>
      </c>
      <c r="AC110" s="761" t="s">
        <v>2371</v>
      </c>
      <c r="AD110" s="761" t="s">
        <v>19</v>
      </c>
      <c r="AE110" s="681" t="s">
        <v>17</v>
      </c>
      <c r="AF110" s="761" t="s">
        <v>2404</v>
      </c>
    </row>
    <row r="111" spans="1:32" ht="150" customHeight="1" x14ac:dyDescent="0.25">
      <c r="A111" s="761">
        <v>802138</v>
      </c>
      <c r="B111" s="761" t="s">
        <v>143</v>
      </c>
      <c r="C111" s="761" t="s">
        <v>2405</v>
      </c>
      <c r="D111" s="761" t="s">
        <v>149</v>
      </c>
      <c r="E111" s="762">
        <v>44392</v>
      </c>
      <c r="F111" s="761" t="s">
        <v>2406</v>
      </c>
      <c r="G111" s="761" t="s">
        <v>147</v>
      </c>
      <c r="H111" s="761" t="s">
        <v>2407</v>
      </c>
      <c r="I111" s="761" t="s">
        <v>2408</v>
      </c>
      <c r="J111" s="761" t="s">
        <v>16</v>
      </c>
      <c r="K111" s="761" t="s">
        <v>327</v>
      </c>
      <c r="L111" s="761" t="s">
        <v>2409</v>
      </c>
      <c r="M111" s="761" t="s">
        <v>23</v>
      </c>
      <c r="N111" s="761" t="s">
        <v>2409</v>
      </c>
      <c r="O111" s="761" t="s">
        <v>2410</v>
      </c>
      <c r="P111" s="761" t="s">
        <v>23</v>
      </c>
      <c r="Q111" s="761" t="s">
        <v>23</v>
      </c>
      <c r="R111" s="681" t="s">
        <v>163</v>
      </c>
      <c r="S111" s="761" t="s">
        <v>2411</v>
      </c>
      <c r="T111" s="761" t="s">
        <v>212</v>
      </c>
      <c r="U111" s="761" t="s">
        <v>215</v>
      </c>
      <c r="V111" s="761" t="s">
        <v>23</v>
      </c>
      <c r="W111" s="761" t="s">
        <v>23</v>
      </c>
      <c r="X111" s="761" t="s">
        <v>23</v>
      </c>
      <c r="Y111" s="761" t="s">
        <v>23</v>
      </c>
      <c r="Z111" s="761" t="s">
        <v>23</v>
      </c>
      <c r="AA111" s="761" t="s">
        <v>23</v>
      </c>
      <c r="AB111" s="761" t="s">
        <v>23</v>
      </c>
      <c r="AC111" s="761" t="s">
        <v>2412</v>
      </c>
      <c r="AD111" s="761" t="s">
        <v>19</v>
      </c>
      <c r="AE111" s="681" t="s">
        <v>17</v>
      </c>
      <c r="AF111" s="761" t="s">
        <v>1320</v>
      </c>
    </row>
    <row r="112" spans="1:32" ht="150" customHeight="1" x14ac:dyDescent="0.25">
      <c r="A112" s="768">
        <v>651298</v>
      </c>
      <c r="B112" s="768" t="s">
        <v>143</v>
      </c>
      <c r="C112" s="761" t="s">
        <v>3833</v>
      </c>
      <c r="D112" s="761" t="s">
        <v>149</v>
      </c>
      <c r="E112" s="762">
        <v>43703</v>
      </c>
      <c r="F112" s="763" t="s">
        <v>2414</v>
      </c>
      <c r="G112" s="761" t="s">
        <v>15</v>
      </c>
      <c r="H112" s="763" t="s">
        <v>2415</v>
      </c>
      <c r="I112" s="763" t="s">
        <v>2416</v>
      </c>
      <c r="J112" s="761" t="s">
        <v>16</v>
      </c>
      <c r="K112" s="761" t="s">
        <v>327</v>
      </c>
      <c r="L112" s="761" t="s">
        <v>1678</v>
      </c>
      <c r="M112" s="761" t="s">
        <v>460</v>
      </c>
      <c r="N112" s="792" t="s">
        <v>2417</v>
      </c>
      <c r="O112" s="771" t="s">
        <v>2418</v>
      </c>
      <c r="P112" s="771" t="s">
        <v>17</v>
      </c>
      <c r="Q112" s="761" t="s">
        <v>17</v>
      </c>
      <c r="R112" s="771" t="s">
        <v>185</v>
      </c>
      <c r="S112" s="763" t="s">
        <v>3834</v>
      </c>
      <c r="T112" s="771" t="s">
        <v>212</v>
      </c>
      <c r="U112" s="793" t="s">
        <v>216</v>
      </c>
      <c r="V112" s="771" t="s">
        <v>17</v>
      </c>
      <c r="W112" s="771" t="s">
        <v>17</v>
      </c>
      <c r="X112" s="771" t="s">
        <v>17</v>
      </c>
      <c r="Y112" s="771" t="s">
        <v>17</v>
      </c>
      <c r="Z112" s="771" t="s">
        <v>17</v>
      </c>
      <c r="AA112" s="771" t="s">
        <v>17</v>
      </c>
      <c r="AB112" s="771" t="s">
        <v>17</v>
      </c>
      <c r="AC112" s="793" t="s">
        <v>2420</v>
      </c>
      <c r="AD112" s="793" t="s">
        <v>24</v>
      </c>
      <c r="AE112" s="681" t="s">
        <v>17</v>
      </c>
      <c r="AF112" s="761" t="s">
        <v>3835</v>
      </c>
    </row>
    <row r="113" spans="1:32" ht="150" customHeight="1" x14ac:dyDescent="0.25">
      <c r="A113" s="768">
        <v>681132</v>
      </c>
      <c r="B113" s="768" t="s">
        <v>143</v>
      </c>
      <c r="C113" s="763" t="s">
        <v>3836</v>
      </c>
      <c r="D113" s="761" t="s">
        <v>189</v>
      </c>
      <c r="E113" s="762">
        <v>43614</v>
      </c>
      <c r="F113" s="763" t="s">
        <v>2423</v>
      </c>
      <c r="G113" s="761" t="s">
        <v>15</v>
      </c>
      <c r="H113" s="763" t="s">
        <v>2424</v>
      </c>
      <c r="I113" s="763" t="s">
        <v>2425</v>
      </c>
      <c r="J113" s="761" t="s">
        <v>16</v>
      </c>
      <c r="K113" s="761" t="s">
        <v>327</v>
      </c>
      <c r="L113" s="761" t="s">
        <v>149</v>
      </c>
      <c r="M113" s="761" t="s">
        <v>460</v>
      </c>
      <c r="N113" s="792" t="s">
        <v>2426</v>
      </c>
      <c r="O113" s="771" t="s">
        <v>1333</v>
      </c>
      <c r="P113" s="681" t="s">
        <v>460</v>
      </c>
      <c r="Q113" s="681" t="s">
        <v>460</v>
      </c>
      <c r="R113" s="771" t="s">
        <v>185</v>
      </c>
      <c r="S113" s="763" t="s">
        <v>2427</v>
      </c>
      <c r="T113" s="771" t="s">
        <v>157</v>
      </c>
      <c r="U113" s="793" t="s">
        <v>217</v>
      </c>
      <c r="V113" s="761" t="s">
        <v>17</v>
      </c>
      <c r="W113" s="761" t="s">
        <v>17</v>
      </c>
      <c r="X113" s="761" t="s">
        <v>17</v>
      </c>
      <c r="Y113" s="761" t="s">
        <v>17</v>
      </c>
      <c r="Z113" s="767" t="s">
        <v>17</v>
      </c>
      <c r="AA113" s="767" t="s">
        <v>17</v>
      </c>
      <c r="AB113" s="681" t="s">
        <v>17</v>
      </c>
      <c r="AC113" s="681" t="s">
        <v>2428</v>
      </c>
      <c r="AD113" s="681" t="s">
        <v>19</v>
      </c>
      <c r="AE113" s="681" t="s">
        <v>17</v>
      </c>
      <c r="AF113" s="761" t="s">
        <v>2429</v>
      </c>
    </row>
    <row r="114" spans="1:32" ht="150" customHeight="1" x14ac:dyDescent="0.25">
      <c r="A114" s="761">
        <v>789394</v>
      </c>
      <c r="B114" s="761" t="s">
        <v>143</v>
      </c>
      <c r="C114" s="761" t="s">
        <v>2436</v>
      </c>
      <c r="D114" s="761" t="s">
        <v>189</v>
      </c>
      <c r="E114" s="762">
        <v>44574</v>
      </c>
      <c r="F114" s="761" t="s">
        <v>2437</v>
      </c>
      <c r="G114" s="761" t="s">
        <v>147</v>
      </c>
      <c r="H114" s="761" t="s">
        <v>2438</v>
      </c>
      <c r="I114" s="761" t="s">
        <v>2439</v>
      </c>
      <c r="J114" s="761" t="s">
        <v>16</v>
      </c>
      <c r="K114" s="761" t="s">
        <v>327</v>
      </c>
      <c r="L114" s="761" t="s">
        <v>2440</v>
      </c>
      <c r="M114" s="761" t="s">
        <v>183</v>
      </c>
      <c r="N114" s="761" t="s">
        <v>2440</v>
      </c>
      <c r="O114" s="761" t="s">
        <v>2441</v>
      </c>
      <c r="P114" s="761" t="s">
        <v>2442</v>
      </c>
      <c r="Q114" s="761" t="s">
        <v>65</v>
      </c>
      <c r="R114" s="761" t="s">
        <v>96</v>
      </c>
      <c r="S114" s="761" t="s">
        <v>2443</v>
      </c>
      <c r="T114" s="681" t="s">
        <v>38</v>
      </c>
      <c r="U114" s="761" t="s">
        <v>218</v>
      </c>
      <c r="V114" s="761" t="s">
        <v>65</v>
      </c>
      <c r="W114" s="761" t="s">
        <v>65</v>
      </c>
      <c r="X114" s="761" t="s">
        <v>65</v>
      </c>
      <c r="Y114" s="761" t="s">
        <v>65</v>
      </c>
      <c r="Z114" s="761" t="s">
        <v>65</v>
      </c>
      <c r="AA114" s="761" t="s">
        <v>65</v>
      </c>
      <c r="AB114" s="761" t="s">
        <v>65</v>
      </c>
      <c r="AC114" s="761" t="s">
        <v>2444</v>
      </c>
      <c r="AD114" s="761" t="s">
        <v>82</v>
      </c>
      <c r="AE114" s="681" t="s">
        <v>17</v>
      </c>
      <c r="AF114" s="761" t="s">
        <v>2445</v>
      </c>
    </row>
    <row r="115" spans="1:32" ht="150" customHeight="1" x14ac:dyDescent="0.25">
      <c r="A115" s="761" t="s">
        <v>219</v>
      </c>
      <c r="B115" s="761" t="s">
        <v>143</v>
      </c>
      <c r="C115" s="761" t="s">
        <v>2446</v>
      </c>
      <c r="D115" s="761" t="s">
        <v>144</v>
      </c>
      <c r="E115" s="762">
        <v>45309</v>
      </c>
      <c r="F115" s="761" t="s">
        <v>2447</v>
      </c>
      <c r="G115" s="761" t="s">
        <v>145</v>
      </c>
      <c r="H115" s="761" t="s">
        <v>296</v>
      </c>
      <c r="I115" s="761" t="s">
        <v>2448</v>
      </c>
      <c r="J115" s="761" t="s">
        <v>16</v>
      </c>
      <c r="K115" s="761" t="s">
        <v>298</v>
      </c>
      <c r="L115" s="761" t="s">
        <v>254</v>
      </c>
      <c r="M115" s="761" t="s">
        <v>17</v>
      </c>
      <c r="N115" s="763" t="s">
        <v>2449</v>
      </c>
      <c r="O115" s="761" t="s">
        <v>2450</v>
      </c>
      <c r="P115" s="761" t="s">
        <v>17</v>
      </c>
      <c r="Q115" s="761" t="s">
        <v>17</v>
      </c>
      <c r="R115" s="761" t="s">
        <v>96</v>
      </c>
      <c r="S115" s="761" t="s">
        <v>2451</v>
      </c>
      <c r="T115" s="681" t="s">
        <v>38</v>
      </c>
      <c r="U115" s="761" t="s">
        <v>17</v>
      </c>
      <c r="V115" s="761" t="s">
        <v>17</v>
      </c>
      <c r="W115" s="761" t="s">
        <v>17</v>
      </c>
      <c r="X115" s="761" t="s">
        <v>17</v>
      </c>
      <c r="Y115" s="761" t="s">
        <v>17</v>
      </c>
      <c r="Z115" s="761" t="s">
        <v>17</v>
      </c>
      <c r="AA115" s="761" t="s">
        <v>17</v>
      </c>
      <c r="AB115" s="761" t="s">
        <v>17</v>
      </c>
      <c r="AC115" s="761" t="s">
        <v>2452</v>
      </c>
      <c r="AD115" s="771" t="s">
        <v>19</v>
      </c>
      <c r="AE115" s="681" t="s">
        <v>17</v>
      </c>
      <c r="AF115" s="771" t="s">
        <v>768</v>
      </c>
    </row>
    <row r="116" spans="1:32" ht="150" customHeight="1" x14ac:dyDescent="0.25">
      <c r="A116" s="761">
        <v>727718</v>
      </c>
      <c r="B116" s="761" t="s">
        <v>143</v>
      </c>
      <c r="C116" s="761" t="s">
        <v>2460</v>
      </c>
      <c r="D116" s="761" t="s">
        <v>144</v>
      </c>
      <c r="E116" s="762">
        <v>44804</v>
      </c>
      <c r="F116" s="761" t="s">
        <v>2461</v>
      </c>
      <c r="G116" s="761" t="s">
        <v>147</v>
      </c>
      <c r="H116" s="761" t="s">
        <v>296</v>
      </c>
      <c r="I116" s="761" t="s">
        <v>2462</v>
      </c>
      <c r="J116" s="761" t="s">
        <v>16</v>
      </c>
      <c r="K116" s="761" t="s">
        <v>298</v>
      </c>
      <c r="L116" s="761" t="s">
        <v>2463</v>
      </c>
      <c r="M116" s="761" t="s">
        <v>23</v>
      </c>
      <c r="N116" s="761" t="s">
        <v>2464</v>
      </c>
      <c r="O116" s="761" t="s">
        <v>2465</v>
      </c>
      <c r="P116" s="761" t="s">
        <v>23</v>
      </c>
      <c r="Q116" s="761" t="s">
        <v>23</v>
      </c>
      <c r="R116" s="681" t="s">
        <v>163</v>
      </c>
      <c r="S116" s="761" t="s">
        <v>2466</v>
      </c>
      <c r="T116" s="681" t="s">
        <v>59</v>
      </c>
      <c r="U116" s="761" t="s">
        <v>220</v>
      </c>
      <c r="V116" s="761" t="s">
        <v>23</v>
      </c>
      <c r="W116" s="761" t="s">
        <v>23</v>
      </c>
      <c r="X116" s="761" t="s">
        <v>23</v>
      </c>
      <c r="Y116" s="761" t="s">
        <v>17</v>
      </c>
      <c r="Z116" s="761" t="s">
        <v>23</v>
      </c>
      <c r="AA116" s="761" t="s">
        <v>17</v>
      </c>
      <c r="AB116" s="761" t="s">
        <v>23</v>
      </c>
      <c r="AC116" s="761" t="s">
        <v>2467</v>
      </c>
      <c r="AD116" s="761" t="s">
        <v>19</v>
      </c>
      <c r="AE116" s="681" t="s">
        <v>17</v>
      </c>
      <c r="AF116" s="761" t="s">
        <v>2468</v>
      </c>
    </row>
    <row r="117" spans="1:32" ht="150" customHeight="1" x14ac:dyDescent="0.25">
      <c r="A117" s="761">
        <v>800982</v>
      </c>
      <c r="B117" s="801" t="s">
        <v>143</v>
      </c>
      <c r="C117" s="761" t="s">
        <v>2523</v>
      </c>
      <c r="D117" s="771" t="s">
        <v>149</v>
      </c>
      <c r="E117" s="762">
        <v>45037</v>
      </c>
      <c r="F117" s="761" t="s">
        <v>655</v>
      </c>
      <c r="G117" s="761" t="s">
        <v>145</v>
      </c>
      <c r="H117" s="761" t="s">
        <v>2524</v>
      </c>
      <c r="I117" s="761" t="s">
        <v>2525</v>
      </c>
      <c r="J117" s="761" t="s">
        <v>16</v>
      </c>
      <c r="K117" s="761" t="s">
        <v>327</v>
      </c>
      <c r="L117" s="761" t="s">
        <v>2526</v>
      </c>
      <c r="M117" s="801" t="s">
        <v>17</v>
      </c>
      <c r="N117" s="761" t="s">
        <v>2526</v>
      </c>
      <c r="O117" s="761" t="s">
        <v>2527</v>
      </c>
      <c r="P117" s="801" t="s">
        <v>17</v>
      </c>
      <c r="Q117" s="801" t="s">
        <v>17</v>
      </c>
      <c r="R117" s="761" t="s">
        <v>96</v>
      </c>
      <c r="S117" s="761" t="s">
        <v>2528</v>
      </c>
      <c r="T117" s="681" t="s">
        <v>38</v>
      </c>
      <c r="U117" s="801" t="s">
        <v>17</v>
      </c>
      <c r="V117" s="801" t="s">
        <v>17</v>
      </c>
      <c r="W117" s="801" t="s">
        <v>17</v>
      </c>
      <c r="X117" s="801" t="s">
        <v>17</v>
      </c>
      <c r="Y117" s="801" t="s">
        <v>17</v>
      </c>
      <c r="Z117" s="801" t="s">
        <v>17</v>
      </c>
      <c r="AA117" s="801" t="s">
        <v>17</v>
      </c>
      <c r="AB117" s="801" t="s">
        <v>17</v>
      </c>
      <c r="AC117" s="761" t="s">
        <v>2529</v>
      </c>
      <c r="AD117" s="801" t="s">
        <v>19</v>
      </c>
      <c r="AE117" s="681" t="s">
        <v>17</v>
      </c>
      <c r="AF117" s="761" t="s">
        <v>2530</v>
      </c>
    </row>
    <row r="118" spans="1:32" ht="150" customHeight="1" x14ac:dyDescent="0.25">
      <c r="A118" s="761" t="s">
        <v>221</v>
      </c>
      <c r="B118" s="801" t="s">
        <v>143</v>
      </c>
      <c r="C118" s="761" t="s">
        <v>2531</v>
      </c>
      <c r="D118" s="771" t="s">
        <v>149</v>
      </c>
      <c r="E118" s="762">
        <v>45253</v>
      </c>
      <c r="F118" s="761" t="s">
        <v>2532</v>
      </c>
      <c r="G118" s="761" t="s">
        <v>145</v>
      </c>
      <c r="H118" s="761" t="s">
        <v>2533</v>
      </c>
      <c r="I118" s="761" t="s">
        <v>2534</v>
      </c>
      <c r="J118" s="761" t="s">
        <v>16</v>
      </c>
      <c r="K118" s="761" t="s">
        <v>298</v>
      </c>
      <c r="L118" s="761" t="s">
        <v>2526</v>
      </c>
      <c r="M118" s="801" t="s">
        <v>17</v>
      </c>
      <c r="N118" s="761" t="s">
        <v>2526</v>
      </c>
      <c r="O118" s="761" t="s">
        <v>2535</v>
      </c>
      <c r="P118" s="801" t="s">
        <v>17</v>
      </c>
      <c r="Q118" s="801" t="s">
        <v>17</v>
      </c>
      <c r="R118" s="761" t="s">
        <v>96</v>
      </c>
      <c r="S118" s="761" t="s">
        <v>2536</v>
      </c>
      <c r="T118" s="681" t="s">
        <v>68</v>
      </c>
      <c r="U118" s="801" t="s">
        <v>17</v>
      </c>
      <c r="V118" s="801" t="s">
        <v>17</v>
      </c>
      <c r="W118" s="801" t="s">
        <v>17</v>
      </c>
      <c r="X118" s="801" t="s">
        <v>17</v>
      </c>
      <c r="Y118" s="801" t="s">
        <v>17</v>
      </c>
      <c r="Z118" s="801" t="s">
        <v>17</v>
      </c>
      <c r="AA118" s="801" t="s">
        <v>17</v>
      </c>
      <c r="AB118" s="801" t="s">
        <v>17</v>
      </c>
      <c r="AC118" s="761" t="s">
        <v>2537</v>
      </c>
      <c r="AD118" s="801" t="s">
        <v>19</v>
      </c>
      <c r="AE118" s="681" t="s">
        <v>17</v>
      </c>
      <c r="AF118" s="761" t="s">
        <v>2538</v>
      </c>
    </row>
    <row r="119" spans="1:32" ht="150" customHeight="1" x14ac:dyDescent="0.25">
      <c r="A119" s="761">
        <v>810864</v>
      </c>
      <c r="B119" s="801" t="s">
        <v>143</v>
      </c>
      <c r="C119" s="771" t="s">
        <v>2539</v>
      </c>
      <c r="D119" s="771" t="s">
        <v>166</v>
      </c>
      <c r="E119" s="762">
        <v>45630</v>
      </c>
      <c r="F119" s="761" t="s">
        <v>2540</v>
      </c>
      <c r="G119" s="761" t="s">
        <v>145</v>
      </c>
      <c r="H119" s="801" t="s">
        <v>296</v>
      </c>
      <c r="I119" s="761" t="s">
        <v>2541</v>
      </c>
      <c r="J119" s="761" t="s">
        <v>16</v>
      </c>
      <c r="K119" s="761" t="s">
        <v>298</v>
      </c>
      <c r="L119" s="761" t="s">
        <v>2542</v>
      </c>
      <c r="M119" s="801" t="s">
        <v>17</v>
      </c>
      <c r="N119" s="761" t="s">
        <v>2542</v>
      </c>
      <c r="O119" s="801" t="s">
        <v>17</v>
      </c>
      <c r="P119" s="771" t="s">
        <v>17</v>
      </c>
      <c r="Q119" s="801" t="s">
        <v>17</v>
      </c>
      <c r="R119" s="761" t="s">
        <v>148</v>
      </c>
      <c r="S119" s="778" t="s">
        <v>2543</v>
      </c>
      <c r="T119" s="681" t="s">
        <v>59</v>
      </c>
      <c r="U119" s="801" t="s">
        <v>17</v>
      </c>
      <c r="V119" s="811">
        <v>112519800</v>
      </c>
      <c r="W119" s="789">
        <v>4.4299999999999999E-2</v>
      </c>
      <c r="X119" s="801" t="s">
        <v>17</v>
      </c>
      <c r="Y119" s="801" t="s">
        <v>17</v>
      </c>
      <c r="Z119" s="801" t="s">
        <v>17</v>
      </c>
      <c r="AA119" s="801" t="s">
        <v>17</v>
      </c>
      <c r="AB119" s="801" t="s">
        <v>17</v>
      </c>
      <c r="AC119" s="761" t="s">
        <v>2544</v>
      </c>
      <c r="AD119" s="801" t="s">
        <v>19</v>
      </c>
      <c r="AE119" s="681" t="s">
        <v>17</v>
      </c>
      <c r="AF119" s="761" t="s">
        <v>2545</v>
      </c>
    </row>
    <row r="120" spans="1:32" ht="150" customHeight="1" x14ac:dyDescent="0.25">
      <c r="A120" s="761" t="s">
        <v>222</v>
      </c>
      <c r="B120" s="801" t="s">
        <v>143</v>
      </c>
      <c r="C120" s="771" t="s">
        <v>2546</v>
      </c>
      <c r="D120" s="771" t="s">
        <v>166</v>
      </c>
      <c r="E120" s="762">
        <v>45407</v>
      </c>
      <c r="F120" s="761" t="s">
        <v>2547</v>
      </c>
      <c r="G120" s="761" t="s">
        <v>145</v>
      </c>
      <c r="H120" s="801" t="s">
        <v>296</v>
      </c>
      <c r="I120" s="771" t="s">
        <v>2548</v>
      </c>
      <c r="J120" s="761" t="s">
        <v>16</v>
      </c>
      <c r="K120" s="761" t="s">
        <v>298</v>
      </c>
      <c r="L120" s="761" t="s">
        <v>2542</v>
      </c>
      <c r="M120" s="801" t="s">
        <v>17</v>
      </c>
      <c r="N120" s="761" t="s">
        <v>2542</v>
      </c>
      <c r="O120" s="801" t="s">
        <v>17</v>
      </c>
      <c r="P120" s="771" t="s">
        <v>17</v>
      </c>
      <c r="Q120" s="801" t="s">
        <v>17</v>
      </c>
      <c r="R120" s="761" t="s">
        <v>148</v>
      </c>
      <c r="S120" s="778">
        <v>91344</v>
      </c>
      <c r="T120" s="771" t="s">
        <v>157</v>
      </c>
      <c r="U120" s="801" t="s">
        <v>17</v>
      </c>
      <c r="V120" s="811">
        <v>1125198000</v>
      </c>
      <c r="W120" s="789">
        <v>4.4299999999999999E-2</v>
      </c>
      <c r="X120" s="801" t="s">
        <v>17</v>
      </c>
      <c r="Y120" s="801" t="s">
        <v>17</v>
      </c>
      <c r="Z120" s="801" t="s">
        <v>17</v>
      </c>
      <c r="AA120" s="801" t="s">
        <v>17</v>
      </c>
      <c r="AB120" s="801" t="s">
        <v>17</v>
      </c>
      <c r="AC120" s="761" t="s">
        <v>2549</v>
      </c>
      <c r="AD120" s="801" t="s">
        <v>19</v>
      </c>
      <c r="AE120" s="681" t="s">
        <v>17</v>
      </c>
      <c r="AF120" s="761" t="s">
        <v>768</v>
      </c>
    </row>
    <row r="121" spans="1:32" ht="150" customHeight="1" x14ac:dyDescent="0.25">
      <c r="A121" s="761" t="s">
        <v>222</v>
      </c>
      <c r="B121" s="801" t="s">
        <v>143</v>
      </c>
      <c r="C121" s="771" t="s">
        <v>2550</v>
      </c>
      <c r="D121" s="771" t="s">
        <v>166</v>
      </c>
      <c r="E121" s="762">
        <v>45405</v>
      </c>
      <c r="F121" s="761" t="s">
        <v>2551</v>
      </c>
      <c r="G121" s="761" t="s">
        <v>145</v>
      </c>
      <c r="H121" s="801" t="s">
        <v>296</v>
      </c>
      <c r="I121" s="761" t="s">
        <v>2552</v>
      </c>
      <c r="J121" s="761" t="s">
        <v>16</v>
      </c>
      <c r="K121" s="761" t="s">
        <v>298</v>
      </c>
      <c r="L121" s="761" t="s">
        <v>2542</v>
      </c>
      <c r="M121" s="801" t="s">
        <v>17</v>
      </c>
      <c r="N121" s="761" t="s">
        <v>2542</v>
      </c>
      <c r="O121" s="801" t="s">
        <v>17</v>
      </c>
      <c r="P121" s="771" t="s">
        <v>17</v>
      </c>
      <c r="Q121" s="801" t="s">
        <v>17</v>
      </c>
      <c r="R121" s="761" t="s">
        <v>148</v>
      </c>
      <c r="S121" s="778">
        <v>1205302</v>
      </c>
      <c r="T121" s="771" t="s">
        <v>223</v>
      </c>
      <c r="U121" s="801" t="s">
        <v>17</v>
      </c>
      <c r="V121" s="811">
        <v>135194000</v>
      </c>
      <c r="W121" s="771">
        <v>73.28</v>
      </c>
      <c r="X121" s="801" t="s">
        <v>17</v>
      </c>
      <c r="Y121" s="801" t="s">
        <v>17</v>
      </c>
      <c r="Z121" s="801" t="s">
        <v>17</v>
      </c>
      <c r="AA121" s="801" t="s">
        <v>17</v>
      </c>
      <c r="AB121" s="801" t="s">
        <v>17</v>
      </c>
      <c r="AC121" s="761" t="s">
        <v>2553</v>
      </c>
      <c r="AD121" s="801" t="s">
        <v>19</v>
      </c>
      <c r="AE121" s="681" t="s">
        <v>17</v>
      </c>
      <c r="AF121" s="761" t="s">
        <v>2553</v>
      </c>
    </row>
    <row r="122" spans="1:32" ht="150" customHeight="1" x14ac:dyDescent="0.25">
      <c r="A122" s="761">
        <v>801141</v>
      </c>
      <c r="B122" s="801" t="s">
        <v>143</v>
      </c>
      <c r="C122" s="761" t="s">
        <v>3837</v>
      </c>
      <c r="D122" s="771" t="s">
        <v>149</v>
      </c>
      <c r="E122" s="762">
        <v>45253</v>
      </c>
      <c r="F122" s="771" t="s">
        <v>2555</v>
      </c>
      <c r="G122" s="761" t="s">
        <v>15</v>
      </c>
      <c r="H122" s="801" t="s">
        <v>2556</v>
      </c>
      <c r="I122" s="761" t="s">
        <v>2557</v>
      </c>
      <c r="J122" s="761" t="s">
        <v>16</v>
      </c>
      <c r="K122" s="761" t="s">
        <v>327</v>
      </c>
      <c r="L122" s="761" t="s">
        <v>2558</v>
      </c>
      <c r="M122" s="771" t="s">
        <v>17</v>
      </c>
      <c r="N122" s="761" t="s">
        <v>2559</v>
      </c>
      <c r="O122" s="761" t="s">
        <v>2560</v>
      </c>
      <c r="P122" s="801" t="s">
        <v>17</v>
      </c>
      <c r="Q122" s="761" t="s">
        <v>17</v>
      </c>
      <c r="R122" s="761" t="s">
        <v>96</v>
      </c>
      <c r="S122" s="771" t="s">
        <v>2561</v>
      </c>
      <c r="T122" s="681" t="s">
        <v>38</v>
      </c>
      <c r="U122" s="771" t="s">
        <v>17</v>
      </c>
      <c r="V122" s="771" t="s">
        <v>17</v>
      </c>
      <c r="W122" s="761" t="s">
        <v>17</v>
      </c>
      <c r="X122" s="801" t="s">
        <v>17</v>
      </c>
      <c r="Y122" s="761" t="s">
        <v>17</v>
      </c>
      <c r="Z122" s="801" t="s">
        <v>17</v>
      </c>
      <c r="AA122" s="771" t="s">
        <v>17</v>
      </c>
      <c r="AB122" s="771" t="s">
        <v>17</v>
      </c>
      <c r="AC122" s="771" t="s">
        <v>2562</v>
      </c>
      <c r="AD122" s="771" t="s">
        <v>19</v>
      </c>
      <c r="AE122" s="681" t="s">
        <v>17</v>
      </c>
      <c r="AF122" s="801" t="s">
        <v>2563</v>
      </c>
    </row>
    <row r="123" spans="1:32" ht="150" customHeight="1" x14ac:dyDescent="0.25">
      <c r="A123" s="761">
        <v>801038</v>
      </c>
      <c r="B123" s="801" t="s">
        <v>143</v>
      </c>
      <c r="C123" s="761" t="s">
        <v>3838</v>
      </c>
      <c r="D123" s="771" t="s">
        <v>149</v>
      </c>
      <c r="E123" s="762">
        <v>44941</v>
      </c>
      <c r="F123" s="771" t="s">
        <v>2565</v>
      </c>
      <c r="G123" s="761" t="s">
        <v>15</v>
      </c>
      <c r="H123" s="801" t="s">
        <v>2566</v>
      </c>
      <c r="I123" s="761" t="s">
        <v>2567</v>
      </c>
      <c r="J123" s="761" t="s">
        <v>16</v>
      </c>
      <c r="K123" s="761" t="s">
        <v>327</v>
      </c>
      <c r="L123" s="761" t="s">
        <v>2568</v>
      </c>
      <c r="M123" s="771" t="s">
        <v>17</v>
      </c>
      <c r="N123" s="761" t="s">
        <v>2569</v>
      </c>
      <c r="O123" s="761" t="s">
        <v>2570</v>
      </c>
      <c r="P123" s="801" t="s">
        <v>17</v>
      </c>
      <c r="Q123" s="761" t="s">
        <v>17</v>
      </c>
      <c r="R123" s="761" t="s">
        <v>96</v>
      </c>
      <c r="S123" s="771" t="s">
        <v>2571</v>
      </c>
      <c r="T123" s="771" t="s">
        <v>18</v>
      </c>
      <c r="U123" s="771" t="s">
        <v>17</v>
      </c>
      <c r="V123" s="771" t="s">
        <v>17</v>
      </c>
      <c r="W123" s="761" t="s">
        <v>17</v>
      </c>
      <c r="X123" s="801" t="s">
        <v>17</v>
      </c>
      <c r="Y123" s="761" t="s">
        <v>17</v>
      </c>
      <c r="Z123" s="801" t="s">
        <v>17</v>
      </c>
      <c r="AA123" s="771" t="s">
        <v>17</v>
      </c>
      <c r="AB123" s="771" t="s">
        <v>17</v>
      </c>
      <c r="AC123" s="771" t="s">
        <v>2572</v>
      </c>
      <c r="AD123" s="771" t="s">
        <v>19</v>
      </c>
      <c r="AE123" s="681" t="s">
        <v>17</v>
      </c>
      <c r="AF123" s="801" t="s">
        <v>3839</v>
      </c>
    </row>
    <row r="124" spans="1:32" ht="150" customHeight="1" x14ac:dyDescent="0.25">
      <c r="A124" s="761" t="s">
        <v>224</v>
      </c>
      <c r="B124" s="761" t="s">
        <v>143</v>
      </c>
      <c r="C124" s="782" t="s">
        <v>2574</v>
      </c>
      <c r="D124" s="761" t="s">
        <v>156</v>
      </c>
      <c r="E124" s="762">
        <v>38487</v>
      </c>
      <c r="F124" s="761" t="s">
        <v>2575</v>
      </c>
      <c r="G124" s="761" t="s">
        <v>145</v>
      </c>
      <c r="H124" s="761" t="s">
        <v>2576</v>
      </c>
      <c r="I124" s="761" t="s">
        <v>2577</v>
      </c>
      <c r="J124" s="761" t="s">
        <v>16</v>
      </c>
      <c r="K124" s="761" t="s">
        <v>327</v>
      </c>
      <c r="L124" s="761" t="s">
        <v>2578</v>
      </c>
      <c r="M124" s="761" t="s">
        <v>17</v>
      </c>
      <c r="N124" s="761" t="s">
        <v>2578</v>
      </c>
      <c r="O124" s="761" t="s">
        <v>2579</v>
      </c>
      <c r="P124" s="761" t="s">
        <v>17</v>
      </c>
      <c r="Q124" s="761" t="s">
        <v>17</v>
      </c>
      <c r="R124" s="681" t="s">
        <v>163</v>
      </c>
      <c r="S124" s="796">
        <v>1205302</v>
      </c>
      <c r="T124" s="681" t="s">
        <v>46</v>
      </c>
      <c r="U124" s="761" t="s">
        <v>17</v>
      </c>
      <c r="V124" s="761" t="s">
        <v>17</v>
      </c>
      <c r="W124" s="761" t="s">
        <v>17</v>
      </c>
      <c r="X124" s="761" t="s">
        <v>17</v>
      </c>
      <c r="Y124" s="761" t="s">
        <v>17</v>
      </c>
      <c r="Z124" s="761" t="s">
        <v>2580</v>
      </c>
      <c r="AA124" s="761" t="s">
        <v>17</v>
      </c>
      <c r="AB124" s="761" t="s">
        <v>17</v>
      </c>
      <c r="AC124" s="761" t="s">
        <v>2581</v>
      </c>
      <c r="AD124" s="761" t="s">
        <v>19</v>
      </c>
      <c r="AE124" s="681" t="s">
        <v>17</v>
      </c>
      <c r="AF124" s="761" t="s">
        <v>2582</v>
      </c>
    </row>
    <row r="125" spans="1:32" ht="150" customHeight="1" x14ac:dyDescent="0.25">
      <c r="A125" s="761" t="s">
        <v>222</v>
      </c>
      <c r="B125" s="761" t="s">
        <v>143</v>
      </c>
      <c r="C125" s="761" t="s">
        <v>2583</v>
      </c>
      <c r="D125" s="761" t="s">
        <v>166</v>
      </c>
      <c r="E125" s="762">
        <v>45388</v>
      </c>
      <c r="F125" s="761" t="s">
        <v>2319</v>
      </c>
      <c r="G125" s="761" t="s">
        <v>145</v>
      </c>
      <c r="H125" s="761" t="s">
        <v>296</v>
      </c>
      <c r="I125" s="761" t="s">
        <v>2584</v>
      </c>
      <c r="J125" s="761" t="s">
        <v>16</v>
      </c>
      <c r="K125" s="761" t="s">
        <v>298</v>
      </c>
      <c r="L125" s="761" t="s">
        <v>2542</v>
      </c>
      <c r="M125" s="761" t="s">
        <v>17</v>
      </c>
      <c r="N125" s="761" t="s">
        <v>2542</v>
      </c>
      <c r="O125" s="761" t="s">
        <v>17</v>
      </c>
      <c r="P125" s="812">
        <v>844219245</v>
      </c>
      <c r="Q125" s="761" t="s">
        <v>17</v>
      </c>
      <c r="R125" s="761" t="s">
        <v>148</v>
      </c>
      <c r="S125" s="761" t="s">
        <v>2585</v>
      </c>
      <c r="T125" s="681" t="s">
        <v>59</v>
      </c>
      <c r="U125" s="761" t="s">
        <v>17</v>
      </c>
      <c r="V125" s="812">
        <v>10198704000</v>
      </c>
      <c r="W125" s="791">
        <v>5.0930000000000003E-2</v>
      </c>
      <c r="X125" s="761" t="s">
        <v>17</v>
      </c>
      <c r="Y125" s="761" t="s">
        <v>17</v>
      </c>
      <c r="Z125" s="761" t="s">
        <v>17</v>
      </c>
      <c r="AA125" s="761" t="s">
        <v>17</v>
      </c>
      <c r="AB125" s="761" t="s">
        <v>17</v>
      </c>
      <c r="AC125" s="761" t="s">
        <v>2586</v>
      </c>
      <c r="AD125" s="761" t="s">
        <v>19</v>
      </c>
      <c r="AE125" s="681" t="s">
        <v>17</v>
      </c>
      <c r="AF125" s="761" t="s">
        <v>2553</v>
      </c>
    </row>
    <row r="126" spans="1:32" ht="150" customHeight="1" x14ac:dyDescent="0.25">
      <c r="A126" s="761" t="s">
        <v>222</v>
      </c>
      <c r="B126" s="761" t="s">
        <v>143</v>
      </c>
      <c r="C126" s="761" t="s">
        <v>2587</v>
      </c>
      <c r="D126" s="761" t="s">
        <v>225</v>
      </c>
      <c r="E126" s="762">
        <v>45418</v>
      </c>
      <c r="F126" s="761" t="s">
        <v>2588</v>
      </c>
      <c r="G126" s="761" t="s">
        <v>145</v>
      </c>
      <c r="H126" s="761" t="s">
        <v>296</v>
      </c>
      <c r="I126" s="761" t="s">
        <v>2589</v>
      </c>
      <c r="J126" s="761" t="s">
        <v>16</v>
      </c>
      <c r="K126" s="761" t="s">
        <v>298</v>
      </c>
      <c r="L126" s="761" t="s">
        <v>2590</v>
      </c>
      <c r="M126" s="761" t="s">
        <v>17</v>
      </c>
      <c r="N126" s="761" t="s">
        <v>2591</v>
      </c>
      <c r="O126" s="761" t="s">
        <v>2592</v>
      </c>
      <c r="P126" s="761" t="s">
        <v>17</v>
      </c>
      <c r="Q126" s="761" t="s">
        <v>17</v>
      </c>
      <c r="R126" s="761" t="s">
        <v>96</v>
      </c>
      <c r="S126" s="761">
        <v>2492</v>
      </c>
      <c r="T126" s="761" t="s">
        <v>41</v>
      </c>
      <c r="U126" s="761" t="s">
        <v>17</v>
      </c>
      <c r="V126" s="761" t="s">
        <v>17</v>
      </c>
      <c r="W126" s="761" t="s">
        <v>17</v>
      </c>
      <c r="X126" s="761" t="s">
        <v>17</v>
      </c>
      <c r="Y126" s="761" t="s">
        <v>17</v>
      </c>
      <c r="Z126" s="761" t="s">
        <v>17</v>
      </c>
      <c r="AA126" s="761" t="s">
        <v>17</v>
      </c>
      <c r="AB126" s="761" t="s">
        <v>17</v>
      </c>
      <c r="AC126" s="761" t="s">
        <v>2586</v>
      </c>
      <c r="AD126" s="761" t="s">
        <v>19</v>
      </c>
      <c r="AE126" s="681" t="s">
        <v>17</v>
      </c>
      <c r="AF126" s="761" t="s">
        <v>2553</v>
      </c>
    </row>
    <row r="127" spans="1:32" ht="150" customHeight="1" x14ac:dyDescent="0.25">
      <c r="A127" s="771">
        <v>802175</v>
      </c>
      <c r="B127" s="761" t="s">
        <v>143</v>
      </c>
      <c r="C127" s="771" t="s">
        <v>2593</v>
      </c>
      <c r="D127" s="761" t="s">
        <v>149</v>
      </c>
      <c r="E127" s="762">
        <v>44769</v>
      </c>
      <c r="F127" s="761" t="s">
        <v>2594</v>
      </c>
      <c r="G127" s="761" t="s">
        <v>147</v>
      </c>
      <c r="H127" s="771" t="s">
        <v>2595</v>
      </c>
      <c r="I127" s="761" t="s">
        <v>2596</v>
      </c>
      <c r="J127" s="761" t="s">
        <v>16</v>
      </c>
      <c r="K127" s="761" t="s">
        <v>327</v>
      </c>
      <c r="L127" s="761" t="s">
        <v>2409</v>
      </c>
      <c r="M127" s="771" t="s">
        <v>17</v>
      </c>
      <c r="N127" s="761" t="s">
        <v>2409</v>
      </c>
      <c r="O127" s="761" t="s">
        <v>2597</v>
      </c>
      <c r="P127" s="761" t="s">
        <v>23</v>
      </c>
      <c r="Q127" s="761" t="s">
        <v>23</v>
      </c>
      <c r="R127" s="681" t="s">
        <v>163</v>
      </c>
      <c r="S127" s="771" t="s">
        <v>2598</v>
      </c>
      <c r="T127" s="799" t="s">
        <v>17</v>
      </c>
      <c r="U127" s="771">
        <v>1372</v>
      </c>
      <c r="V127" s="761" t="s">
        <v>23</v>
      </c>
      <c r="W127" s="761" t="s">
        <v>23</v>
      </c>
      <c r="X127" s="761" t="s">
        <v>23</v>
      </c>
      <c r="Y127" s="761" t="s">
        <v>23</v>
      </c>
      <c r="Z127" s="761" t="s">
        <v>23</v>
      </c>
      <c r="AA127" s="761" t="s">
        <v>23</v>
      </c>
      <c r="AB127" s="761" t="s">
        <v>23</v>
      </c>
      <c r="AC127" s="761" t="s">
        <v>2412</v>
      </c>
      <c r="AD127" s="771" t="s">
        <v>19</v>
      </c>
      <c r="AE127" s="681" t="s">
        <v>17</v>
      </c>
      <c r="AF127" s="771" t="s">
        <v>1320</v>
      </c>
    </row>
    <row r="128" spans="1:32" ht="150" customHeight="1" x14ac:dyDescent="0.25">
      <c r="A128" s="761">
        <v>750170</v>
      </c>
      <c r="B128" s="761" t="s">
        <v>143</v>
      </c>
      <c r="C128" s="761" t="s">
        <v>2599</v>
      </c>
      <c r="D128" s="761" t="s">
        <v>149</v>
      </c>
      <c r="E128" s="762">
        <v>44887</v>
      </c>
      <c r="F128" s="761" t="s">
        <v>2600</v>
      </c>
      <c r="G128" s="761" t="s">
        <v>147</v>
      </c>
      <c r="H128" s="761" t="s">
        <v>2601</v>
      </c>
      <c r="I128" s="761" t="s">
        <v>2602</v>
      </c>
      <c r="J128" s="761" t="s">
        <v>16</v>
      </c>
      <c r="K128" s="761" t="s">
        <v>327</v>
      </c>
      <c r="L128" s="761" t="s">
        <v>2603</v>
      </c>
      <c r="M128" s="761" t="s">
        <v>23</v>
      </c>
      <c r="N128" s="761" t="s">
        <v>2603</v>
      </c>
      <c r="O128" s="761" t="s">
        <v>2410</v>
      </c>
      <c r="P128" s="761" t="s">
        <v>23</v>
      </c>
      <c r="Q128" s="761" t="s">
        <v>23</v>
      </c>
      <c r="R128" s="793" t="s">
        <v>180</v>
      </c>
      <c r="S128" s="761" t="s">
        <v>2604</v>
      </c>
      <c r="T128" s="761" t="s">
        <v>212</v>
      </c>
      <c r="U128" s="761" t="s">
        <v>183</v>
      </c>
      <c r="V128" s="761" t="s">
        <v>23</v>
      </c>
      <c r="W128" s="761" t="s">
        <v>23</v>
      </c>
      <c r="X128" s="761" t="s">
        <v>23</v>
      </c>
      <c r="Y128" s="761" t="s">
        <v>17</v>
      </c>
      <c r="Z128" s="761" t="s">
        <v>23</v>
      </c>
      <c r="AA128" s="761" t="s">
        <v>23</v>
      </c>
      <c r="AB128" s="761" t="s">
        <v>23</v>
      </c>
      <c r="AC128" s="761" t="s">
        <v>2605</v>
      </c>
      <c r="AD128" s="761" t="s">
        <v>19</v>
      </c>
      <c r="AE128" s="681" t="s">
        <v>17</v>
      </c>
      <c r="AF128" s="761" t="s">
        <v>2301</v>
      </c>
    </row>
    <row r="129" spans="1:32" ht="150" customHeight="1" x14ac:dyDescent="0.25">
      <c r="A129" s="877"/>
      <c r="B129" s="878"/>
      <c r="C129" s="877"/>
      <c r="D129" s="878" t="s">
        <v>3938</v>
      </c>
      <c r="E129" s="879"/>
      <c r="F129" s="878"/>
      <c r="G129" s="878"/>
      <c r="H129" s="878"/>
      <c r="I129" s="878"/>
      <c r="J129" s="878"/>
      <c r="K129" s="878"/>
      <c r="L129" s="878"/>
      <c r="M129" s="878"/>
      <c r="N129" s="878"/>
      <c r="O129" s="878"/>
      <c r="P129" s="878"/>
      <c r="Q129" s="878"/>
      <c r="R129" s="880"/>
      <c r="S129" s="878"/>
      <c r="T129" s="877"/>
      <c r="U129" s="878"/>
      <c r="V129" s="878"/>
      <c r="W129" s="878"/>
      <c r="X129" s="878"/>
      <c r="Y129" s="878"/>
      <c r="Z129" s="877"/>
      <c r="AA129" s="878"/>
      <c r="AB129" s="878"/>
      <c r="AC129" s="878"/>
      <c r="AD129" s="878"/>
      <c r="AE129" s="880"/>
      <c r="AF129" s="877"/>
    </row>
  </sheetData>
  <hyperlinks>
    <hyperlink ref="A58" r:id="rId1" tooltip="ver detalle del Proceso No. 2019-00369" display="javascript:abrirVentana('../procesos/detalle_proceso.jsp?idProceso=600630&amp;noProceso=2019-00369&amp;despacho=JUZGADO%2013%20CIVIL%20DEL%20CIRCUITO%20%20DE%20ORALIDAD%20DE%20BOGOT%C3%81&amp;fecha=2018-08-13&amp;instancia=1');" xr:uid="{56787C5F-C56A-4D44-AB7A-3420CCC6E0F5}"/>
  </hyperlinks>
  <pageMargins left="0.7" right="0.7" top="0.75" bottom="0.75" header="0.3" footer="0.3"/>
  <pageSetup orientation="portrait" r:id="rId2"/>
  <tableParts count="1">
    <tablePart r:id="rId3"/>
  </tableParts>
  <extLst>
    <ext xmlns:x14="http://schemas.microsoft.com/office/spreadsheetml/2009/9/main" uri="{CCE6A557-97BC-4b89-ADB6-D9C93CAAB3DF}">
      <x14:dataValidations xmlns:xm="http://schemas.microsoft.com/office/excel/2006/main" count="7">
        <x14:dataValidation type="list" allowBlank="1" showInputMessage="1" showErrorMessage="1" xr:uid="{93947B44-F867-49DE-8B07-AE576E0A12BE}">
          <x14:formula1>
            <xm:f>Tablas!$N$21:$N$23</xm:f>
          </x14:formula1>
          <xm:sqref>G1:G1048576</xm:sqref>
        </x14:dataValidation>
        <x14:dataValidation type="list" allowBlank="1" showInputMessage="1" showErrorMessage="1" xr:uid="{C5038555-A8A8-4CC2-8518-3DABF2849B44}">
          <x14:formula1>
            <xm:f>Tablas!$Q$9:$Q$10</xm:f>
          </x14:formula1>
          <xm:sqref>J1:J1048576</xm:sqref>
        </x14:dataValidation>
        <x14:dataValidation type="list" allowBlank="1" showInputMessage="1" showErrorMessage="1" xr:uid="{8BF4B443-9A61-4221-BBE1-21F6C3ABF709}">
          <x14:formula1>
            <xm:f>Tablas!$Q$13:$Q$17</xm:f>
          </x14:formula1>
          <xm:sqref>K1:K1048576</xm:sqref>
        </x14:dataValidation>
        <x14:dataValidation type="list" allowBlank="1" showInputMessage="1" showErrorMessage="1" xr:uid="{C3F26037-0F49-4307-ADE0-48BE2C21ACC8}">
          <x14:formula1>
            <xm:f>Tablas!$O$42:$O$44</xm:f>
          </x14:formula1>
          <xm:sqref>R1:R1048576</xm:sqref>
        </x14:dataValidation>
        <x14:dataValidation type="list" allowBlank="1" showInputMessage="1" showErrorMessage="1" xr:uid="{6BBF238D-14B4-48E4-A542-27DBBF2CC410}">
          <x14:formula1>
            <xm:f>Tablas!$Q$19:$Q$38</xm:f>
          </x14:formula1>
          <xm:sqref>T1:T1048576</xm:sqref>
        </x14:dataValidation>
        <x14:dataValidation type="list" allowBlank="1" showInputMessage="1" showErrorMessage="1" xr:uid="{C0201B47-2100-4C04-BE3B-A2AEE0A9E4E2}">
          <x14:formula1>
            <xm:f>Tablas!$Q$41:$Q$42</xm:f>
          </x14:formula1>
          <xm:sqref>AD1:AD1048576</xm:sqref>
        </x14:dataValidation>
        <x14:dataValidation type="list" allowBlank="1" showInputMessage="1" showErrorMessage="1" xr:uid="{D34C2274-94DA-40B1-A92A-7592DEAA812C}">
          <x14:formula1>
            <xm:f>Tablas!$E$3</xm:f>
          </x14:formula1>
          <xm:sqref>B1:B1048576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D972-442B-914F-8C55-AEC42BFDF07C}">
  <sheetPr codeName="Hoja10"/>
  <dimension ref="A1:AA55"/>
  <sheetViews>
    <sheetView topLeftCell="R1" zoomScale="70" zoomScaleNormal="70" workbookViewId="0">
      <pane ySplit="1" topLeftCell="A2" activePane="bottomLeft" state="frozen"/>
      <selection pane="bottomLeft" activeCell="AA2" sqref="AA2"/>
    </sheetView>
  </sheetViews>
  <sheetFormatPr baseColWidth="10" defaultColWidth="30.7109375" defaultRowHeight="150" customHeight="1" x14ac:dyDescent="0.2"/>
  <cols>
    <col min="1" max="13" width="30.7109375" style="669"/>
    <col min="14" max="14" width="52.5703125" style="669" customWidth="1"/>
    <col min="15" max="16384" width="30.7109375" style="669"/>
  </cols>
  <sheetData>
    <row r="1" spans="1:27" ht="60" x14ac:dyDescent="0.2">
      <c r="A1" s="709" t="s">
        <v>261</v>
      </c>
      <c r="B1" s="709" t="s">
        <v>262</v>
      </c>
      <c r="C1" s="709" t="s">
        <v>263</v>
      </c>
      <c r="D1" s="709" t="s">
        <v>264</v>
      </c>
      <c r="E1" s="709" t="s">
        <v>265</v>
      </c>
      <c r="F1" s="709" t="s">
        <v>266</v>
      </c>
      <c r="G1" s="709" t="s">
        <v>267</v>
      </c>
      <c r="H1" s="709" t="s">
        <v>268</v>
      </c>
      <c r="I1" s="709" t="s">
        <v>269</v>
      </c>
      <c r="J1" s="709" t="s">
        <v>270</v>
      </c>
      <c r="K1" s="709" t="s">
        <v>271</v>
      </c>
      <c r="L1" s="709" t="s">
        <v>272</v>
      </c>
      <c r="M1" s="709" t="s">
        <v>273</v>
      </c>
      <c r="N1" s="813" t="s">
        <v>274</v>
      </c>
      <c r="O1" s="709" t="s">
        <v>275</v>
      </c>
      <c r="P1" s="711" t="s">
        <v>278</v>
      </c>
      <c r="Q1" s="712" t="s">
        <v>279</v>
      </c>
      <c r="R1" s="711" t="s">
        <v>280</v>
      </c>
      <c r="S1" s="713" t="s">
        <v>281</v>
      </c>
      <c r="T1" s="711" t="s">
        <v>282</v>
      </c>
      <c r="U1" s="715" t="s">
        <v>286</v>
      </c>
      <c r="V1" s="715" t="s">
        <v>287</v>
      </c>
      <c r="W1" s="841" t="s">
        <v>288</v>
      </c>
      <c r="X1" s="711" t="s">
        <v>289</v>
      </c>
      <c r="Y1" s="711" t="s">
        <v>290</v>
      </c>
      <c r="Z1" s="711" t="s">
        <v>291</v>
      </c>
      <c r="AA1" s="709" t="s">
        <v>292</v>
      </c>
    </row>
    <row r="2" spans="1:27" ht="150" customHeight="1" x14ac:dyDescent="0.2">
      <c r="A2" s="696">
        <v>715785</v>
      </c>
      <c r="B2" s="696" t="s">
        <v>227</v>
      </c>
      <c r="C2" s="696" t="s">
        <v>313</v>
      </c>
      <c r="D2" s="696" t="s">
        <v>228</v>
      </c>
      <c r="E2" s="697">
        <v>44568</v>
      </c>
      <c r="F2" s="696" t="s">
        <v>314</v>
      </c>
      <c r="G2" s="705" t="s">
        <v>229</v>
      </c>
      <c r="H2" s="696" t="s">
        <v>296</v>
      </c>
      <c r="I2" s="696" t="s">
        <v>315</v>
      </c>
      <c r="J2" s="696" t="s">
        <v>16</v>
      </c>
      <c r="K2" s="696" t="s">
        <v>316</v>
      </c>
      <c r="L2" s="696" t="s">
        <v>317</v>
      </c>
      <c r="M2" s="696" t="s">
        <v>318</v>
      </c>
      <c r="N2" s="698" t="s">
        <v>319</v>
      </c>
      <c r="O2" s="696" t="s">
        <v>320</v>
      </c>
      <c r="P2" s="696" t="s">
        <v>47</v>
      </c>
      <c r="Q2" s="696">
        <v>4028</v>
      </c>
      <c r="R2" s="696" t="s">
        <v>3734</v>
      </c>
      <c r="S2" s="696" t="s">
        <v>17</v>
      </c>
      <c r="T2" s="696" t="s">
        <v>17</v>
      </c>
      <c r="U2" s="696" t="s">
        <v>17</v>
      </c>
      <c r="V2" s="696" t="s">
        <v>17</v>
      </c>
      <c r="W2" s="696" t="s">
        <v>17</v>
      </c>
      <c r="X2" s="696" t="s">
        <v>321</v>
      </c>
      <c r="Y2" s="696" t="s">
        <v>19</v>
      </c>
      <c r="Z2" s="679"/>
      <c r="AA2" s="696" t="s">
        <v>1890</v>
      </c>
    </row>
    <row r="3" spans="1:27" ht="150" customHeight="1" x14ac:dyDescent="0.2">
      <c r="A3" s="696">
        <v>432549</v>
      </c>
      <c r="B3" s="696" t="s">
        <v>227</v>
      </c>
      <c r="C3" s="696" t="s">
        <v>343</v>
      </c>
      <c r="D3" s="696" t="s">
        <v>228</v>
      </c>
      <c r="E3" s="697">
        <v>39708</v>
      </c>
      <c r="F3" s="696" t="s">
        <v>344</v>
      </c>
      <c r="G3" s="705" t="s">
        <v>229</v>
      </c>
      <c r="H3" s="696" t="s">
        <v>345</v>
      </c>
      <c r="I3" s="696" t="s">
        <v>346</v>
      </c>
      <c r="J3" s="696" t="s">
        <v>16</v>
      </c>
      <c r="K3" s="696" t="s">
        <v>316</v>
      </c>
      <c r="L3" s="696" t="s">
        <v>347</v>
      </c>
      <c r="M3" s="696" t="s">
        <v>348</v>
      </c>
      <c r="N3" s="698" t="s">
        <v>349</v>
      </c>
      <c r="O3" s="696" t="s">
        <v>350</v>
      </c>
      <c r="P3" s="696" t="s">
        <v>47</v>
      </c>
      <c r="Q3" s="704">
        <v>1355</v>
      </c>
      <c r="R3" s="679" t="s">
        <v>3757</v>
      </c>
      <c r="S3" s="682" t="s">
        <v>23</v>
      </c>
      <c r="T3" s="679" t="s">
        <v>23</v>
      </c>
      <c r="U3" s="703" t="s">
        <v>351</v>
      </c>
      <c r="V3" s="703" t="s">
        <v>352</v>
      </c>
      <c r="W3" s="703" t="s">
        <v>23</v>
      </c>
      <c r="X3" s="679" t="s">
        <v>353</v>
      </c>
      <c r="Y3" s="679" t="s">
        <v>19</v>
      </c>
      <c r="Z3" s="679"/>
      <c r="AA3" s="696" t="s">
        <v>354</v>
      </c>
    </row>
    <row r="4" spans="1:27" ht="150" customHeight="1" x14ac:dyDescent="0.3">
      <c r="A4" s="696">
        <v>705577</v>
      </c>
      <c r="B4" s="696" t="s">
        <v>227</v>
      </c>
      <c r="C4" s="696" t="s">
        <v>415</v>
      </c>
      <c r="D4" s="696" t="s">
        <v>228</v>
      </c>
      <c r="E4" s="697">
        <v>44807</v>
      </c>
      <c r="F4" s="696" t="s">
        <v>416</v>
      </c>
      <c r="G4" s="705" t="s">
        <v>229</v>
      </c>
      <c r="H4" s="696" t="s">
        <v>296</v>
      </c>
      <c r="I4" s="696" t="s">
        <v>417</v>
      </c>
      <c r="J4" s="696" t="s">
        <v>16</v>
      </c>
      <c r="K4" s="696" t="s">
        <v>316</v>
      </c>
      <c r="L4" s="696" t="s">
        <v>418</v>
      </c>
      <c r="M4" s="696" t="s">
        <v>419</v>
      </c>
      <c r="N4" s="698" t="s">
        <v>420</v>
      </c>
      <c r="O4" s="696" t="s">
        <v>421</v>
      </c>
      <c r="P4" s="696"/>
      <c r="Q4" s="696">
        <v>2545</v>
      </c>
      <c r="R4" s="696" t="s">
        <v>3734</v>
      </c>
      <c r="S4" s="696" t="s">
        <v>17</v>
      </c>
      <c r="T4" s="696" t="s">
        <v>17</v>
      </c>
      <c r="U4" s="696" t="s">
        <v>17</v>
      </c>
      <c r="V4" s="696" t="s">
        <v>17</v>
      </c>
      <c r="W4" s="696" t="s">
        <v>17</v>
      </c>
      <c r="X4" s="720" t="s">
        <v>422</v>
      </c>
      <c r="Y4" s="696" t="s">
        <v>19</v>
      </c>
      <c r="Z4" s="679"/>
      <c r="AA4" s="696" t="s">
        <v>423</v>
      </c>
    </row>
    <row r="5" spans="1:27" ht="150" customHeight="1" x14ac:dyDescent="0.2">
      <c r="A5" s="814">
        <v>674820</v>
      </c>
      <c r="B5" s="696" t="s">
        <v>227</v>
      </c>
      <c r="C5" s="814" t="s">
        <v>528</v>
      </c>
      <c r="D5" s="814" t="s">
        <v>227</v>
      </c>
      <c r="E5" s="697">
        <v>44347</v>
      </c>
      <c r="F5" s="696" t="s">
        <v>3840</v>
      </c>
      <c r="G5" s="705" t="s">
        <v>229</v>
      </c>
      <c r="H5" s="814" t="s">
        <v>296</v>
      </c>
      <c r="I5" s="696" t="s">
        <v>530</v>
      </c>
      <c r="J5" s="696" t="s">
        <v>16</v>
      </c>
      <c r="K5" s="696" t="s">
        <v>316</v>
      </c>
      <c r="L5" s="696" t="s">
        <v>531</v>
      </c>
      <c r="M5" s="696" t="s">
        <v>532</v>
      </c>
      <c r="N5" s="698" t="s">
        <v>533</v>
      </c>
      <c r="O5" s="696" t="s">
        <v>534</v>
      </c>
      <c r="P5" s="696" t="s">
        <v>148</v>
      </c>
      <c r="Q5" s="696" t="s">
        <v>535</v>
      </c>
      <c r="R5" s="679" t="s">
        <v>3757</v>
      </c>
      <c r="S5" s="814" t="s">
        <v>17</v>
      </c>
      <c r="T5" s="814" t="s">
        <v>17</v>
      </c>
      <c r="U5" s="814" t="s">
        <v>17</v>
      </c>
      <c r="V5" s="814" t="s">
        <v>17</v>
      </c>
      <c r="W5" s="814" t="s">
        <v>17</v>
      </c>
      <c r="X5" s="696" t="s">
        <v>536</v>
      </c>
      <c r="Y5" s="696" t="s">
        <v>19</v>
      </c>
      <c r="Z5" s="679"/>
      <c r="AA5" s="696" t="s">
        <v>423</v>
      </c>
    </row>
    <row r="6" spans="1:27" ht="150" customHeight="1" x14ac:dyDescent="0.2">
      <c r="A6" s="696">
        <v>336200</v>
      </c>
      <c r="B6" s="696" t="s">
        <v>227</v>
      </c>
      <c r="C6" s="696" t="s">
        <v>574</v>
      </c>
      <c r="D6" s="696" t="s">
        <v>228</v>
      </c>
      <c r="E6" s="697">
        <v>39406</v>
      </c>
      <c r="F6" s="696" t="s">
        <v>575</v>
      </c>
      <c r="G6" s="705" t="s">
        <v>229</v>
      </c>
      <c r="H6" s="696" t="s">
        <v>576</v>
      </c>
      <c r="I6" s="696" t="s">
        <v>577</v>
      </c>
      <c r="J6" s="696" t="s">
        <v>16</v>
      </c>
      <c r="K6" s="696" t="s">
        <v>327</v>
      </c>
      <c r="L6" s="696" t="s">
        <v>578</v>
      </c>
      <c r="M6" s="696" t="s">
        <v>579</v>
      </c>
      <c r="N6" s="698" t="s">
        <v>580</v>
      </c>
      <c r="O6" s="696" t="s">
        <v>581</v>
      </c>
      <c r="P6" s="696" t="s">
        <v>47</v>
      </c>
      <c r="Q6" s="679" t="s">
        <v>582</v>
      </c>
      <c r="R6" s="679" t="s">
        <v>3751</v>
      </c>
      <c r="S6" s="682" t="s">
        <v>23</v>
      </c>
      <c r="T6" s="679" t="s">
        <v>23</v>
      </c>
      <c r="U6" s="679" t="s">
        <v>23</v>
      </c>
      <c r="V6" s="679" t="s">
        <v>23</v>
      </c>
      <c r="W6" s="679" t="s">
        <v>23</v>
      </c>
      <c r="X6" s="678" t="s">
        <v>3841</v>
      </c>
      <c r="Y6" s="679" t="s">
        <v>19</v>
      </c>
      <c r="Z6" s="679"/>
      <c r="AA6" s="696" t="s">
        <v>423</v>
      </c>
    </row>
    <row r="7" spans="1:27" ht="150" customHeight="1" x14ac:dyDescent="0.3">
      <c r="A7" s="696">
        <v>523266</v>
      </c>
      <c r="B7" s="696" t="s">
        <v>227</v>
      </c>
      <c r="C7" s="696" t="s">
        <v>584</v>
      </c>
      <c r="D7" s="696" t="s">
        <v>228</v>
      </c>
      <c r="E7" s="697">
        <v>42188</v>
      </c>
      <c r="F7" s="696" t="s">
        <v>3842</v>
      </c>
      <c r="G7" s="705" t="s">
        <v>229</v>
      </c>
      <c r="H7" s="696" t="s">
        <v>296</v>
      </c>
      <c r="I7" s="696" t="s">
        <v>586</v>
      </c>
      <c r="J7" s="696" t="s">
        <v>16</v>
      </c>
      <c r="K7" s="696" t="s">
        <v>316</v>
      </c>
      <c r="L7" s="696" t="s">
        <v>587</v>
      </c>
      <c r="M7" s="696" t="s">
        <v>588</v>
      </c>
      <c r="N7" s="698" t="s">
        <v>589</v>
      </c>
      <c r="O7" s="696" t="s">
        <v>587</v>
      </c>
      <c r="P7" s="696" t="s">
        <v>148</v>
      </c>
      <c r="Q7" s="678" t="s">
        <v>590</v>
      </c>
      <c r="R7" s="679" t="s">
        <v>3749</v>
      </c>
      <c r="S7" s="682" t="s">
        <v>23</v>
      </c>
      <c r="T7" s="679" t="s">
        <v>23</v>
      </c>
      <c r="U7" s="679" t="s">
        <v>23</v>
      </c>
      <c r="V7" s="679" t="s">
        <v>23</v>
      </c>
      <c r="W7" s="679" t="s">
        <v>23</v>
      </c>
      <c r="X7" s="720" t="s">
        <v>591</v>
      </c>
      <c r="Y7" s="679" t="s">
        <v>19</v>
      </c>
      <c r="Z7" s="679"/>
      <c r="AA7" s="696" t="s">
        <v>423</v>
      </c>
    </row>
    <row r="8" spans="1:27" ht="150" customHeight="1" x14ac:dyDescent="0.3">
      <c r="A8" s="696">
        <v>478069</v>
      </c>
      <c r="B8" s="696" t="s">
        <v>227</v>
      </c>
      <c r="C8" s="696" t="s">
        <v>628</v>
      </c>
      <c r="D8" s="696" t="s">
        <v>228</v>
      </c>
      <c r="E8" s="697">
        <v>41892</v>
      </c>
      <c r="F8" s="696" t="s">
        <v>629</v>
      </c>
      <c r="G8" s="705" t="s">
        <v>147</v>
      </c>
      <c r="H8" s="696" t="s">
        <v>296</v>
      </c>
      <c r="I8" s="696" t="s">
        <v>630</v>
      </c>
      <c r="J8" s="696" t="s">
        <v>16</v>
      </c>
      <c r="K8" s="696" t="s">
        <v>316</v>
      </c>
      <c r="L8" s="696" t="s">
        <v>631</v>
      </c>
      <c r="M8" s="696" t="s">
        <v>588</v>
      </c>
      <c r="N8" s="698" t="s">
        <v>632</v>
      </c>
      <c r="O8" s="696" t="s">
        <v>631</v>
      </c>
      <c r="P8" s="679" t="s">
        <v>163</v>
      </c>
      <c r="Q8" s="678" t="s">
        <v>633</v>
      </c>
      <c r="R8" s="679" t="s">
        <v>3753</v>
      </c>
      <c r="S8" s="682" t="s">
        <v>23</v>
      </c>
      <c r="T8" s="679" t="s">
        <v>23</v>
      </c>
      <c r="U8" s="679" t="s">
        <v>23</v>
      </c>
      <c r="V8" s="679" t="s">
        <v>23</v>
      </c>
      <c r="W8" s="679" t="s">
        <v>23</v>
      </c>
      <c r="X8" s="720" t="s">
        <v>634</v>
      </c>
      <c r="Y8" s="679" t="s">
        <v>19</v>
      </c>
      <c r="Z8" s="679"/>
      <c r="AA8" s="679" t="s">
        <v>635</v>
      </c>
    </row>
    <row r="9" spans="1:27" ht="150" customHeight="1" x14ac:dyDescent="0.2">
      <c r="A9" s="696">
        <v>539716</v>
      </c>
      <c r="B9" s="696" t="s">
        <v>227</v>
      </c>
      <c r="C9" s="696" t="s">
        <v>636</v>
      </c>
      <c r="D9" s="696" t="s">
        <v>228</v>
      </c>
      <c r="E9" s="697">
        <v>42644</v>
      </c>
      <c r="F9" s="696" t="s">
        <v>637</v>
      </c>
      <c r="G9" s="705" t="s">
        <v>229</v>
      </c>
      <c r="H9" s="696" t="s">
        <v>638</v>
      </c>
      <c r="I9" s="696" t="s">
        <v>639</v>
      </c>
      <c r="J9" s="696" t="s">
        <v>16</v>
      </c>
      <c r="K9" s="696" t="s">
        <v>327</v>
      </c>
      <c r="L9" s="696" t="s">
        <v>640</v>
      </c>
      <c r="M9" s="696" t="s">
        <v>641</v>
      </c>
      <c r="N9" s="698" t="s">
        <v>642</v>
      </c>
      <c r="O9" s="696" t="s">
        <v>643</v>
      </c>
      <c r="P9" s="679" t="s">
        <v>163</v>
      </c>
      <c r="Q9" s="678" t="s">
        <v>644</v>
      </c>
      <c r="R9" s="679" t="s">
        <v>3765</v>
      </c>
      <c r="S9" s="682" t="s">
        <v>23</v>
      </c>
      <c r="T9" s="682" t="s">
        <v>23</v>
      </c>
      <c r="U9" s="682" t="s">
        <v>23</v>
      </c>
      <c r="V9" s="682" t="s">
        <v>23</v>
      </c>
      <c r="W9" s="682" t="s">
        <v>23</v>
      </c>
      <c r="X9" s="679" t="s">
        <v>645</v>
      </c>
      <c r="Y9" s="679" t="s">
        <v>19</v>
      </c>
      <c r="Z9" s="679"/>
      <c r="AA9" s="696" t="s">
        <v>423</v>
      </c>
    </row>
    <row r="10" spans="1:27" ht="150" customHeight="1" x14ac:dyDescent="0.2">
      <c r="A10" s="696">
        <v>539715</v>
      </c>
      <c r="B10" s="696" t="s">
        <v>227</v>
      </c>
      <c r="C10" s="696" t="s">
        <v>661</v>
      </c>
      <c r="D10" s="696" t="s">
        <v>228</v>
      </c>
      <c r="E10" s="697">
        <v>42625</v>
      </c>
      <c r="F10" s="696" t="s">
        <v>662</v>
      </c>
      <c r="G10" s="705" t="s">
        <v>229</v>
      </c>
      <c r="H10" s="696" t="s">
        <v>296</v>
      </c>
      <c r="I10" s="696" t="s">
        <v>663</v>
      </c>
      <c r="J10" s="696" t="s">
        <v>16</v>
      </c>
      <c r="K10" s="696" t="s">
        <v>316</v>
      </c>
      <c r="L10" s="696" t="s">
        <v>374</v>
      </c>
      <c r="M10" s="696" t="s">
        <v>588</v>
      </c>
      <c r="N10" s="698" t="s">
        <v>664</v>
      </c>
      <c r="O10" s="696" t="s">
        <v>665</v>
      </c>
      <c r="P10" s="679" t="s">
        <v>163</v>
      </c>
      <c r="Q10" s="678" t="s">
        <v>666</v>
      </c>
      <c r="R10" s="679" t="s">
        <v>3749</v>
      </c>
      <c r="S10" s="682" t="s">
        <v>23</v>
      </c>
      <c r="T10" s="704" t="s">
        <v>23</v>
      </c>
      <c r="U10" s="704" t="s">
        <v>23</v>
      </c>
      <c r="V10" s="704" t="s">
        <v>23</v>
      </c>
      <c r="W10" s="704" t="s">
        <v>23</v>
      </c>
      <c r="X10" s="679" t="s">
        <v>645</v>
      </c>
      <c r="Y10" s="679" t="s">
        <v>19</v>
      </c>
      <c r="Z10" s="679"/>
      <c r="AA10" s="696" t="s">
        <v>423</v>
      </c>
    </row>
    <row r="11" spans="1:27" ht="150" customHeight="1" x14ac:dyDescent="0.2">
      <c r="A11" s="696">
        <v>523930</v>
      </c>
      <c r="B11" s="696" t="s">
        <v>227</v>
      </c>
      <c r="C11" s="696" t="s">
        <v>683</v>
      </c>
      <c r="D11" s="696" t="s">
        <v>228</v>
      </c>
      <c r="E11" s="697">
        <v>42389</v>
      </c>
      <c r="F11" s="696" t="s">
        <v>684</v>
      </c>
      <c r="G11" s="705" t="s">
        <v>229</v>
      </c>
      <c r="H11" s="696" t="s">
        <v>685</v>
      </c>
      <c r="I11" s="696" t="s">
        <v>686</v>
      </c>
      <c r="J11" s="696" t="s">
        <v>16</v>
      </c>
      <c r="K11" s="696" t="s">
        <v>327</v>
      </c>
      <c r="L11" s="696" t="s">
        <v>687</v>
      </c>
      <c r="M11" s="696" t="s">
        <v>688</v>
      </c>
      <c r="N11" s="698" t="s">
        <v>689</v>
      </c>
      <c r="O11" s="696" t="s">
        <v>690</v>
      </c>
      <c r="P11" s="696" t="s">
        <v>47</v>
      </c>
      <c r="Q11" s="704">
        <v>2589</v>
      </c>
      <c r="R11" s="679" t="s">
        <v>3765</v>
      </c>
      <c r="S11" s="682" t="s">
        <v>23</v>
      </c>
      <c r="T11" s="679" t="s">
        <v>23</v>
      </c>
      <c r="U11" s="703">
        <v>42579</v>
      </c>
      <c r="V11" s="703">
        <v>42690</v>
      </c>
      <c r="W11" s="703" t="s">
        <v>23</v>
      </c>
      <c r="X11" s="678" t="s">
        <v>691</v>
      </c>
      <c r="Y11" s="696" t="s">
        <v>22</v>
      </c>
      <c r="Z11" s="679"/>
      <c r="AA11" s="696" t="s">
        <v>692</v>
      </c>
    </row>
    <row r="12" spans="1:27" ht="150" customHeight="1" x14ac:dyDescent="0.3">
      <c r="A12" s="696">
        <v>479932</v>
      </c>
      <c r="B12" s="696" t="s">
        <v>227</v>
      </c>
      <c r="C12" s="696" t="s">
        <v>693</v>
      </c>
      <c r="D12" s="696" t="s">
        <v>228</v>
      </c>
      <c r="E12" s="697">
        <v>41885</v>
      </c>
      <c r="F12" s="696" t="s">
        <v>694</v>
      </c>
      <c r="G12" s="705" t="s">
        <v>229</v>
      </c>
      <c r="H12" s="696" t="s">
        <v>296</v>
      </c>
      <c r="I12" s="696" t="s">
        <v>695</v>
      </c>
      <c r="J12" s="696" t="s">
        <v>16</v>
      </c>
      <c r="K12" s="696" t="s">
        <v>316</v>
      </c>
      <c r="L12" s="696" t="s">
        <v>696</v>
      </c>
      <c r="M12" s="696" t="s">
        <v>697</v>
      </c>
      <c r="N12" s="698" t="s">
        <v>698</v>
      </c>
      <c r="O12" s="696" t="s">
        <v>699</v>
      </c>
      <c r="P12" s="696" t="s">
        <v>47</v>
      </c>
      <c r="Q12" s="678" t="s">
        <v>700</v>
      </c>
      <c r="R12" s="679" t="s">
        <v>3753</v>
      </c>
      <c r="S12" s="682" t="s">
        <v>23</v>
      </c>
      <c r="T12" s="679" t="s">
        <v>23</v>
      </c>
      <c r="U12" s="679" t="s">
        <v>23</v>
      </c>
      <c r="V12" s="679" t="s">
        <v>23</v>
      </c>
      <c r="W12" s="679" t="s">
        <v>23</v>
      </c>
      <c r="X12" s="720" t="s">
        <v>701</v>
      </c>
      <c r="Y12" s="679" t="s">
        <v>19</v>
      </c>
      <c r="Z12" s="679"/>
      <c r="AA12" s="696" t="s">
        <v>423</v>
      </c>
    </row>
    <row r="13" spans="1:27" ht="150" customHeight="1" x14ac:dyDescent="0.2">
      <c r="A13" s="696">
        <v>607901</v>
      </c>
      <c r="B13" s="696" t="s">
        <v>227</v>
      </c>
      <c r="C13" s="696" t="s">
        <v>742</v>
      </c>
      <c r="D13" s="696" t="s">
        <v>228</v>
      </c>
      <c r="E13" s="697">
        <v>43670</v>
      </c>
      <c r="F13" s="696" t="s">
        <v>743</v>
      </c>
      <c r="G13" s="705" t="s">
        <v>229</v>
      </c>
      <c r="H13" s="696" t="s">
        <v>296</v>
      </c>
      <c r="I13" s="696" t="s">
        <v>744</v>
      </c>
      <c r="J13" s="696" t="s">
        <v>16</v>
      </c>
      <c r="K13" s="696" t="s">
        <v>316</v>
      </c>
      <c r="L13" s="696" t="s">
        <v>745</v>
      </c>
      <c r="M13" s="696" t="s">
        <v>746</v>
      </c>
      <c r="N13" s="698" t="s">
        <v>747</v>
      </c>
      <c r="O13" s="696" t="s">
        <v>745</v>
      </c>
      <c r="P13" s="696"/>
      <c r="Q13" s="678" t="s">
        <v>748</v>
      </c>
      <c r="R13" s="679" t="s">
        <v>3737</v>
      </c>
      <c r="S13" s="682" t="s">
        <v>17</v>
      </c>
      <c r="T13" s="679" t="s">
        <v>17</v>
      </c>
      <c r="U13" s="703" t="s">
        <v>17</v>
      </c>
      <c r="V13" s="703" t="s">
        <v>17</v>
      </c>
      <c r="W13" s="679" t="s">
        <v>17</v>
      </c>
      <c r="X13" s="679" t="s">
        <v>749</v>
      </c>
      <c r="Y13" s="679" t="s">
        <v>19</v>
      </c>
      <c r="Z13" s="679"/>
      <c r="AA13" s="696" t="s">
        <v>423</v>
      </c>
    </row>
    <row r="14" spans="1:27" ht="150" customHeight="1" x14ac:dyDescent="0.2">
      <c r="A14" s="696">
        <v>462173</v>
      </c>
      <c r="B14" s="696" t="s">
        <v>227</v>
      </c>
      <c r="C14" s="696" t="s">
        <v>825</v>
      </c>
      <c r="D14" s="696" t="s">
        <v>228</v>
      </c>
      <c r="E14" s="697">
        <v>41648</v>
      </c>
      <c r="F14" s="696" t="s">
        <v>585</v>
      </c>
      <c r="G14" s="705" t="s">
        <v>229</v>
      </c>
      <c r="H14" s="696" t="s">
        <v>296</v>
      </c>
      <c r="I14" s="696" t="s">
        <v>826</v>
      </c>
      <c r="J14" s="696" t="s">
        <v>16</v>
      </c>
      <c r="K14" s="696" t="s">
        <v>316</v>
      </c>
      <c r="L14" s="696" t="s">
        <v>822</v>
      </c>
      <c r="M14" s="696" t="s">
        <v>588</v>
      </c>
      <c r="N14" s="698" t="s">
        <v>827</v>
      </c>
      <c r="O14" s="696" t="s">
        <v>822</v>
      </c>
      <c r="P14" s="696" t="s">
        <v>47</v>
      </c>
      <c r="Q14" s="704" t="s">
        <v>828</v>
      </c>
      <c r="R14" s="679" t="s">
        <v>3755</v>
      </c>
      <c r="S14" s="682" t="s">
        <v>23</v>
      </c>
      <c r="T14" s="696" t="s">
        <v>23</v>
      </c>
      <c r="U14" s="679" t="s">
        <v>23</v>
      </c>
      <c r="V14" s="679" t="s">
        <v>23</v>
      </c>
      <c r="W14" s="679" t="s">
        <v>23</v>
      </c>
      <c r="X14" s="678" t="s">
        <v>645</v>
      </c>
      <c r="Y14" s="679" t="s">
        <v>19</v>
      </c>
      <c r="Z14" s="679"/>
      <c r="AA14" s="696" t="s">
        <v>423</v>
      </c>
    </row>
    <row r="15" spans="1:27" ht="150" customHeight="1" x14ac:dyDescent="0.2">
      <c r="A15" s="696">
        <v>538181</v>
      </c>
      <c r="B15" s="696" t="s">
        <v>227</v>
      </c>
      <c r="C15" s="696" t="s">
        <v>951</v>
      </c>
      <c r="D15" s="696" t="s">
        <v>228</v>
      </c>
      <c r="E15" s="697">
        <v>42628</v>
      </c>
      <c r="F15" s="696" t="s">
        <v>952</v>
      </c>
      <c r="G15" s="705" t="s">
        <v>229</v>
      </c>
      <c r="H15" s="696" t="s">
        <v>953</v>
      </c>
      <c r="I15" s="696" t="s">
        <v>954</v>
      </c>
      <c r="J15" s="696" t="s">
        <v>16</v>
      </c>
      <c r="K15" s="696" t="s">
        <v>327</v>
      </c>
      <c r="L15" s="696" t="s">
        <v>955</v>
      </c>
      <c r="M15" s="696" t="s">
        <v>956</v>
      </c>
      <c r="N15" s="698" t="s">
        <v>957</v>
      </c>
      <c r="O15" s="696" t="s">
        <v>955</v>
      </c>
      <c r="P15" s="696" t="s">
        <v>148</v>
      </c>
      <c r="Q15" s="678" t="s">
        <v>958</v>
      </c>
      <c r="R15" s="679" t="s">
        <v>3739</v>
      </c>
      <c r="S15" s="682" t="s">
        <v>23</v>
      </c>
      <c r="T15" s="704" t="s">
        <v>23</v>
      </c>
      <c r="U15" s="704" t="s">
        <v>23</v>
      </c>
      <c r="V15" s="704" t="s">
        <v>23</v>
      </c>
      <c r="W15" s="704" t="s">
        <v>23</v>
      </c>
      <c r="X15" s="815" t="s">
        <v>959</v>
      </c>
      <c r="Y15" s="679" t="s">
        <v>19</v>
      </c>
      <c r="Z15" s="679"/>
      <c r="AA15" s="696" t="s">
        <v>960</v>
      </c>
    </row>
    <row r="16" spans="1:27" ht="150" customHeight="1" x14ac:dyDescent="0.3">
      <c r="A16" s="816">
        <v>747601</v>
      </c>
      <c r="B16" s="696" t="s">
        <v>227</v>
      </c>
      <c r="C16" s="814" t="s">
        <v>1021</v>
      </c>
      <c r="D16" s="814" t="s">
        <v>228</v>
      </c>
      <c r="E16" s="697">
        <v>44994</v>
      </c>
      <c r="F16" s="696" t="s">
        <v>1022</v>
      </c>
      <c r="G16" s="705" t="s">
        <v>229</v>
      </c>
      <c r="H16" s="696" t="s">
        <v>296</v>
      </c>
      <c r="I16" s="817" t="s">
        <v>1023</v>
      </c>
      <c r="J16" s="696" t="s">
        <v>16</v>
      </c>
      <c r="K16" s="696" t="s">
        <v>1024</v>
      </c>
      <c r="L16" s="696" t="s">
        <v>1025</v>
      </c>
      <c r="M16" s="696" t="s">
        <v>1026</v>
      </c>
      <c r="N16" s="698" t="s">
        <v>1027</v>
      </c>
      <c r="O16" s="696" t="s">
        <v>17</v>
      </c>
      <c r="P16" s="696"/>
      <c r="Q16" s="696" t="s">
        <v>1028</v>
      </c>
      <c r="R16" s="700"/>
      <c r="S16" s="696" t="s">
        <v>17</v>
      </c>
      <c r="T16" s="696" t="s">
        <v>17</v>
      </c>
      <c r="U16" s="696" t="s">
        <v>17</v>
      </c>
      <c r="V16" s="696" t="s">
        <v>17</v>
      </c>
      <c r="W16" s="696" t="s">
        <v>17</v>
      </c>
      <c r="X16" s="696" t="s">
        <v>1029</v>
      </c>
      <c r="Y16" s="679" t="s">
        <v>19</v>
      </c>
      <c r="Z16" s="679"/>
      <c r="AA16" s="696" t="s">
        <v>1030</v>
      </c>
    </row>
    <row r="17" spans="1:27" ht="150" customHeight="1" x14ac:dyDescent="0.2">
      <c r="A17" s="696">
        <v>336196</v>
      </c>
      <c r="B17" s="696" t="s">
        <v>227</v>
      </c>
      <c r="C17" s="696" t="s">
        <v>1060</v>
      </c>
      <c r="D17" s="696" t="s">
        <v>228</v>
      </c>
      <c r="E17" s="697">
        <v>40235</v>
      </c>
      <c r="F17" s="696" t="s">
        <v>585</v>
      </c>
      <c r="G17" s="705" t="s">
        <v>229</v>
      </c>
      <c r="H17" s="696" t="s">
        <v>296</v>
      </c>
      <c r="I17" s="696" t="s">
        <v>1061</v>
      </c>
      <c r="J17" s="696" t="s">
        <v>16</v>
      </c>
      <c r="K17" s="696" t="s">
        <v>316</v>
      </c>
      <c r="L17" s="696" t="s">
        <v>1062</v>
      </c>
      <c r="M17" s="696" t="s">
        <v>1063</v>
      </c>
      <c r="N17" s="698" t="s">
        <v>1064</v>
      </c>
      <c r="O17" s="696" t="s">
        <v>1065</v>
      </c>
      <c r="P17" s="696" t="s">
        <v>47</v>
      </c>
      <c r="Q17" s="704">
        <v>1539</v>
      </c>
      <c r="R17" s="679" t="s">
        <v>3753</v>
      </c>
      <c r="S17" s="682" t="s">
        <v>23</v>
      </c>
      <c r="T17" s="679" t="s">
        <v>23</v>
      </c>
      <c r="U17" s="679" t="s">
        <v>23</v>
      </c>
      <c r="V17" s="679" t="s">
        <v>23</v>
      </c>
      <c r="W17" s="679" t="s">
        <v>23</v>
      </c>
      <c r="X17" s="678" t="s">
        <v>1066</v>
      </c>
      <c r="Y17" s="679" t="s">
        <v>19</v>
      </c>
      <c r="Z17" s="679"/>
      <c r="AA17" s="696" t="s">
        <v>423</v>
      </c>
    </row>
    <row r="18" spans="1:27" ht="150" customHeight="1" x14ac:dyDescent="0.3">
      <c r="A18" s="696">
        <v>447619</v>
      </c>
      <c r="B18" s="696" t="s">
        <v>227</v>
      </c>
      <c r="C18" s="731">
        <v>849309</v>
      </c>
      <c r="D18" s="696" t="s">
        <v>228</v>
      </c>
      <c r="E18" s="697">
        <v>41705</v>
      </c>
      <c r="F18" s="696" t="s">
        <v>1105</v>
      </c>
      <c r="G18" s="705" t="s">
        <v>229</v>
      </c>
      <c r="H18" s="696" t="s">
        <v>296</v>
      </c>
      <c r="I18" s="817" t="s">
        <v>1106</v>
      </c>
      <c r="J18" s="696" t="s">
        <v>16</v>
      </c>
      <c r="K18" s="696" t="s">
        <v>316</v>
      </c>
      <c r="L18" s="696" t="s">
        <v>1107</v>
      </c>
      <c r="M18" s="696" t="s">
        <v>1108</v>
      </c>
      <c r="N18" s="698" t="s">
        <v>1109</v>
      </c>
      <c r="O18" s="696" t="s">
        <v>1110</v>
      </c>
      <c r="P18" s="696" t="s">
        <v>47</v>
      </c>
      <c r="Q18" s="678" t="s">
        <v>1111</v>
      </c>
      <c r="R18" s="679" t="s">
        <v>41</v>
      </c>
      <c r="S18" s="682" t="s">
        <v>23</v>
      </c>
      <c r="T18" s="679" t="s">
        <v>23</v>
      </c>
      <c r="U18" s="703" t="s">
        <v>23</v>
      </c>
      <c r="V18" s="703" t="s">
        <v>23</v>
      </c>
      <c r="W18" s="679" t="s">
        <v>23</v>
      </c>
      <c r="X18" s="815" t="s">
        <v>1112</v>
      </c>
      <c r="Y18" s="679" t="s">
        <v>19</v>
      </c>
      <c r="Z18" s="679"/>
      <c r="AA18" s="696" t="s">
        <v>423</v>
      </c>
    </row>
    <row r="19" spans="1:27" ht="150" customHeight="1" x14ac:dyDescent="0.3">
      <c r="A19" s="696">
        <v>523281</v>
      </c>
      <c r="B19" s="696" t="s">
        <v>227</v>
      </c>
      <c r="C19" s="696" t="s">
        <v>1186</v>
      </c>
      <c r="D19" s="696" t="s">
        <v>228</v>
      </c>
      <c r="E19" s="697">
        <v>42005</v>
      </c>
      <c r="F19" s="696" t="s">
        <v>1187</v>
      </c>
      <c r="G19" s="705" t="s">
        <v>229</v>
      </c>
      <c r="H19" s="696" t="s">
        <v>296</v>
      </c>
      <c r="I19" s="696" t="s">
        <v>1188</v>
      </c>
      <c r="J19" s="696" t="s">
        <v>16</v>
      </c>
      <c r="K19" s="696" t="s">
        <v>316</v>
      </c>
      <c r="L19" s="696" t="s">
        <v>516</v>
      </c>
      <c r="M19" s="696" t="s">
        <v>1189</v>
      </c>
      <c r="N19" s="698" t="s">
        <v>1190</v>
      </c>
      <c r="O19" s="696" t="s">
        <v>516</v>
      </c>
      <c r="P19" s="696"/>
      <c r="Q19" s="678" t="s">
        <v>1191</v>
      </c>
      <c r="R19" s="679" t="s">
        <v>38</v>
      </c>
      <c r="S19" s="682" t="s">
        <v>23</v>
      </c>
      <c r="T19" s="679" t="s">
        <v>23</v>
      </c>
      <c r="U19" s="679" t="s">
        <v>23</v>
      </c>
      <c r="V19" s="679" t="s">
        <v>23</v>
      </c>
      <c r="W19" s="679" t="s">
        <v>23</v>
      </c>
      <c r="X19" s="735" t="s">
        <v>1192</v>
      </c>
      <c r="Y19" s="679" t="s">
        <v>19</v>
      </c>
      <c r="Z19" s="679"/>
      <c r="AA19" s="696" t="s">
        <v>423</v>
      </c>
    </row>
    <row r="20" spans="1:27" ht="150" customHeight="1" x14ac:dyDescent="0.2">
      <c r="A20" s="696">
        <v>520242</v>
      </c>
      <c r="B20" s="696" t="s">
        <v>227</v>
      </c>
      <c r="C20" s="696" t="s">
        <v>1197</v>
      </c>
      <c r="D20" s="696" t="s">
        <v>228</v>
      </c>
      <c r="E20" s="697">
        <v>42213</v>
      </c>
      <c r="F20" s="696" t="s">
        <v>585</v>
      </c>
      <c r="G20" s="705" t="s">
        <v>229</v>
      </c>
      <c r="H20" s="696" t="s">
        <v>296</v>
      </c>
      <c r="I20" s="696" t="s">
        <v>1198</v>
      </c>
      <c r="J20" s="696" t="s">
        <v>16</v>
      </c>
      <c r="K20" s="696" t="s">
        <v>316</v>
      </c>
      <c r="L20" s="696" t="s">
        <v>1199</v>
      </c>
      <c r="M20" s="696" t="s">
        <v>588</v>
      </c>
      <c r="N20" s="698" t="s">
        <v>1190</v>
      </c>
      <c r="O20" s="696" t="s">
        <v>148</v>
      </c>
      <c r="P20" s="696" t="s">
        <v>148</v>
      </c>
      <c r="Q20" s="678" t="s">
        <v>1200</v>
      </c>
      <c r="R20" s="679" t="s">
        <v>38</v>
      </c>
      <c r="S20" s="682" t="s">
        <v>23</v>
      </c>
      <c r="T20" s="679" t="s">
        <v>23</v>
      </c>
      <c r="U20" s="679" t="s">
        <v>23</v>
      </c>
      <c r="V20" s="679" t="s">
        <v>23</v>
      </c>
      <c r="W20" s="679" t="s">
        <v>23</v>
      </c>
      <c r="X20" s="678" t="s">
        <v>1201</v>
      </c>
      <c r="Y20" s="679" t="s">
        <v>19</v>
      </c>
      <c r="Z20" s="679"/>
      <c r="AA20" s="696" t="s">
        <v>322</v>
      </c>
    </row>
    <row r="21" spans="1:27" ht="150" customHeight="1" x14ac:dyDescent="0.2">
      <c r="A21" s="696">
        <v>523035</v>
      </c>
      <c r="B21" s="696" t="s">
        <v>227</v>
      </c>
      <c r="C21" s="696" t="s">
        <v>1213</v>
      </c>
      <c r="D21" s="696" t="s">
        <v>228</v>
      </c>
      <c r="E21" s="697">
        <v>41653</v>
      </c>
      <c r="F21" s="696" t="s">
        <v>1214</v>
      </c>
      <c r="G21" s="705" t="s">
        <v>229</v>
      </c>
      <c r="H21" s="696" t="s">
        <v>296</v>
      </c>
      <c r="I21" s="696" t="s">
        <v>1215</v>
      </c>
      <c r="J21" s="696" t="s">
        <v>16</v>
      </c>
      <c r="K21" s="696" t="s">
        <v>316</v>
      </c>
      <c r="L21" s="696" t="s">
        <v>1216</v>
      </c>
      <c r="M21" s="696" t="s">
        <v>1217</v>
      </c>
      <c r="N21" s="698" t="s">
        <v>1218</v>
      </c>
      <c r="O21" s="696" t="s">
        <v>1219</v>
      </c>
      <c r="P21" s="696" t="s">
        <v>47</v>
      </c>
      <c r="Q21" s="678" t="s">
        <v>1220</v>
      </c>
      <c r="R21" s="679" t="s">
        <v>38</v>
      </c>
      <c r="S21" s="682" t="s">
        <v>23</v>
      </c>
      <c r="T21" s="679" t="s">
        <v>23</v>
      </c>
      <c r="U21" s="679" t="s">
        <v>23</v>
      </c>
      <c r="V21" s="679" t="s">
        <v>23</v>
      </c>
      <c r="W21" s="679" t="s">
        <v>23</v>
      </c>
      <c r="X21" s="704" t="s">
        <v>1221</v>
      </c>
      <c r="Y21" s="679" t="s">
        <v>19</v>
      </c>
      <c r="Z21" s="679"/>
      <c r="AA21" s="696" t="s">
        <v>423</v>
      </c>
    </row>
    <row r="22" spans="1:27" ht="150" customHeight="1" x14ac:dyDescent="0.2">
      <c r="A22" s="696">
        <v>621623</v>
      </c>
      <c r="B22" s="696" t="s">
        <v>227</v>
      </c>
      <c r="C22" s="696" t="s">
        <v>1392</v>
      </c>
      <c r="D22" s="696" t="s">
        <v>228</v>
      </c>
      <c r="E22" s="697">
        <v>43781</v>
      </c>
      <c r="F22" s="696" t="s">
        <v>1393</v>
      </c>
      <c r="G22" s="705" t="s">
        <v>229</v>
      </c>
      <c r="H22" s="696" t="s">
        <v>296</v>
      </c>
      <c r="I22" s="696" t="s">
        <v>1394</v>
      </c>
      <c r="J22" s="696" t="s">
        <v>16</v>
      </c>
      <c r="K22" s="696" t="s">
        <v>316</v>
      </c>
      <c r="L22" s="696" t="s">
        <v>1395</v>
      </c>
      <c r="M22" s="696" t="s">
        <v>1396</v>
      </c>
      <c r="N22" s="698" t="s">
        <v>1397</v>
      </c>
      <c r="O22" s="696" t="s">
        <v>17</v>
      </c>
      <c r="P22" s="696" t="s">
        <v>148</v>
      </c>
      <c r="Q22" s="678" t="s">
        <v>1398</v>
      </c>
      <c r="R22" s="679" t="s">
        <v>46</v>
      </c>
      <c r="S22" s="682" t="s">
        <v>17</v>
      </c>
      <c r="T22" s="679" t="s">
        <v>17</v>
      </c>
      <c r="U22" s="703" t="s">
        <v>17</v>
      </c>
      <c r="V22" s="703" t="s">
        <v>17</v>
      </c>
      <c r="W22" s="679" t="s">
        <v>17</v>
      </c>
      <c r="X22" s="679" t="s">
        <v>1399</v>
      </c>
      <c r="Y22" s="679" t="s">
        <v>19</v>
      </c>
      <c r="Z22" s="679"/>
      <c r="AA22" s="696" t="s">
        <v>423</v>
      </c>
    </row>
    <row r="23" spans="1:27" ht="150" customHeight="1" x14ac:dyDescent="0.2">
      <c r="A23" s="696">
        <v>600990</v>
      </c>
      <c r="B23" s="696" t="s">
        <v>227</v>
      </c>
      <c r="C23" s="696" t="s">
        <v>1411</v>
      </c>
      <c r="D23" s="696" t="s">
        <v>228</v>
      </c>
      <c r="E23" s="697">
        <v>43453</v>
      </c>
      <c r="F23" s="696" t="s">
        <v>1412</v>
      </c>
      <c r="G23" s="705" t="s">
        <v>229</v>
      </c>
      <c r="H23" s="696" t="s">
        <v>296</v>
      </c>
      <c r="I23" s="696" t="s">
        <v>1413</v>
      </c>
      <c r="J23" s="696" t="s">
        <v>16</v>
      </c>
      <c r="K23" s="696" t="s">
        <v>316</v>
      </c>
      <c r="L23" s="696" t="s">
        <v>1414</v>
      </c>
      <c r="M23" s="696" t="s">
        <v>1026</v>
      </c>
      <c r="N23" s="698" t="s">
        <v>1415</v>
      </c>
      <c r="O23" s="696" t="s">
        <v>1416</v>
      </c>
      <c r="P23" s="696" t="s">
        <v>148</v>
      </c>
      <c r="Q23" s="722" t="s">
        <v>1417</v>
      </c>
      <c r="R23" s="679" t="s">
        <v>55</v>
      </c>
      <c r="S23" s="682">
        <v>1326</v>
      </c>
      <c r="T23" s="682" t="s">
        <v>17</v>
      </c>
      <c r="U23" s="682" t="s">
        <v>17</v>
      </c>
      <c r="V23" s="682" t="s">
        <v>17</v>
      </c>
      <c r="W23" s="682" t="s">
        <v>17</v>
      </c>
      <c r="X23" s="696" t="s">
        <v>1418</v>
      </c>
      <c r="Y23" s="679" t="s">
        <v>19</v>
      </c>
      <c r="Z23" s="679"/>
      <c r="AA23" s="696" t="s">
        <v>423</v>
      </c>
    </row>
    <row r="24" spans="1:27" ht="150" customHeight="1" x14ac:dyDescent="0.3">
      <c r="A24" s="816" t="s">
        <v>231</v>
      </c>
      <c r="B24" s="696" t="s">
        <v>227</v>
      </c>
      <c r="C24" s="816" t="s">
        <v>1515</v>
      </c>
      <c r="D24" s="696" t="s">
        <v>228</v>
      </c>
      <c r="E24" s="697">
        <v>44813</v>
      </c>
      <c r="F24" s="696" t="s">
        <v>1516</v>
      </c>
      <c r="G24" s="705" t="s">
        <v>229</v>
      </c>
      <c r="H24" s="696" t="s">
        <v>296</v>
      </c>
      <c r="I24" s="696" t="s">
        <v>1517</v>
      </c>
      <c r="J24" s="696" t="s">
        <v>16</v>
      </c>
      <c r="K24" s="696" t="s">
        <v>1024</v>
      </c>
      <c r="L24" s="696" t="s">
        <v>1518</v>
      </c>
      <c r="M24" s="735" t="s">
        <v>532</v>
      </c>
      <c r="N24" s="698" t="s">
        <v>1519</v>
      </c>
      <c r="O24" s="814" t="s">
        <v>1520</v>
      </c>
      <c r="P24" s="696" t="s">
        <v>47</v>
      </c>
      <c r="Q24" s="679" t="s">
        <v>1522</v>
      </c>
      <c r="R24" s="679" t="s">
        <v>41</v>
      </c>
      <c r="S24" s="682">
        <v>2126.66</v>
      </c>
      <c r="T24" s="682" t="s">
        <v>17</v>
      </c>
      <c r="U24" s="814" t="s">
        <v>17</v>
      </c>
      <c r="V24" s="814" t="s">
        <v>17</v>
      </c>
      <c r="W24" s="814" t="s">
        <v>17</v>
      </c>
      <c r="X24" s="696" t="s">
        <v>1523</v>
      </c>
      <c r="Y24" s="814" t="s">
        <v>19</v>
      </c>
      <c r="Z24" s="679"/>
      <c r="AA24" s="696" t="s">
        <v>423</v>
      </c>
    </row>
    <row r="25" spans="1:27" ht="150" customHeight="1" x14ac:dyDescent="0.2">
      <c r="A25" s="696">
        <v>559550</v>
      </c>
      <c r="B25" s="696" t="s">
        <v>227</v>
      </c>
      <c r="C25" s="696" t="s">
        <v>1556</v>
      </c>
      <c r="D25" s="696" t="s">
        <v>228</v>
      </c>
      <c r="E25" s="697">
        <v>42974</v>
      </c>
      <c r="F25" s="696" t="s">
        <v>1557</v>
      </c>
      <c r="G25" s="705" t="s">
        <v>229</v>
      </c>
      <c r="H25" s="696" t="s">
        <v>296</v>
      </c>
      <c r="I25" s="696" t="s">
        <v>1558</v>
      </c>
      <c r="J25" s="696" t="s">
        <v>16</v>
      </c>
      <c r="K25" s="696" t="s">
        <v>316</v>
      </c>
      <c r="L25" s="696" t="s">
        <v>1559</v>
      </c>
      <c r="M25" s="696" t="s">
        <v>1560</v>
      </c>
      <c r="N25" s="698" t="s">
        <v>1559</v>
      </c>
      <c r="O25" s="696" t="s">
        <v>1543</v>
      </c>
      <c r="P25" s="696"/>
      <c r="Q25" s="678" t="s">
        <v>1552</v>
      </c>
      <c r="R25" s="679" t="s">
        <v>41</v>
      </c>
      <c r="S25" s="679" t="s">
        <v>23</v>
      </c>
      <c r="T25" s="679" t="s">
        <v>23</v>
      </c>
      <c r="U25" s="679" t="s">
        <v>23</v>
      </c>
      <c r="V25" s="679" t="s">
        <v>23</v>
      </c>
      <c r="W25" s="679" t="s">
        <v>23</v>
      </c>
      <c r="X25" s="696" t="s">
        <v>1561</v>
      </c>
      <c r="Y25" s="679" t="s">
        <v>19</v>
      </c>
      <c r="Z25" s="679"/>
      <c r="AA25" s="696" t="s">
        <v>423</v>
      </c>
    </row>
    <row r="26" spans="1:27" ht="150" customHeight="1" x14ac:dyDescent="0.2">
      <c r="A26" s="696">
        <v>402289</v>
      </c>
      <c r="B26" s="696" t="s">
        <v>227</v>
      </c>
      <c r="C26" s="696" t="s">
        <v>1574</v>
      </c>
      <c r="D26" s="696" t="s">
        <v>228</v>
      </c>
      <c r="E26" s="697">
        <v>41276</v>
      </c>
      <c r="F26" s="696" t="s">
        <v>637</v>
      </c>
      <c r="G26" s="705" t="s">
        <v>229</v>
      </c>
      <c r="H26" s="696" t="s">
        <v>296</v>
      </c>
      <c r="I26" s="696" t="s">
        <v>1575</v>
      </c>
      <c r="J26" s="696" t="s">
        <v>16</v>
      </c>
      <c r="K26" s="696" t="s">
        <v>316</v>
      </c>
      <c r="L26" s="696" t="s">
        <v>300</v>
      </c>
      <c r="M26" s="696" t="s">
        <v>588</v>
      </c>
      <c r="N26" s="698" t="s">
        <v>1576</v>
      </c>
      <c r="O26" s="696" t="s">
        <v>300</v>
      </c>
      <c r="P26" s="696" t="s">
        <v>47</v>
      </c>
      <c r="Q26" s="704" t="s">
        <v>1577</v>
      </c>
      <c r="R26" s="679" t="s">
        <v>21</v>
      </c>
      <c r="S26" s="682" t="s">
        <v>23</v>
      </c>
      <c r="T26" s="679" t="s">
        <v>23</v>
      </c>
      <c r="U26" s="679" t="s">
        <v>23</v>
      </c>
      <c r="V26" s="679" t="s">
        <v>23</v>
      </c>
      <c r="W26" s="679" t="s">
        <v>23</v>
      </c>
      <c r="X26" s="678" t="s">
        <v>1578</v>
      </c>
      <c r="Y26" s="679" t="s">
        <v>19</v>
      </c>
      <c r="Z26" s="679"/>
      <c r="AA26" s="696" t="s">
        <v>423</v>
      </c>
    </row>
    <row r="27" spans="1:27" ht="150" customHeight="1" x14ac:dyDescent="0.2">
      <c r="A27" s="696">
        <v>432751</v>
      </c>
      <c r="B27" s="696" t="s">
        <v>227</v>
      </c>
      <c r="C27" s="696" t="s">
        <v>1586</v>
      </c>
      <c r="D27" s="696" t="s">
        <v>228</v>
      </c>
      <c r="E27" s="697">
        <v>41627</v>
      </c>
      <c r="F27" s="696" t="s">
        <v>585</v>
      </c>
      <c r="G27" s="705" t="s">
        <v>229</v>
      </c>
      <c r="H27" s="696" t="s">
        <v>1587</v>
      </c>
      <c r="I27" s="696" t="s">
        <v>1588</v>
      </c>
      <c r="J27" s="696" t="s">
        <v>16</v>
      </c>
      <c r="K27" s="696" t="s">
        <v>316</v>
      </c>
      <c r="L27" s="696" t="s">
        <v>1589</v>
      </c>
      <c r="M27" s="696" t="s">
        <v>1026</v>
      </c>
      <c r="N27" s="698" t="s">
        <v>1590</v>
      </c>
      <c r="O27" s="696" t="s">
        <v>1591</v>
      </c>
      <c r="P27" s="696" t="s">
        <v>47</v>
      </c>
      <c r="Q27" s="704" t="s">
        <v>1592</v>
      </c>
      <c r="R27" s="679" t="s">
        <v>41</v>
      </c>
      <c r="S27" s="682" t="s">
        <v>23</v>
      </c>
      <c r="T27" s="696" t="s">
        <v>23</v>
      </c>
      <c r="U27" s="679" t="s">
        <v>23</v>
      </c>
      <c r="V27" s="679" t="s">
        <v>23</v>
      </c>
      <c r="W27" s="679" t="s">
        <v>23</v>
      </c>
      <c r="X27" s="679" t="s">
        <v>1593</v>
      </c>
      <c r="Y27" s="679" t="s">
        <v>19</v>
      </c>
      <c r="Z27" s="679"/>
      <c r="AA27" s="696" t="s">
        <v>423</v>
      </c>
    </row>
    <row r="28" spans="1:27" ht="150" customHeight="1" x14ac:dyDescent="0.3">
      <c r="A28" s="735">
        <v>708936</v>
      </c>
      <c r="B28" s="696" t="s">
        <v>227</v>
      </c>
      <c r="C28" s="735" t="s">
        <v>1610</v>
      </c>
      <c r="D28" s="735" t="s">
        <v>227</v>
      </c>
      <c r="E28" s="697">
        <v>44568</v>
      </c>
      <c r="F28" s="735" t="s">
        <v>1611</v>
      </c>
      <c r="G28" s="705" t="s">
        <v>229</v>
      </c>
      <c r="H28" s="735" t="s">
        <v>296</v>
      </c>
      <c r="I28" s="735" t="s">
        <v>1612</v>
      </c>
      <c r="J28" s="696" t="s">
        <v>16</v>
      </c>
      <c r="K28" s="735" t="s">
        <v>316</v>
      </c>
      <c r="L28" s="735" t="s">
        <v>1613</v>
      </c>
      <c r="M28" s="735" t="s">
        <v>1614</v>
      </c>
      <c r="N28" s="748" t="s">
        <v>1615</v>
      </c>
      <c r="O28" s="735" t="s">
        <v>17</v>
      </c>
      <c r="P28" s="696"/>
      <c r="Q28" s="735" t="s">
        <v>1616</v>
      </c>
      <c r="R28" s="700" t="s">
        <v>17</v>
      </c>
      <c r="S28" s="735" t="s">
        <v>17</v>
      </c>
      <c r="T28" s="735" t="s">
        <v>17</v>
      </c>
      <c r="U28" s="735" t="s">
        <v>17</v>
      </c>
      <c r="V28" s="735" t="s">
        <v>17</v>
      </c>
      <c r="W28" s="735" t="s">
        <v>17</v>
      </c>
      <c r="X28" s="735" t="s">
        <v>1617</v>
      </c>
      <c r="Y28" s="696" t="s">
        <v>24</v>
      </c>
      <c r="Z28" s="679"/>
      <c r="AA28" s="696" t="s">
        <v>423</v>
      </c>
    </row>
    <row r="29" spans="1:27" ht="150" customHeight="1" x14ac:dyDescent="0.2">
      <c r="A29" s="696">
        <v>705583</v>
      </c>
      <c r="B29" s="696" t="s">
        <v>227</v>
      </c>
      <c r="C29" s="696" t="s">
        <v>1626</v>
      </c>
      <c r="D29" s="696" t="s">
        <v>228</v>
      </c>
      <c r="E29" s="697">
        <v>43576</v>
      </c>
      <c r="F29" s="696" t="s">
        <v>1627</v>
      </c>
      <c r="G29" s="705" t="s">
        <v>229</v>
      </c>
      <c r="H29" s="696" t="s">
        <v>296</v>
      </c>
      <c r="I29" s="696" t="s">
        <v>1628</v>
      </c>
      <c r="J29" s="696" t="s">
        <v>16</v>
      </c>
      <c r="K29" s="696" t="s">
        <v>1024</v>
      </c>
      <c r="L29" s="696" t="s">
        <v>1629</v>
      </c>
      <c r="M29" s="696" t="s">
        <v>1630</v>
      </c>
      <c r="N29" s="698" t="s">
        <v>1631</v>
      </c>
      <c r="O29" s="696" t="s">
        <v>1632</v>
      </c>
      <c r="P29" s="696" t="s">
        <v>47</v>
      </c>
      <c r="Q29" s="704" t="s">
        <v>1633</v>
      </c>
      <c r="R29" s="679" t="s">
        <v>21</v>
      </c>
      <c r="S29" s="682">
        <v>8612.58</v>
      </c>
      <c r="T29" s="679" t="s">
        <v>23</v>
      </c>
      <c r="U29" s="679" t="s">
        <v>23</v>
      </c>
      <c r="V29" s="679" t="s">
        <v>23</v>
      </c>
      <c r="W29" s="679" t="s">
        <v>23</v>
      </c>
      <c r="X29" s="696" t="s">
        <v>1634</v>
      </c>
      <c r="Y29" s="679" t="s">
        <v>19</v>
      </c>
      <c r="Z29" s="679"/>
      <c r="AA29" s="696" t="s">
        <v>1635</v>
      </c>
    </row>
    <row r="30" spans="1:27" ht="150" customHeight="1" x14ac:dyDescent="0.2">
      <c r="A30" s="696">
        <v>581364</v>
      </c>
      <c r="B30" s="696" t="s">
        <v>227</v>
      </c>
      <c r="C30" s="696" t="s">
        <v>1649</v>
      </c>
      <c r="D30" s="696" t="s">
        <v>228</v>
      </c>
      <c r="E30" s="697">
        <v>43297</v>
      </c>
      <c r="F30" s="696" t="s">
        <v>1650</v>
      </c>
      <c r="G30" s="705" t="s">
        <v>229</v>
      </c>
      <c r="H30" s="696" t="s">
        <v>296</v>
      </c>
      <c r="I30" s="696" t="s">
        <v>1651</v>
      </c>
      <c r="J30" s="696" t="s">
        <v>16</v>
      </c>
      <c r="K30" s="731" t="s">
        <v>316</v>
      </c>
      <c r="L30" s="696" t="s">
        <v>1652</v>
      </c>
      <c r="M30" s="696" t="s">
        <v>1653</v>
      </c>
      <c r="N30" s="698" t="s">
        <v>1654</v>
      </c>
      <c r="O30" s="696" t="s">
        <v>1652</v>
      </c>
      <c r="P30" s="696"/>
      <c r="Q30" s="679" t="s">
        <v>1655</v>
      </c>
      <c r="R30" s="679" t="s">
        <v>85</v>
      </c>
      <c r="S30" s="682" t="s">
        <v>17</v>
      </c>
      <c r="T30" s="679" t="s">
        <v>17</v>
      </c>
      <c r="U30" s="679" t="s">
        <v>17</v>
      </c>
      <c r="V30" s="679" t="s">
        <v>17</v>
      </c>
      <c r="W30" s="679" t="s">
        <v>17</v>
      </c>
      <c r="X30" s="682" t="s">
        <v>1656</v>
      </c>
      <c r="Y30" s="679" t="s">
        <v>19</v>
      </c>
      <c r="Z30" s="679"/>
      <c r="AA30" s="696" t="s">
        <v>423</v>
      </c>
    </row>
    <row r="31" spans="1:27" ht="150" customHeight="1" x14ac:dyDescent="0.2">
      <c r="A31" s="816">
        <v>765053</v>
      </c>
      <c r="B31" s="696" t="s">
        <v>227</v>
      </c>
      <c r="C31" s="816" t="s">
        <v>1665</v>
      </c>
      <c r="D31" s="816" t="s">
        <v>228</v>
      </c>
      <c r="E31" s="697">
        <v>43903</v>
      </c>
      <c r="F31" s="816" t="s">
        <v>1666</v>
      </c>
      <c r="G31" s="705" t="s">
        <v>229</v>
      </c>
      <c r="H31" s="816" t="s">
        <v>296</v>
      </c>
      <c r="I31" s="816" t="s">
        <v>1667</v>
      </c>
      <c r="J31" s="696" t="s">
        <v>16</v>
      </c>
      <c r="K31" s="816" t="s">
        <v>1024</v>
      </c>
      <c r="L31" s="816" t="s">
        <v>1668</v>
      </c>
      <c r="M31" s="816" t="s">
        <v>1669</v>
      </c>
      <c r="N31" s="816" t="s">
        <v>1670</v>
      </c>
      <c r="O31" s="816" t="s">
        <v>17</v>
      </c>
      <c r="P31" s="696" t="s">
        <v>47</v>
      </c>
      <c r="Q31" s="816" t="s">
        <v>1671</v>
      </c>
      <c r="R31" s="700" t="s">
        <v>17</v>
      </c>
      <c r="S31" s="816" t="s">
        <v>17</v>
      </c>
      <c r="T31" s="816" t="s">
        <v>17</v>
      </c>
      <c r="U31" s="816" t="s">
        <v>17</v>
      </c>
      <c r="V31" s="816" t="s">
        <v>17</v>
      </c>
      <c r="W31" s="816" t="s">
        <v>17</v>
      </c>
      <c r="X31" s="698" t="s">
        <v>1672</v>
      </c>
      <c r="Y31" s="816" t="s">
        <v>19</v>
      </c>
      <c r="Z31" s="679"/>
      <c r="AA31" s="816"/>
    </row>
    <row r="32" spans="1:27" ht="150" customHeight="1" x14ac:dyDescent="0.2">
      <c r="A32" s="696">
        <v>436884</v>
      </c>
      <c r="B32" s="696" t="s">
        <v>227</v>
      </c>
      <c r="C32" s="696" t="s">
        <v>1743</v>
      </c>
      <c r="D32" s="696" t="s">
        <v>228</v>
      </c>
      <c r="E32" s="697">
        <v>41660</v>
      </c>
      <c r="F32" s="696" t="s">
        <v>637</v>
      </c>
      <c r="G32" s="705" t="s">
        <v>229</v>
      </c>
      <c r="H32" s="696" t="s">
        <v>296</v>
      </c>
      <c r="I32" s="696" t="s">
        <v>1744</v>
      </c>
      <c r="J32" s="696" t="s">
        <v>16</v>
      </c>
      <c r="K32" s="696" t="s">
        <v>316</v>
      </c>
      <c r="L32" s="696" t="s">
        <v>1333</v>
      </c>
      <c r="M32" s="696" t="s">
        <v>1745</v>
      </c>
      <c r="N32" s="698" t="s">
        <v>1746</v>
      </c>
      <c r="O32" s="696" t="s">
        <v>1747</v>
      </c>
      <c r="P32" s="696" t="s">
        <v>47</v>
      </c>
      <c r="Q32" s="704" t="s">
        <v>1748</v>
      </c>
      <c r="R32" s="679" t="s">
        <v>38</v>
      </c>
      <c r="S32" s="682" t="s">
        <v>23</v>
      </c>
      <c r="T32" s="679" t="s">
        <v>23</v>
      </c>
      <c r="U32" s="679" t="s">
        <v>23</v>
      </c>
      <c r="V32" s="679" t="s">
        <v>23</v>
      </c>
      <c r="W32" s="679" t="s">
        <v>23</v>
      </c>
      <c r="X32" s="679" t="s">
        <v>1749</v>
      </c>
      <c r="Y32" s="679" t="s">
        <v>19</v>
      </c>
      <c r="Z32" s="679"/>
      <c r="AA32" s="696" t="s">
        <v>423</v>
      </c>
    </row>
    <row r="33" spans="1:27" ht="150" customHeight="1" x14ac:dyDescent="0.2">
      <c r="A33" s="696">
        <v>594281</v>
      </c>
      <c r="B33" s="696" t="s">
        <v>227</v>
      </c>
      <c r="C33" s="696" t="s">
        <v>1757</v>
      </c>
      <c r="D33" s="696" t="s">
        <v>228</v>
      </c>
      <c r="E33" s="697">
        <v>43076</v>
      </c>
      <c r="F33" s="696" t="s">
        <v>1758</v>
      </c>
      <c r="G33" s="705" t="s">
        <v>229</v>
      </c>
      <c r="H33" s="696" t="s">
        <v>296</v>
      </c>
      <c r="I33" s="696" t="s">
        <v>1759</v>
      </c>
      <c r="J33" s="696" t="s">
        <v>16</v>
      </c>
      <c r="K33" s="696" t="s">
        <v>316</v>
      </c>
      <c r="L33" s="696" t="s">
        <v>1760</v>
      </c>
      <c r="M33" s="696" t="s">
        <v>1217</v>
      </c>
      <c r="N33" s="698" t="s">
        <v>1760</v>
      </c>
      <c r="O33" s="696" t="s">
        <v>1761</v>
      </c>
      <c r="P33" s="696" t="s">
        <v>47</v>
      </c>
      <c r="Q33" s="696" t="s">
        <v>1762</v>
      </c>
      <c r="R33" s="679" t="s">
        <v>38</v>
      </c>
      <c r="S33" s="696" t="s">
        <v>233</v>
      </c>
      <c r="T33" s="696" t="s">
        <v>17</v>
      </c>
      <c r="U33" s="696" t="s">
        <v>17</v>
      </c>
      <c r="V33" s="696" t="s">
        <v>17</v>
      </c>
      <c r="W33" s="696" t="s">
        <v>17</v>
      </c>
      <c r="X33" s="742" t="s">
        <v>1763</v>
      </c>
      <c r="Y33" s="679" t="s">
        <v>19</v>
      </c>
      <c r="Z33" s="679"/>
      <c r="AA33" s="696" t="s">
        <v>423</v>
      </c>
    </row>
    <row r="34" spans="1:27" ht="150" customHeight="1" x14ac:dyDescent="0.2">
      <c r="A34" s="731">
        <v>659008</v>
      </c>
      <c r="B34" s="696" t="s">
        <v>227</v>
      </c>
      <c r="C34" s="731" t="s">
        <v>1792</v>
      </c>
      <c r="D34" s="731" t="s">
        <v>228</v>
      </c>
      <c r="E34" s="697">
        <v>44151</v>
      </c>
      <c r="F34" s="731" t="s">
        <v>1793</v>
      </c>
      <c r="G34" s="705" t="s">
        <v>229</v>
      </c>
      <c r="H34" s="731" t="s">
        <v>296</v>
      </c>
      <c r="I34" s="731" t="s">
        <v>1794</v>
      </c>
      <c r="J34" s="696" t="s">
        <v>16</v>
      </c>
      <c r="K34" s="731" t="s">
        <v>316</v>
      </c>
      <c r="L34" s="731" t="s">
        <v>1795</v>
      </c>
      <c r="M34" s="731" t="s">
        <v>1796</v>
      </c>
      <c r="N34" s="698" t="s">
        <v>1797</v>
      </c>
      <c r="O34" s="731" t="s">
        <v>1798</v>
      </c>
      <c r="P34" s="696" t="s">
        <v>47</v>
      </c>
      <c r="Q34" s="731" t="s">
        <v>1799</v>
      </c>
      <c r="R34" s="679" t="s">
        <v>59</v>
      </c>
      <c r="S34" s="731" t="s">
        <v>234</v>
      </c>
      <c r="T34" s="731" t="s">
        <v>17</v>
      </c>
      <c r="U34" s="731" t="s">
        <v>17</v>
      </c>
      <c r="V34" s="731" t="s">
        <v>17</v>
      </c>
      <c r="W34" s="731" t="s">
        <v>17</v>
      </c>
      <c r="X34" s="731" t="s">
        <v>1800</v>
      </c>
      <c r="Y34" s="731" t="s">
        <v>19</v>
      </c>
      <c r="Z34" s="679"/>
      <c r="AA34" s="696" t="s">
        <v>423</v>
      </c>
    </row>
    <row r="35" spans="1:27" ht="150" customHeight="1" x14ac:dyDescent="0.2">
      <c r="A35" s="696">
        <v>706375</v>
      </c>
      <c r="B35" s="696" t="s">
        <v>227</v>
      </c>
      <c r="C35" s="696" t="s">
        <v>1883</v>
      </c>
      <c r="D35" s="696" t="s">
        <v>228</v>
      </c>
      <c r="E35" s="697">
        <v>44729</v>
      </c>
      <c r="F35" s="696" t="s">
        <v>1884</v>
      </c>
      <c r="G35" s="705" t="s">
        <v>229</v>
      </c>
      <c r="H35" s="696" t="s">
        <v>296</v>
      </c>
      <c r="I35" s="696" t="s">
        <v>1885</v>
      </c>
      <c r="J35" s="696" t="s">
        <v>16</v>
      </c>
      <c r="K35" s="696" t="s">
        <v>1886</v>
      </c>
      <c r="L35" s="696" t="s">
        <v>1887</v>
      </c>
      <c r="M35" s="696" t="s">
        <v>1888</v>
      </c>
      <c r="N35" s="698" t="s">
        <v>1887</v>
      </c>
      <c r="O35" s="696" t="s">
        <v>17</v>
      </c>
      <c r="P35" s="696"/>
      <c r="Q35" s="696" t="s">
        <v>17</v>
      </c>
      <c r="R35" s="696"/>
      <c r="S35" s="696" t="s">
        <v>17</v>
      </c>
      <c r="T35" s="696" t="s">
        <v>17</v>
      </c>
      <c r="U35" s="696" t="s">
        <v>17</v>
      </c>
      <c r="V35" s="696" t="s">
        <v>17</v>
      </c>
      <c r="W35" s="696" t="s">
        <v>17</v>
      </c>
      <c r="X35" s="701" t="s">
        <v>1889</v>
      </c>
      <c r="Y35" s="696" t="s">
        <v>19</v>
      </c>
      <c r="Z35" s="679"/>
      <c r="AA35" s="696" t="s">
        <v>1890</v>
      </c>
    </row>
    <row r="36" spans="1:27" ht="150" customHeight="1" x14ac:dyDescent="0.3">
      <c r="A36" s="696">
        <v>624731</v>
      </c>
      <c r="B36" s="696" t="s">
        <v>227</v>
      </c>
      <c r="C36" s="696" t="s">
        <v>1984</v>
      </c>
      <c r="D36" s="696" t="s">
        <v>228</v>
      </c>
      <c r="E36" s="697">
        <v>43101</v>
      </c>
      <c r="F36" s="696" t="s">
        <v>1985</v>
      </c>
      <c r="G36" s="705" t="s">
        <v>229</v>
      </c>
      <c r="H36" s="696" t="s">
        <v>296</v>
      </c>
      <c r="I36" s="696" t="s">
        <v>1986</v>
      </c>
      <c r="J36" s="696" t="s">
        <v>16</v>
      </c>
      <c r="K36" s="696" t="s">
        <v>327</v>
      </c>
      <c r="L36" s="696" t="s">
        <v>605</v>
      </c>
      <c r="M36" s="696" t="s">
        <v>1987</v>
      </c>
      <c r="N36" s="698" t="s">
        <v>1988</v>
      </c>
      <c r="O36" s="696" t="s">
        <v>605</v>
      </c>
      <c r="P36" s="696"/>
      <c r="Q36" s="696" t="s">
        <v>17</v>
      </c>
      <c r="R36" s="700" t="s">
        <v>17</v>
      </c>
      <c r="S36" s="696" t="s">
        <v>17</v>
      </c>
      <c r="T36" s="696" t="s">
        <v>17</v>
      </c>
      <c r="U36" s="696" t="s">
        <v>17</v>
      </c>
      <c r="V36" s="696" t="s">
        <v>17</v>
      </c>
      <c r="W36" s="696" t="s">
        <v>17</v>
      </c>
      <c r="X36" s="735" t="s">
        <v>1989</v>
      </c>
      <c r="Y36" s="696" t="s">
        <v>19</v>
      </c>
      <c r="Z36" s="679"/>
      <c r="AA36" s="696" t="s">
        <v>1635</v>
      </c>
    </row>
    <row r="37" spans="1:27" ht="150" customHeight="1" x14ac:dyDescent="0.2">
      <c r="A37" s="696">
        <v>58873</v>
      </c>
      <c r="B37" s="696" t="s">
        <v>227</v>
      </c>
      <c r="C37" s="696" t="s">
        <v>2010</v>
      </c>
      <c r="D37" s="696" t="s">
        <v>228</v>
      </c>
      <c r="E37" s="697">
        <v>43329</v>
      </c>
      <c r="F37" s="696" t="s">
        <v>2011</v>
      </c>
      <c r="G37" s="705" t="s">
        <v>229</v>
      </c>
      <c r="H37" s="696" t="s">
        <v>296</v>
      </c>
      <c r="I37" s="696" t="s">
        <v>2012</v>
      </c>
      <c r="J37" s="696" t="s">
        <v>16</v>
      </c>
      <c r="K37" s="696" t="s">
        <v>316</v>
      </c>
      <c r="L37" s="696" t="s">
        <v>2013</v>
      </c>
      <c r="M37" s="696" t="s">
        <v>2014</v>
      </c>
      <c r="N37" s="698" t="s">
        <v>2015</v>
      </c>
      <c r="O37" s="696" t="s">
        <v>2013</v>
      </c>
      <c r="P37" s="696" t="s">
        <v>47</v>
      </c>
      <c r="Q37" s="679" t="s">
        <v>17</v>
      </c>
      <c r="R37" s="679" t="s">
        <v>38</v>
      </c>
      <c r="S37" s="679" t="s">
        <v>17</v>
      </c>
      <c r="T37" s="679" t="s">
        <v>17</v>
      </c>
      <c r="U37" s="679" t="s">
        <v>17</v>
      </c>
      <c r="V37" s="679" t="s">
        <v>17</v>
      </c>
      <c r="W37" s="679" t="s">
        <v>17</v>
      </c>
      <c r="X37" s="682" t="s">
        <v>2016</v>
      </c>
      <c r="Y37" s="679" t="s">
        <v>19</v>
      </c>
      <c r="Z37" s="679"/>
      <c r="AA37" s="696" t="s">
        <v>423</v>
      </c>
    </row>
    <row r="38" spans="1:27" ht="150" customHeight="1" x14ac:dyDescent="0.3">
      <c r="A38" s="696">
        <v>629935</v>
      </c>
      <c r="B38" s="696" t="s">
        <v>227</v>
      </c>
      <c r="C38" s="696" t="s">
        <v>2060</v>
      </c>
      <c r="D38" s="696" t="s">
        <v>228</v>
      </c>
      <c r="E38" s="697">
        <v>44138</v>
      </c>
      <c r="F38" s="696" t="s">
        <v>2061</v>
      </c>
      <c r="G38" s="705" t="s">
        <v>229</v>
      </c>
      <c r="H38" s="696" t="s">
        <v>296</v>
      </c>
      <c r="I38" s="696" t="s">
        <v>2062</v>
      </c>
      <c r="J38" s="696" t="s">
        <v>16</v>
      </c>
      <c r="K38" s="696" t="s">
        <v>316</v>
      </c>
      <c r="L38" s="696" t="s">
        <v>605</v>
      </c>
      <c r="M38" s="696" t="s">
        <v>2063</v>
      </c>
      <c r="N38" s="698" t="s">
        <v>2064</v>
      </c>
      <c r="O38" s="696" t="s">
        <v>605</v>
      </c>
      <c r="P38" s="696"/>
      <c r="Q38" s="696" t="s">
        <v>17</v>
      </c>
      <c r="R38" s="700" t="s">
        <v>17</v>
      </c>
      <c r="S38" s="696" t="s">
        <v>17</v>
      </c>
      <c r="T38" s="696" t="s">
        <v>17</v>
      </c>
      <c r="U38" s="696" t="s">
        <v>17</v>
      </c>
      <c r="V38" s="696" t="s">
        <v>17</v>
      </c>
      <c r="W38" s="696" t="s">
        <v>17</v>
      </c>
      <c r="X38" s="735" t="s">
        <v>2065</v>
      </c>
      <c r="Y38" s="696" t="s">
        <v>19</v>
      </c>
      <c r="Z38" s="679"/>
      <c r="AA38" s="696" t="s">
        <v>2066</v>
      </c>
    </row>
    <row r="39" spans="1:27" ht="150" customHeight="1" x14ac:dyDescent="0.2">
      <c r="A39" s="696">
        <v>644600</v>
      </c>
      <c r="B39" s="696" t="s">
        <v>227</v>
      </c>
      <c r="C39" s="696" t="s">
        <v>2067</v>
      </c>
      <c r="D39" s="696" t="s">
        <v>228</v>
      </c>
      <c r="E39" s="697">
        <v>43942</v>
      </c>
      <c r="F39" s="696" t="s">
        <v>2068</v>
      </c>
      <c r="G39" s="705" t="s">
        <v>229</v>
      </c>
      <c r="H39" s="696" t="s">
        <v>296</v>
      </c>
      <c r="I39" s="696" t="s">
        <v>2069</v>
      </c>
      <c r="J39" s="696" t="s">
        <v>16</v>
      </c>
      <c r="K39" s="696" t="s">
        <v>316</v>
      </c>
      <c r="L39" s="696" t="s">
        <v>605</v>
      </c>
      <c r="M39" s="696" t="s">
        <v>2070</v>
      </c>
      <c r="N39" s="698" t="s">
        <v>2071</v>
      </c>
      <c r="O39" s="696" t="s">
        <v>605</v>
      </c>
      <c r="P39" s="696"/>
      <c r="Q39" s="696" t="s">
        <v>17</v>
      </c>
      <c r="R39" s="700" t="s">
        <v>17</v>
      </c>
      <c r="S39" s="696" t="s">
        <v>17</v>
      </c>
      <c r="T39" s="696" t="s">
        <v>17</v>
      </c>
      <c r="U39" s="696" t="s">
        <v>17</v>
      </c>
      <c r="V39" s="696" t="s">
        <v>17</v>
      </c>
      <c r="W39" s="696" t="s">
        <v>17</v>
      </c>
      <c r="X39" s="696" t="s">
        <v>2072</v>
      </c>
      <c r="Y39" s="696" t="s">
        <v>19</v>
      </c>
      <c r="Z39" s="679"/>
      <c r="AA39" s="696" t="s">
        <v>2073</v>
      </c>
    </row>
    <row r="40" spans="1:27" ht="150" customHeight="1" x14ac:dyDescent="0.3">
      <c r="A40" s="696">
        <v>708778</v>
      </c>
      <c r="B40" s="696" t="s">
        <v>227</v>
      </c>
      <c r="C40" s="696" t="s">
        <v>2115</v>
      </c>
      <c r="D40" s="696" t="s">
        <v>228</v>
      </c>
      <c r="E40" s="697">
        <v>44542</v>
      </c>
      <c r="F40" s="696" t="s">
        <v>2116</v>
      </c>
      <c r="G40" s="705" t="s">
        <v>229</v>
      </c>
      <c r="H40" s="696" t="s">
        <v>296</v>
      </c>
      <c r="I40" s="696" t="s">
        <v>382</v>
      </c>
      <c r="J40" s="696" t="s">
        <v>16</v>
      </c>
      <c r="K40" s="696" t="s">
        <v>316</v>
      </c>
      <c r="L40" s="696" t="s">
        <v>1887</v>
      </c>
      <c r="M40" s="696" t="s">
        <v>1888</v>
      </c>
      <c r="N40" s="698" t="s">
        <v>2117</v>
      </c>
      <c r="O40" s="696" t="s">
        <v>17</v>
      </c>
      <c r="P40" s="696"/>
      <c r="Q40" s="696" t="s">
        <v>17</v>
      </c>
      <c r="R40" s="696" t="s">
        <v>85</v>
      </c>
      <c r="S40" s="696" t="s">
        <v>17</v>
      </c>
      <c r="T40" s="696" t="s">
        <v>17</v>
      </c>
      <c r="U40" s="696" t="s">
        <v>17</v>
      </c>
      <c r="V40" s="696" t="s">
        <v>17</v>
      </c>
      <c r="W40" s="696" t="s">
        <v>17</v>
      </c>
      <c r="X40" s="735" t="s">
        <v>2118</v>
      </c>
      <c r="Y40" s="696" t="s">
        <v>19</v>
      </c>
      <c r="Z40" s="679"/>
      <c r="AA40" s="696" t="s">
        <v>1635</v>
      </c>
    </row>
    <row r="41" spans="1:27" ht="150" customHeight="1" x14ac:dyDescent="0.2">
      <c r="A41" s="696">
        <v>687911</v>
      </c>
      <c r="B41" s="696" t="s">
        <v>227</v>
      </c>
      <c r="C41" s="696" t="s">
        <v>2120</v>
      </c>
      <c r="D41" s="696" t="s">
        <v>228</v>
      </c>
      <c r="E41" s="697">
        <v>44467</v>
      </c>
      <c r="F41" s="696" t="s">
        <v>2121</v>
      </c>
      <c r="G41" s="705" t="s">
        <v>229</v>
      </c>
      <c r="H41" s="696" t="s">
        <v>296</v>
      </c>
      <c r="I41" s="696" t="s">
        <v>382</v>
      </c>
      <c r="J41" s="696" t="s">
        <v>16</v>
      </c>
      <c r="K41" s="696" t="s">
        <v>316</v>
      </c>
      <c r="L41" s="696" t="s">
        <v>1887</v>
      </c>
      <c r="M41" s="696" t="s">
        <v>2122</v>
      </c>
      <c r="N41" s="698" t="s">
        <v>2123</v>
      </c>
      <c r="O41" s="696" t="s">
        <v>17</v>
      </c>
      <c r="P41" s="696"/>
      <c r="Q41" s="696" t="s">
        <v>17</v>
      </c>
      <c r="R41" s="700" t="s">
        <v>17</v>
      </c>
      <c r="S41" s="696" t="s">
        <v>17</v>
      </c>
      <c r="T41" s="696" t="s">
        <v>17</v>
      </c>
      <c r="U41" s="696" t="s">
        <v>17</v>
      </c>
      <c r="V41" s="696" t="s">
        <v>17</v>
      </c>
      <c r="W41" s="696" t="s">
        <v>17</v>
      </c>
      <c r="X41" s="696" t="s">
        <v>2124</v>
      </c>
      <c r="Y41" s="696" t="s">
        <v>19</v>
      </c>
      <c r="Z41" s="679"/>
      <c r="AA41" s="696" t="s">
        <v>322</v>
      </c>
    </row>
    <row r="42" spans="1:27" ht="150" customHeight="1" x14ac:dyDescent="0.2">
      <c r="A42" s="696">
        <v>698633</v>
      </c>
      <c r="B42" s="696" t="s">
        <v>227</v>
      </c>
      <c r="C42" s="696" t="s">
        <v>2125</v>
      </c>
      <c r="D42" s="696" t="s">
        <v>228</v>
      </c>
      <c r="E42" s="697">
        <v>44297</v>
      </c>
      <c r="F42" s="696" t="s">
        <v>2126</v>
      </c>
      <c r="G42" s="705" t="s">
        <v>229</v>
      </c>
      <c r="H42" s="696" t="s">
        <v>296</v>
      </c>
      <c r="I42" s="696" t="s">
        <v>2127</v>
      </c>
      <c r="J42" s="696" t="s">
        <v>16</v>
      </c>
      <c r="K42" s="696" t="s">
        <v>316</v>
      </c>
      <c r="L42" s="696" t="s">
        <v>2128</v>
      </c>
      <c r="M42" s="696" t="s">
        <v>2129</v>
      </c>
      <c r="N42" s="698" t="s">
        <v>2130</v>
      </c>
      <c r="O42" s="696" t="s">
        <v>2131</v>
      </c>
      <c r="P42" s="696" t="s">
        <v>47</v>
      </c>
      <c r="Q42" s="678" t="s">
        <v>17</v>
      </c>
      <c r="R42" s="679" t="s">
        <v>68</v>
      </c>
      <c r="S42" s="682"/>
      <c r="T42" s="679"/>
      <c r="U42" s="703" t="s">
        <v>19</v>
      </c>
      <c r="V42" s="703" t="s">
        <v>460</v>
      </c>
      <c r="W42" s="679" t="s">
        <v>460</v>
      </c>
      <c r="X42" s="696" t="s">
        <v>2132</v>
      </c>
      <c r="Y42" s="679" t="s">
        <v>19</v>
      </c>
      <c r="Z42" s="679"/>
      <c r="AA42" s="696" t="s">
        <v>423</v>
      </c>
    </row>
    <row r="43" spans="1:27" ht="150" customHeight="1" x14ac:dyDescent="0.2">
      <c r="A43" s="696">
        <v>706373</v>
      </c>
      <c r="B43" s="696" t="s">
        <v>227</v>
      </c>
      <c r="C43" s="696" t="s">
        <v>2140</v>
      </c>
      <c r="D43" s="696" t="s">
        <v>228</v>
      </c>
      <c r="E43" s="697">
        <v>44617</v>
      </c>
      <c r="F43" s="696" t="s">
        <v>2141</v>
      </c>
      <c r="G43" s="705" t="s">
        <v>229</v>
      </c>
      <c r="H43" s="696" t="s">
        <v>296</v>
      </c>
      <c r="I43" s="696" t="s">
        <v>2142</v>
      </c>
      <c r="J43" s="696" t="s">
        <v>16</v>
      </c>
      <c r="K43" s="696" t="s">
        <v>316</v>
      </c>
      <c r="L43" s="696" t="s">
        <v>1887</v>
      </c>
      <c r="M43" s="696" t="s">
        <v>2122</v>
      </c>
      <c r="N43" s="698" t="s">
        <v>2117</v>
      </c>
      <c r="O43" s="696" t="s">
        <v>17</v>
      </c>
      <c r="P43" s="696"/>
      <c r="Q43" s="696" t="s">
        <v>17</v>
      </c>
      <c r="R43" s="700" t="s">
        <v>17</v>
      </c>
      <c r="S43" s="696" t="s">
        <v>17</v>
      </c>
      <c r="T43" s="696" t="s">
        <v>17</v>
      </c>
      <c r="U43" s="696" t="s">
        <v>17</v>
      </c>
      <c r="V43" s="696" t="s">
        <v>17</v>
      </c>
      <c r="W43" s="696" t="s">
        <v>17</v>
      </c>
      <c r="X43" s="679" t="s">
        <v>2143</v>
      </c>
      <c r="Y43" s="696" t="s">
        <v>19</v>
      </c>
      <c r="Z43" s="679"/>
      <c r="AA43" s="696" t="s">
        <v>1635</v>
      </c>
    </row>
    <row r="44" spans="1:27" ht="150" customHeight="1" x14ac:dyDescent="0.2">
      <c r="A44" s="816">
        <v>762205</v>
      </c>
      <c r="B44" s="696" t="s">
        <v>227</v>
      </c>
      <c r="C44" s="816" t="s">
        <v>2145</v>
      </c>
      <c r="D44" s="816" t="s">
        <v>228</v>
      </c>
      <c r="E44" s="697">
        <v>44803</v>
      </c>
      <c r="F44" s="816" t="s">
        <v>2146</v>
      </c>
      <c r="G44" s="705" t="s">
        <v>229</v>
      </c>
      <c r="H44" s="816" t="s">
        <v>296</v>
      </c>
      <c r="I44" s="816" t="s">
        <v>2147</v>
      </c>
      <c r="J44" s="696" t="s">
        <v>16</v>
      </c>
      <c r="K44" s="816" t="s">
        <v>1024</v>
      </c>
      <c r="L44" s="816" t="s">
        <v>2148</v>
      </c>
      <c r="M44" s="816" t="s">
        <v>2149</v>
      </c>
      <c r="N44" s="816" t="s">
        <v>2150</v>
      </c>
      <c r="O44" s="816" t="s">
        <v>17</v>
      </c>
      <c r="P44" s="696"/>
      <c r="Q44" s="816" t="s">
        <v>17</v>
      </c>
      <c r="R44" s="816" t="s">
        <v>41</v>
      </c>
      <c r="S44" s="816" t="s">
        <v>17</v>
      </c>
      <c r="T44" s="816" t="s">
        <v>17</v>
      </c>
      <c r="U44" s="816" t="s">
        <v>17</v>
      </c>
      <c r="V44" s="816" t="s">
        <v>17</v>
      </c>
      <c r="W44" s="816" t="s">
        <v>17</v>
      </c>
      <c r="X44" s="698" t="s">
        <v>2151</v>
      </c>
      <c r="Y44" s="816" t="s">
        <v>24</v>
      </c>
      <c r="Z44" s="679"/>
      <c r="AA44" s="816" t="s">
        <v>960</v>
      </c>
    </row>
    <row r="45" spans="1:27" ht="150" customHeight="1" x14ac:dyDescent="0.2">
      <c r="A45" s="816">
        <v>765056</v>
      </c>
      <c r="B45" s="696" t="s">
        <v>227</v>
      </c>
      <c r="C45" s="816" t="s">
        <v>2152</v>
      </c>
      <c r="D45" s="816" t="s">
        <v>228</v>
      </c>
      <c r="E45" s="697">
        <v>44858</v>
      </c>
      <c r="F45" s="816" t="s">
        <v>2153</v>
      </c>
      <c r="G45" s="705" t="s">
        <v>229</v>
      </c>
      <c r="H45" s="816" t="s">
        <v>296</v>
      </c>
      <c r="I45" s="816" t="s">
        <v>2154</v>
      </c>
      <c r="J45" s="696" t="s">
        <v>16</v>
      </c>
      <c r="K45" s="816" t="s">
        <v>1024</v>
      </c>
      <c r="L45" s="816" t="s">
        <v>2148</v>
      </c>
      <c r="M45" s="816" t="s">
        <v>2149</v>
      </c>
      <c r="N45" s="816" t="s">
        <v>2155</v>
      </c>
      <c r="O45" s="816" t="s">
        <v>17</v>
      </c>
      <c r="P45" s="696"/>
      <c r="Q45" s="816" t="s">
        <v>17</v>
      </c>
      <c r="R45" s="679" t="s">
        <v>75</v>
      </c>
      <c r="S45" s="816" t="s">
        <v>17</v>
      </c>
      <c r="T45" s="816" t="s">
        <v>17</v>
      </c>
      <c r="U45" s="816" t="s">
        <v>17</v>
      </c>
      <c r="V45" s="816" t="s">
        <v>17</v>
      </c>
      <c r="W45" s="816" t="s">
        <v>17</v>
      </c>
      <c r="X45" s="698" t="s">
        <v>2156</v>
      </c>
      <c r="Y45" s="679" t="s">
        <v>19</v>
      </c>
      <c r="Z45" s="679"/>
      <c r="AA45" s="696" t="s">
        <v>1635</v>
      </c>
    </row>
    <row r="46" spans="1:27" ht="150" customHeight="1" x14ac:dyDescent="0.2">
      <c r="A46" s="816">
        <v>703995</v>
      </c>
      <c r="B46" s="696" t="s">
        <v>227</v>
      </c>
      <c r="C46" s="816" t="s">
        <v>2157</v>
      </c>
      <c r="D46" s="814" t="s">
        <v>228</v>
      </c>
      <c r="E46" s="697">
        <v>44672</v>
      </c>
      <c r="F46" s="696" t="s">
        <v>2158</v>
      </c>
      <c r="G46" s="705" t="s">
        <v>229</v>
      </c>
      <c r="H46" s="696" t="s">
        <v>296</v>
      </c>
      <c r="I46" s="696" t="s">
        <v>1023</v>
      </c>
      <c r="J46" s="696" t="s">
        <v>16</v>
      </c>
      <c r="K46" s="696" t="s">
        <v>1024</v>
      </c>
      <c r="L46" s="696" t="s">
        <v>2159</v>
      </c>
      <c r="M46" s="696" t="s">
        <v>2160</v>
      </c>
      <c r="N46" s="696" t="s">
        <v>2161</v>
      </c>
      <c r="O46" s="696" t="s">
        <v>17</v>
      </c>
      <c r="P46" s="696"/>
      <c r="Q46" s="696" t="s">
        <v>17</v>
      </c>
      <c r="R46" s="700" t="s">
        <v>17</v>
      </c>
      <c r="S46" s="696" t="s">
        <v>17</v>
      </c>
      <c r="T46" s="696" t="s">
        <v>17</v>
      </c>
      <c r="U46" s="696" t="s">
        <v>17</v>
      </c>
      <c r="V46" s="696" t="s">
        <v>17</v>
      </c>
      <c r="W46" s="696" t="s">
        <v>17</v>
      </c>
      <c r="X46" s="696" t="s">
        <v>2016</v>
      </c>
      <c r="Y46" s="696" t="s">
        <v>19</v>
      </c>
      <c r="Z46" s="679"/>
      <c r="AA46" s="696" t="s">
        <v>423</v>
      </c>
    </row>
    <row r="47" spans="1:27" ht="150" customHeight="1" x14ac:dyDescent="0.2">
      <c r="A47" s="696">
        <v>564777</v>
      </c>
      <c r="B47" s="696" t="s">
        <v>227</v>
      </c>
      <c r="C47" s="696" t="s">
        <v>2208</v>
      </c>
      <c r="D47" s="696" t="s">
        <v>228</v>
      </c>
      <c r="E47" s="697">
        <v>43080</v>
      </c>
      <c r="F47" s="696" t="s">
        <v>2209</v>
      </c>
      <c r="G47" s="705" t="s">
        <v>229</v>
      </c>
      <c r="H47" s="696" t="s">
        <v>638</v>
      </c>
      <c r="I47" s="696" t="s">
        <v>639</v>
      </c>
      <c r="J47" s="696" t="s">
        <v>16</v>
      </c>
      <c r="K47" s="696" t="s">
        <v>327</v>
      </c>
      <c r="L47" s="696" t="s">
        <v>2210</v>
      </c>
      <c r="M47" s="696" t="s">
        <v>2211</v>
      </c>
      <c r="N47" s="698" t="s">
        <v>2212</v>
      </c>
      <c r="O47" s="696" t="s">
        <v>2213</v>
      </c>
      <c r="P47" s="679" t="s">
        <v>163</v>
      </c>
      <c r="Q47" s="678" t="s">
        <v>23</v>
      </c>
      <c r="R47" s="679" t="s">
        <v>18</v>
      </c>
      <c r="S47" s="682" t="s">
        <v>23</v>
      </c>
      <c r="T47" s="682" t="s">
        <v>23</v>
      </c>
      <c r="U47" s="682" t="s">
        <v>23</v>
      </c>
      <c r="V47" s="682" t="s">
        <v>23</v>
      </c>
      <c r="W47" s="682" t="s">
        <v>23</v>
      </c>
      <c r="X47" s="696" t="s">
        <v>1192</v>
      </c>
      <c r="Y47" s="679" t="s">
        <v>19</v>
      </c>
      <c r="Z47" s="679"/>
      <c r="AA47" s="696" t="s">
        <v>423</v>
      </c>
    </row>
    <row r="48" spans="1:27" ht="150" customHeight="1" x14ac:dyDescent="0.2">
      <c r="A48" s="696">
        <v>795756</v>
      </c>
      <c r="B48" s="696" t="s">
        <v>227</v>
      </c>
      <c r="C48" s="696" t="s">
        <v>2453</v>
      </c>
      <c r="D48" s="696" t="s">
        <v>227</v>
      </c>
      <c r="E48" s="697">
        <v>45507</v>
      </c>
      <c r="F48" s="696" t="s">
        <v>2454</v>
      </c>
      <c r="G48" s="705" t="s">
        <v>229</v>
      </c>
      <c r="H48" s="696" t="s">
        <v>296</v>
      </c>
      <c r="I48" s="696" t="s">
        <v>1023</v>
      </c>
      <c r="J48" s="696" t="s">
        <v>16</v>
      </c>
      <c r="K48" s="696" t="s">
        <v>1024</v>
      </c>
      <c r="L48" s="696"/>
      <c r="M48" s="696" t="s">
        <v>2455</v>
      </c>
      <c r="N48" s="698" t="s">
        <v>2456</v>
      </c>
      <c r="O48" s="696" t="s">
        <v>2457</v>
      </c>
      <c r="P48" s="696"/>
      <c r="Q48" s="696" t="s">
        <v>2458</v>
      </c>
      <c r="R48" s="679" t="s">
        <v>43</v>
      </c>
      <c r="S48" s="696" t="s">
        <v>17</v>
      </c>
      <c r="T48" s="696" t="s">
        <v>17</v>
      </c>
      <c r="U48" s="696" t="s">
        <v>17</v>
      </c>
      <c r="V48" s="696" t="s">
        <v>17</v>
      </c>
      <c r="W48" s="696" t="s">
        <v>17</v>
      </c>
      <c r="X48" s="696" t="s">
        <v>2459</v>
      </c>
      <c r="Y48" s="814" t="s">
        <v>19</v>
      </c>
      <c r="Z48" s="679"/>
      <c r="AA48" s="696" t="s">
        <v>423</v>
      </c>
    </row>
    <row r="49" spans="1:27" ht="150" customHeight="1" x14ac:dyDescent="0.2">
      <c r="A49" s="696">
        <v>791255</v>
      </c>
      <c r="B49" s="696" t="s">
        <v>227</v>
      </c>
      <c r="C49" s="696" t="s">
        <v>2607</v>
      </c>
      <c r="D49" s="696" t="s">
        <v>227</v>
      </c>
      <c r="E49" s="697">
        <v>44097</v>
      </c>
      <c r="F49" s="696" t="s">
        <v>2608</v>
      </c>
      <c r="G49" s="705" t="s">
        <v>229</v>
      </c>
      <c r="H49" s="696" t="s">
        <v>296</v>
      </c>
      <c r="I49" s="696" t="s">
        <v>2609</v>
      </c>
      <c r="J49" s="696" t="s">
        <v>16</v>
      </c>
      <c r="K49" s="696" t="s">
        <v>1024</v>
      </c>
      <c r="L49" s="696" t="s">
        <v>2610</v>
      </c>
      <c r="M49" s="696" t="s">
        <v>2610</v>
      </c>
      <c r="N49" s="696"/>
      <c r="O49" s="696" t="s">
        <v>2611</v>
      </c>
      <c r="P49" s="696"/>
      <c r="Q49" s="696" t="s">
        <v>17</v>
      </c>
      <c r="R49" s="679" t="s">
        <v>68</v>
      </c>
      <c r="S49" s="696" t="s">
        <v>17</v>
      </c>
      <c r="T49" s="696" t="s">
        <v>17</v>
      </c>
      <c r="U49" s="696"/>
      <c r="V49" s="696"/>
      <c r="W49" s="696"/>
      <c r="X49" s="696"/>
      <c r="Y49" s="696" t="s">
        <v>24</v>
      </c>
      <c r="Z49" s="679"/>
      <c r="AA49" s="696" t="s">
        <v>423</v>
      </c>
    </row>
    <row r="50" spans="1:27" ht="150" customHeight="1" x14ac:dyDescent="0.2">
      <c r="A50" s="696">
        <v>518787</v>
      </c>
      <c r="B50" s="696" t="s">
        <v>227</v>
      </c>
      <c r="C50" s="696" t="s">
        <v>2612</v>
      </c>
      <c r="D50" s="696" t="s">
        <v>227</v>
      </c>
      <c r="E50" s="697">
        <v>42076</v>
      </c>
      <c r="F50" s="696" t="s">
        <v>2613</v>
      </c>
      <c r="G50" s="705" t="s">
        <v>229</v>
      </c>
      <c r="H50" s="696" t="s">
        <v>296</v>
      </c>
      <c r="I50" s="696" t="s">
        <v>2614</v>
      </c>
      <c r="J50" s="696" t="s">
        <v>16</v>
      </c>
      <c r="K50" s="696" t="s">
        <v>1024</v>
      </c>
      <c r="L50" s="696" t="s">
        <v>2615</v>
      </c>
      <c r="M50" s="696" t="s">
        <v>2615</v>
      </c>
      <c r="N50" s="696"/>
      <c r="O50" s="696"/>
      <c r="P50" s="696"/>
      <c r="Q50" s="696"/>
      <c r="R50" s="700" t="s">
        <v>17</v>
      </c>
      <c r="S50" s="696"/>
      <c r="T50" s="696"/>
      <c r="U50" s="696"/>
      <c r="V50" s="696"/>
      <c r="W50" s="696"/>
      <c r="X50" s="696"/>
      <c r="Y50" s="696" t="s">
        <v>24</v>
      </c>
      <c r="Z50" s="679"/>
      <c r="AA50" s="696" t="s">
        <v>423</v>
      </c>
    </row>
    <row r="51" spans="1:27" ht="150" customHeight="1" x14ac:dyDescent="0.2">
      <c r="A51" s="696">
        <v>807588</v>
      </c>
      <c r="B51" s="696" t="s">
        <v>227</v>
      </c>
      <c r="C51" s="696" t="s">
        <v>2616</v>
      </c>
      <c r="D51" s="696" t="s">
        <v>227</v>
      </c>
      <c r="E51" s="697">
        <v>44847</v>
      </c>
      <c r="F51" s="696" t="s">
        <v>2617</v>
      </c>
      <c r="G51" s="705" t="s">
        <v>229</v>
      </c>
      <c r="H51" s="696" t="s">
        <v>296</v>
      </c>
      <c r="I51" s="696" t="s">
        <v>2618</v>
      </c>
      <c r="J51" s="696" t="s">
        <v>16</v>
      </c>
      <c r="K51" s="696" t="s">
        <v>1024</v>
      </c>
      <c r="L51" s="696" t="s">
        <v>2619</v>
      </c>
      <c r="M51" s="696" t="s">
        <v>2619</v>
      </c>
      <c r="N51" s="696"/>
      <c r="O51" s="696" t="s">
        <v>2620</v>
      </c>
      <c r="P51" s="696"/>
      <c r="Q51" s="696"/>
      <c r="R51" s="700" t="s">
        <v>17</v>
      </c>
      <c r="S51" s="696"/>
      <c r="T51" s="696"/>
      <c r="U51" s="696"/>
      <c r="V51" s="696"/>
      <c r="W51" s="696"/>
      <c r="X51" s="696"/>
      <c r="Y51" s="696" t="s">
        <v>24</v>
      </c>
      <c r="Z51" s="679"/>
      <c r="AA51" s="696" t="s">
        <v>423</v>
      </c>
    </row>
    <row r="52" spans="1:27" ht="150" customHeight="1" x14ac:dyDescent="0.2">
      <c r="A52" s="696">
        <v>827510</v>
      </c>
      <c r="B52" s="696" t="s">
        <v>227</v>
      </c>
      <c r="C52" s="696" t="s">
        <v>2621</v>
      </c>
      <c r="D52" s="696" t="s">
        <v>227</v>
      </c>
      <c r="E52" s="697">
        <v>45394</v>
      </c>
      <c r="F52" s="696" t="s">
        <v>2622</v>
      </c>
      <c r="G52" s="705" t="s">
        <v>229</v>
      </c>
      <c r="H52" s="696" t="s">
        <v>296</v>
      </c>
      <c r="I52" s="696" t="s">
        <v>1023</v>
      </c>
      <c r="J52" s="696" t="s">
        <v>16</v>
      </c>
      <c r="K52" s="696" t="s">
        <v>1024</v>
      </c>
      <c r="L52" s="696" t="s">
        <v>2623</v>
      </c>
      <c r="M52" s="696"/>
      <c r="N52" s="696"/>
      <c r="O52" s="696"/>
      <c r="P52" s="696"/>
      <c r="Q52" s="696"/>
      <c r="R52" s="700" t="s">
        <v>17</v>
      </c>
      <c r="S52" s="696"/>
      <c r="T52" s="696"/>
      <c r="U52" s="696"/>
      <c r="V52" s="696"/>
      <c r="W52" s="696"/>
      <c r="X52" s="696"/>
      <c r="Y52" s="696" t="s">
        <v>24</v>
      </c>
      <c r="Z52" s="679"/>
      <c r="AA52" s="696" t="s">
        <v>423</v>
      </c>
    </row>
    <row r="53" spans="1:27" ht="150" customHeight="1" x14ac:dyDescent="0.2">
      <c r="A53" s="696">
        <v>827513</v>
      </c>
      <c r="B53" s="696" t="s">
        <v>227</v>
      </c>
      <c r="C53" s="696" t="s">
        <v>2624</v>
      </c>
      <c r="D53" s="696" t="s">
        <v>227</v>
      </c>
      <c r="E53" s="697">
        <v>45608</v>
      </c>
      <c r="F53" s="696" t="s">
        <v>2622</v>
      </c>
      <c r="G53" s="705" t="s">
        <v>229</v>
      </c>
      <c r="H53" s="696" t="s">
        <v>296</v>
      </c>
      <c r="I53" s="696" t="s">
        <v>2625</v>
      </c>
      <c r="J53" s="696" t="s">
        <v>16</v>
      </c>
      <c r="K53" s="696" t="s">
        <v>1024</v>
      </c>
      <c r="L53" s="696"/>
      <c r="M53" s="696"/>
      <c r="N53" s="696"/>
      <c r="O53" s="696"/>
      <c r="P53" s="696"/>
      <c r="Q53" s="696"/>
      <c r="R53" s="700" t="s">
        <v>17</v>
      </c>
      <c r="S53" s="696"/>
      <c r="T53" s="696"/>
      <c r="U53" s="696"/>
      <c r="V53" s="696"/>
      <c r="W53" s="696"/>
      <c r="X53" s="696"/>
      <c r="Y53" s="696" t="s">
        <v>24</v>
      </c>
      <c r="Z53" s="679" t="s">
        <v>17</v>
      </c>
      <c r="AA53" s="696" t="s">
        <v>423</v>
      </c>
    </row>
    <row r="54" spans="1:27" ht="150" customHeight="1" x14ac:dyDescent="0.2">
      <c r="A54" s="696">
        <v>816403</v>
      </c>
      <c r="B54" s="696" t="s">
        <v>227</v>
      </c>
      <c r="C54" s="696" t="s">
        <v>2626</v>
      </c>
      <c r="D54" s="696" t="s">
        <v>227</v>
      </c>
      <c r="E54" s="697">
        <v>45023</v>
      </c>
      <c r="F54" s="696" t="s">
        <v>2627</v>
      </c>
      <c r="G54" s="705" t="s">
        <v>229</v>
      </c>
      <c r="H54" s="696" t="s">
        <v>296</v>
      </c>
      <c r="I54" s="696" t="s">
        <v>2628</v>
      </c>
      <c r="J54" s="696" t="s">
        <v>16</v>
      </c>
      <c r="K54" s="696" t="s">
        <v>1024</v>
      </c>
      <c r="L54" s="696" t="s">
        <v>2619</v>
      </c>
      <c r="M54" s="696" t="s">
        <v>2619</v>
      </c>
      <c r="N54" s="696"/>
      <c r="O54" s="696"/>
      <c r="P54" s="696" t="s">
        <v>47</v>
      </c>
      <c r="Q54" s="696"/>
      <c r="R54" s="700" t="s">
        <v>17</v>
      </c>
      <c r="S54" s="696"/>
      <c r="T54" s="696"/>
      <c r="U54" s="696"/>
      <c r="V54" s="696"/>
      <c r="W54" s="696"/>
      <c r="X54" s="696"/>
      <c r="Y54" s="696" t="s">
        <v>19</v>
      </c>
      <c r="Z54" s="679" t="s">
        <v>17</v>
      </c>
      <c r="AA54" s="696" t="s">
        <v>423</v>
      </c>
    </row>
    <row r="55" spans="1:27" ht="150" customHeight="1" x14ac:dyDescent="0.2">
      <c r="A55" s="814">
        <v>807575</v>
      </c>
      <c r="B55" s="696" t="s">
        <v>227</v>
      </c>
      <c r="C55" s="696" t="s">
        <v>2630</v>
      </c>
      <c r="D55" s="696" t="s">
        <v>228</v>
      </c>
      <c r="E55" s="697">
        <v>45329</v>
      </c>
      <c r="F55" s="696" t="s">
        <v>2631</v>
      </c>
      <c r="G55" s="705" t="s">
        <v>229</v>
      </c>
      <c r="H55" s="814" t="s">
        <v>296</v>
      </c>
      <c r="I55" s="696" t="s">
        <v>2632</v>
      </c>
      <c r="J55" s="696" t="s">
        <v>16</v>
      </c>
      <c r="K55" s="696" t="s">
        <v>316</v>
      </c>
      <c r="L55" s="696" t="s">
        <v>2633</v>
      </c>
      <c r="M55" s="696" t="s">
        <v>2633</v>
      </c>
      <c r="N55" s="696" t="s">
        <v>2634</v>
      </c>
      <c r="O55" s="696"/>
      <c r="P55" s="679" t="s">
        <v>163</v>
      </c>
      <c r="Q55" s="814" t="s">
        <v>2635</v>
      </c>
      <c r="R55" s="814" t="s">
        <v>21</v>
      </c>
      <c r="S55" s="696" t="s">
        <v>23</v>
      </c>
      <c r="T55" s="696" t="s">
        <v>23</v>
      </c>
      <c r="U55" s="696" t="s">
        <v>23</v>
      </c>
      <c r="V55" s="696" t="s">
        <v>23</v>
      </c>
      <c r="W55" s="696" t="s">
        <v>23</v>
      </c>
      <c r="X55" s="696"/>
      <c r="Y55" s="814" t="s">
        <v>19</v>
      </c>
      <c r="Z55" s="679" t="s">
        <v>17</v>
      </c>
      <c r="AA55" s="696" t="s">
        <v>423</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1EF60744-AA6C-4CFF-94D0-752B88907FF2}">
          <x14:formula1>
            <xm:f>Tablas!$N$42:$N$43</xm:f>
          </x14:formula1>
          <xm:sqref>G1:G1048576</xm:sqref>
        </x14:dataValidation>
        <x14:dataValidation type="list" allowBlank="1" showInputMessage="1" showErrorMessage="1" xr:uid="{CE45C7C6-CF78-4198-9C6D-97693A236CEC}">
          <x14:formula1>
            <xm:f>Tablas!$N$26</xm:f>
          </x14:formula1>
          <xm:sqref>D1:D1048576 B1:B1048576</xm:sqref>
        </x14:dataValidation>
        <x14:dataValidation type="list" allowBlank="1" showInputMessage="1" showErrorMessage="1" xr:uid="{0486255B-B605-4AC6-A0DC-AE47FA82AAC8}">
          <x14:formula1>
            <xm:f>Tablas!$N$27:$N$28</xm:f>
          </x14:formula1>
          <xm:sqref>K1:K1048576</xm:sqref>
        </x14:dataValidation>
        <x14:dataValidation type="list" allowBlank="1" showInputMessage="1" showErrorMessage="1" xr:uid="{F7D53C77-98AB-48D2-A7C8-CC37E8ECE114}">
          <x14:formula1>
            <xm:f>Tablas!$O$42:$O$44</xm:f>
          </x14:formula1>
          <xm:sqref>P1:P1048576</xm:sqref>
        </x14:dataValidation>
        <x14:dataValidation type="list" allowBlank="1" showInputMessage="1" showErrorMessage="1" xr:uid="{73CE19FE-A82B-4FEC-9728-87082966CD6D}">
          <x14:formula1>
            <xm:f>Tablas!$Q$19:$Q$38</xm:f>
          </x14:formula1>
          <xm:sqref>R1:R1048576</xm:sqref>
        </x14:dataValidation>
        <x14:dataValidation type="list" allowBlank="1" showInputMessage="1" showErrorMessage="1" xr:uid="{B1ABC004-F474-465E-906E-3AA37D290586}">
          <x14:formula1>
            <xm:f>Tablas!$Q$41:$Q$42</xm:f>
          </x14:formula1>
          <xm:sqref>Y1:Y1048576</xm:sqref>
        </x14:dataValidation>
        <x14:dataValidation type="list" allowBlank="1" showInputMessage="1" showErrorMessage="1" xr:uid="{C8F11F80-B80B-42D5-8903-8D36B5A794F9}">
          <x14:formula1>
            <xm:f>Tablas!$N$30:$N$40</xm:f>
          </x14:formula1>
          <xm:sqref>AA1:AA1048576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460E-964F-654C-AEAB-5A6933FF04E0}">
  <sheetPr codeName="Hoja8">
    <pageSetUpPr fitToPage="1"/>
  </sheetPr>
  <dimension ref="A1:AE150"/>
  <sheetViews>
    <sheetView zoomScale="70" zoomScaleNormal="70" workbookViewId="0">
      <pane ySplit="1" topLeftCell="A148" activePane="bottomLeft" state="frozen"/>
      <selection pane="bottomLeft" sqref="A1:XFD1"/>
    </sheetView>
  </sheetViews>
  <sheetFormatPr baseColWidth="10" defaultColWidth="30.7109375" defaultRowHeight="150" customHeight="1" x14ac:dyDescent="0.2"/>
  <cols>
    <col min="1" max="5" width="30.7109375" style="669"/>
    <col min="6" max="6" width="36.5703125" style="669" bestFit="1" customWidth="1"/>
    <col min="7" max="27" width="30.7109375" style="669"/>
    <col min="28" max="28" width="30.7109375" style="669" bestFit="1" customWidth="1"/>
    <col min="29" max="16384" width="30.7109375" style="669"/>
  </cols>
  <sheetData>
    <row r="1" spans="1:31" ht="75" x14ac:dyDescent="0.2">
      <c r="A1" s="708" t="s">
        <v>261</v>
      </c>
      <c r="B1" s="709" t="s">
        <v>262</v>
      </c>
      <c r="C1" s="709" t="s">
        <v>3679</v>
      </c>
      <c r="D1" s="709" t="s">
        <v>264</v>
      </c>
      <c r="E1" s="709" t="s">
        <v>265</v>
      </c>
      <c r="F1" s="709" t="s">
        <v>266</v>
      </c>
      <c r="G1" s="709" t="s">
        <v>267</v>
      </c>
      <c r="H1" s="709" t="s">
        <v>268</v>
      </c>
      <c r="I1" s="709" t="s">
        <v>269</v>
      </c>
      <c r="J1" s="709" t="s">
        <v>270</v>
      </c>
      <c r="K1" s="709" t="s">
        <v>271</v>
      </c>
      <c r="L1" s="710" t="s">
        <v>272</v>
      </c>
      <c r="M1" s="709" t="s">
        <v>274</v>
      </c>
      <c r="N1" s="709" t="s">
        <v>275</v>
      </c>
      <c r="O1" s="711" t="s">
        <v>276</v>
      </c>
      <c r="P1" s="711" t="s">
        <v>277</v>
      </c>
      <c r="Q1" s="711" t="s">
        <v>3843</v>
      </c>
      <c r="R1" s="712" t="s">
        <v>279</v>
      </c>
      <c r="S1" s="711" t="s">
        <v>280</v>
      </c>
      <c r="T1" s="713" t="s">
        <v>281</v>
      </c>
      <c r="U1" s="711" t="s">
        <v>282</v>
      </c>
      <c r="V1" s="714" t="s">
        <v>283</v>
      </c>
      <c r="W1" s="713" t="s">
        <v>284</v>
      </c>
      <c r="X1" s="711" t="s">
        <v>285</v>
      </c>
      <c r="Y1" s="715" t="s">
        <v>286</v>
      </c>
      <c r="Z1" s="715" t="s">
        <v>287</v>
      </c>
      <c r="AA1" s="716" t="s">
        <v>288</v>
      </c>
      <c r="AB1" s="716" t="s">
        <v>289</v>
      </c>
      <c r="AC1" s="711" t="s">
        <v>290</v>
      </c>
      <c r="AD1" s="711" t="s">
        <v>291</v>
      </c>
      <c r="AE1" s="717" t="s">
        <v>292</v>
      </c>
    </row>
    <row r="2" spans="1:31" ht="150" customHeight="1" x14ac:dyDescent="0.2">
      <c r="A2" s="696">
        <v>31038</v>
      </c>
      <c r="B2" s="696" t="s">
        <v>31</v>
      </c>
      <c r="C2" s="696" t="s">
        <v>2706</v>
      </c>
      <c r="D2" s="696" t="s">
        <v>32</v>
      </c>
      <c r="E2" s="701">
        <v>37222</v>
      </c>
      <c r="F2" s="696" t="s">
        <v>2707</v>
      </c>
      <c r="G2" s="696" t="s">
        <v>33</v>
      </c>
      <c r="H2" s="696" t="s">
        <v>2708</v>
      </c>
      <c r="I2" s="696" t="s">
        <v>2709</v>
      </c>
      <c r="J2" s="696" t="s">
        <v>3720</v>
      </c>
      <c r="K2" s="696" t="s">
        <v>2710</v>
      </c>
      <c r="L2" s="696" t="s">
        <v>2711</v>
      </c>
      <c r="M2" s="696" t="s">
        <v>2712</v>
      </c>
      <c r="N2" s="696" t="s">
        <v>2713</v>
      </c>
      <c r="O2" s="679" t="s">
        <v>23</v>
      </c>
      <c r="P2" s="679" t="s">
        <v>23</v>
      </c>
      <c r="Q2" s="679" t="s">
        <v>47</v>
      </c>
      <c r="R2" s="678" t="s">
        <v>2714</v>
      </c>
      <c r="S2" s="679" t="s">
        <v>18</v>
      </c>
      <c r="T2" s="682">
        <v>10445</v>
      </c>
      <c r="U2" s="679" t="s">
        <v>23</v>
      </c>
      <c r="V2" s="679" t="s">
        <v>23</v>
      </c>
      <c r="W2" s="679" t="s">
        <v>23</v>
      </c>
      <c r="X2" s="679" t="s">
        <v>23</v>
      </c>
      <c r="Y2" s="703">
        <v>38058</v>
      </c>
      <c r="Z2" s="703">
        <v>39383</v>
      </c>
      <c r="AA2" s="678" t="s">
        <v>3110</v>
      </c>
      <c r="AB2" s="678" t="s">
        <v>2716</v>
      </c>
      <c r="AC2" s="679" t="s">
        <v>19</v>
      </c>
      <c r="AD2" s="679" t="s">
        <v>2717</v>
      </c>
      <c r="AE2" s="696" t="s">
        <v>3844</v>
      </c>
    </row>
    <row r="3" spans="1:31" ht="150" customHeight="1" x14ac:dyDescent="0.2">
      <c r="A3" s="696">
        <v>167094</v>
      </c>
      <c r="B3" s="696" t="s">
        <v>31</v>
      </c>
      <c r="C3" s="696" t="s">
        <v>2718</v>
      </c>
      <c r="D3" s="696" t="s">
        <v>36</v>
      </c>
      <c r="E3" s="701">
        <v>37193</v>
      </c>
      <c r="F3" s="696" t="s">
        <v>2719</v>
      </c>
      <c r="G3" s="696" t="s">
        <v>33</v>
      </c>
      <c r="H3" s="696" t="s">
        <v>2720</v>
      </c>
      <c r="I3" s="696" t="s">
        <v>2721</v>
      </c>
      <c r="J3" s="696" t="s">
        <v>3720</v>
      </c>
      <c r="K3" s="696" t="s">
        <v>2722</v>
      </c>
      <c r="L3" s="696" t="s">
        <v>2711</v>
      </c>
      <c r="M3" s="696" t="s">
        <v>2723</v>
      </c>
      <c r="N3" s="696" t="s">
        <v>2724</v>
      </c>
      <c r="O3" s="679" t="s">
        <v>23</v>
      </c>
      <c r="P3" s="679" t="s">
        <v>23</v>
      </c>
      <c r="Q3" s="679" t="s">
        <v>47</v>
      </c>
      <c r="R3" s="704">
        <v>3296</v>
      </c>
      <c r="S3" s="679" t="s">
        <v>38</v>
      </c>
      <c r="T3" s="682">
        <v>2739</v>
      </c>
      <c r="U3" s="679" t="s">
        <v>23</v>
      </c>
      <c r="V3" s="679" t="s">
        <v>23</v>
      </c>
      <c r="W3" s="679" t="s">
        <v>23</v>
      </c>
      <c r="X3" s="679" t="s">
        <v>23</v>
      </c>
      <c r="Y3" s="703">
        <v>37379</v>
      </c>
      <c r="Z3" s="703">
        <v>37463</v>
      </c>
      <c r="AA3" s="678" t="s">
        <v>3845</v>
      </c>
      <c r="AB3" s="678" t="s">
        <v>2726</v>
      </c>
      <c r="AC3" s="679" t="s">
        <v>22</v>
      </c>
      <c r="AD3" s="679" t="s">
        <v>341</v>
      </c>
      <c r="AE3" s="696" t="s">
        <v>600</v>
      </c>
    </row>
    <row r="4" spans="1:31" ht="150" customHeight="1" x14ac:dyDescent="0.2">
      <c r="A4" s="696">
        <v>10886</v>
      </c>
      <c r="B4" s="696" t="s">
        <v>31</v>
      </c>
      <c r="C4" s="696" t="s">
        <v>2727</v>
      </c>
      <c r="D4" s="696" t="s">
        <v>36</v>
      </c>
      <c r="E4" s="701">
        <v>37245</v>
      </c>
      <c r="F4" s="696" t="s">
        <v>295</v>
      </c>
      <c r="G4" s="696" t="s">
        <v>39</v>
      </c>
      <c r="H4" s="696" t="s">
        <v>2728</v>
      </c>
      <c r="I4" s="696" t="s">
        <v>2729</v>
      </c>
      <c r="J4" s="696" t="s">
        <v>3720</v>
      </c>
      <c r="K4" s="696" t="s">
        <v>2722</v>
      </c>
      <c r="L4" s="696" t="s">
        <v>2730</v>
      </c>
      <c r="M4" s="696" t="s">
        <v>2731</v>
      </c>
      <c r="N4" s="696" t="s">
        <v>2732</v>
      </c>
      <c r="O4" s="679" t="s">
        <v>862</v>
      </c>
      <c r="P4" s="679" t="s">
        <v>23</v>
      </c>
      <c r="Q4" s="679"/>
      <c r="R4" s="704" t="s">
        <v>2733</v>
      </c>
      <c r="S4" s="679" t="s">
        <v>41</v>
      </c>
      <c r="T4" s="682" t="s">
        <v>23</v>
      </c>
      <c r="U4" s="679" t="s">
        <v>23</v>
      </c>
      <c r="V4" s="679" t="s">
        <v>23</v>
      </c>
      <c r="W4" s="679" t="s">
        <v>23</v>
      </c>
      <c r="X4" s="679" t="s">
        <v>23</v>
      </c>
      <c r="Y4" s="703">
        <v>37971</v>
      </c>
      <c r="Z4" s="703">
        <v>38883</v>
      </c>
      <c r="AA4" s="678" t="s">
        <v>3845</v>
      </c>
      <c r="AB4" s="678" t="s">
        <v>2734</v>
      </c>
      <c r="AC4" s="679" t="s">
        <v>22</v>
      </c>
      <c r="AD4" s="679" t="s">
        <v>439</v>
      </c>
      <c r="AE4" s="696" t="s">
        <v>2735</v>
      </c>
    </row>
    <row r="5" spans="1:31" ht="150" customHeight="1" x14ac:dyDescent="0.2">
      <c r="A5" s="696">
        <v>12622</v>
      </c>
      <c r="B5" s="696" t="s">
        <v>31</v>
      </c>
      <c r="C5" s="696" t="s">
        <v>2736</v>
      </c>
      <c r="D5" s="696" t="s">
        <v>36</v>
      </c>
      <c r="E5" s="701">
        <v>37672</v>
      </c>
      <c r="F5" s="696" t="s">
        <v>2737</v>
      </c>
      <c r="G5" s="696" t="s">
        <v>33</v>
      </c>
      <c r="H5" s="696" t="s">
        <v>2738</v>
      </c>
      <c r="I5" s="696" t="s">
        <v>2739</v>
      </c>
      <c r="J5" s="696" t="s">
        <v>3720</v>
      </c>
      <c r="K5" s="696" t="s">
        <v>2722</v>
      </c>
      <c r="L5" s="696" t="s">
        <v>2740</v>
      </c>
      <c r="M5" s="696" t="s">
        <v>2741</v>
      </c>
      <c r="N5" s="696" t="s">
        <v>2742</v>
      </c>
      <c r="O5" s="679" t="s">
        <v>23</v>
      </c>
      <c r="P5" s="679" t="s">
        <v>23</v>
      </c>
      <c r="Q5" s="679"/>
      <c r="R5" s="704">
        <v>2925</v>
      </c>
      <c r="S5" s="679" t="s">
        <v>43</v>
      </c>
      <c r="T5" s="682">
        <v>10465</v>
      </c>
      <c r="U5" s="679" t="s">
        <v>23</v>
      </c>
      <c r="V5" s="679" t="s">
        <v>23</v>
      </c>
      <c r="W5" s="679" t="s">
        <v>23</v>
      </c>
      <c r="X5" s="679" t="s">
        <v>23</v>
      </c>
      <c r="Y5" s="703">
        <v>38408</v>
      </c>
      <c r="Z5" s="703">
        <v>40143</v>
      </c>
      <c r="AA5" s="678" t="s">
        <v>3845</v>
      </c>
      <c r="AB5" s="678" t="s">
        <v>2744</v>
      </c>
      <c r="AC5" s="679" t="s">
        <v>22</v>
      </c>
      <c r="AD5" s="679" t="s">
        <v>439</v>
      </c>
      <c r="AE5" s="696" t="s">
        <v>600</v>
      </c>
    </row>
    <row r="6" spans="1:31" ht="150" customHeight="1" x14ac:dyDescent="0.2">
      <c r="A6" s="696">
        <v>54949</v>
      </c>
      <c r="B6" s="696" t="s">
        <v>31</v>
      </c>
      <c r="C6" s="696" t="s">
        <v>2745</v>
      </c>
      <c r="D6" s="696" t="s">
        <v>36</v>
      </c>
      <c r="E6" s="701">
        <v>37930</v>
      </c>
      <c r="F6" s="696" t="s">
        <v>2746</v>
      </c>
      <c r="G6" s="718" t="s">
        <v>3733</v>
      </c>
      <c r="H6" s="696" t="s">
        <v>2747</v>
      </c>
      <c r="I6" s="696" t="s">
        <v>2748</v>
      </c>
      <c r="J6" s="696" t="s">
        <v>34</v>
      </c>
      <c r="K6" s="696" t="s">
        <v>298</v>
      </c>
      <c r="L6" s="696" t="s">
        <v>2749</v>
      </c>
      <c r="M6" s="696" t="s">
        <v>2750</v>
      </c>
      <c r="N6" s="696" t="s">
        <v>2751</v>
      </c>
      <c r="O6" s="679" t="s">
        <v>23</v>
      </c>
      <c r="P6" s="679" t="s">
        <v>23</v>
      </c>
      <c r="Q6" s="679"/>
      <c r="R6" s="704">
        <v>3363</v>
      </c>
      <c r="S6" s="679" t="s">
        <v>41</v>
      </c>
      <c r="T6" s="682">
        <v>544.55999999999995</v>
      </c>
      <c r="U6" s="679" t="s">
        <v>23</v>
      </c>
      <c r="V6" s="679" t="s">
        <v>23</v>
      </c>
      <c r="W6" s="679" t="s">
        <v>23</v>
      </c>
      <c r="X6" s="679" t="s">
        <v>23</v>
      </c>
      <c r="Y6" s="703">
        <v>38183</v>
      </c>
      <c r="Z6" s="703" t="s">
        <v>23</v>
      </c>
      <c r="AA6" s="678" t="s">
        <v>2752</v>
      </c>
      <c r="AB6" s="678" t="s">
        <v>2753</v>
      </c>
      <c r="AC6" s="679" t="s">
        <v>22</v>
      </c>
      <c r="AD6" s="679" t="s">
        <v>439</v>
      </c>
      <c r="AE6" s="696" t="s">
        <v>600</v>
      </c>
    </row>
    <row r="7" spans="1:31" s="670" customFormat="1" ht="150" customHeight="1" x14ac:dyDescent="0.2">
      <c r="A7" s="696">
        <v>10886</v>
      </c>
      <c r="B7" s="696" t="s">
        <v>31</v>
      </c>
      <c r="C7" s="696" t="s">
        <v>2754</v>
      </c>
      <c r="D7" s="696" t="s">
        <v>36</v>
      </c>
      <c r="E7" s="701">
        <v>37653</v>
      </c>
      <c r="F7" s="696" t="s">
        <v>2755</v>
      </c>
      <c r="G7" s="696" t="s">
        <v>39</v>
      </c>
      <c r="H7" s="696" t="s">
        <v>2756</v>
      </c>
      <c r="I7" s="696" t="s">
        <v>2757</v>
      </c>
      <c r="J7" s="696" t="s">
        <v>34</v>
      </c>
      <c r="K7" s="696" t="s">
        <v>2722</v>
      </c>
      <c r="L7" s="696" t="s">
        <v>2758</v>
      </c>
      <c r="M7" s="696" t="s">
        <v>2758</v>
      </c>
      <c r="N7" s="696" t="s">
        <v>23</v>
      </c>
      <c r="O7" s="679" t="s">
        <v>23</v>
      </c>
      <c r="P7" s="679" t="s">
        <v>23</v>
      </c>
      <c r="Q7" s="679"/>
      <c r="R7" s="704" t="s">
        <v>23</v>
      </c>
      <c r="S7" s="679" t="s">
        <v>46</v>
      </c>
      <c r="T7" s="682" t="s">
        <v>23</v>
      </c>
      <c r="U7" s="679" t="s">
        <v>23</v>
      </c>
      <c r="V7" s="679" t="s">
        <v>23</v>
      </c>
      <c r="W7" s="679" t="s">
        <v>23</v>
      </c>
      <c r="X7" s="679" t="s">
        <v>23</v>
      </c>
      <c r="Y7" s="703">
        <v>39759</v>
      </c>
      <c r="Z7" s="703">
        <v>40941</v>
      </c>
      <c r="AA7" s="678" t="s">
        <v>3846</v>
      </c>
      <c r="AB7" s="678" t="s">
        <v>2760</v>
      </c>
      <c r="AC7" s="679" t="s">
        <v>22</v>
      </c>
      <c r="AD7" s="679" t="s">
        <v>3681</v>
      </c>
      <c r="AE7" s="696" t="s">
        <v>546</v>
      </c>
    </row>
    <row r="8" spans="1:31" ht="150" customHeight="1" x14ac:dyDescent="0.2">
      <c r="A8" s="696">
        <v>52051</v>
      </c>
      <c r="B8" s="696" t="s">
        <v>31</v>
      </c>
      <c r="C8" s="696" t="s">
        <v>2761</v>
      </c>
      <c r="D8" s="696" t="s">
        <v>36</v>
      </c>
      <c r="E8" s="701">
        <v>38090</v>
      </c>
      <c r="F8" s="696" t="s">
        <v>847</v>
      </c>
      <c r="G8" s="696" t="s">
        <v>33</v>
      </c>
      <c r="H8" s="696" t="s">
        <v>2762</v>
      </c>
      <c r="I8" s="696" t="s">
        <v>2763</v>
      </c>
      <c r="J8" s="696" t="s">
        <v>34</v>
      </c>
      <c r="K8" s="696" t="s">
        <v>298</v>
      </c>
      <c r="L8" s="696" t="s">
        <v>2711</v>
      </c>
      <c r="M8" s="696" t="s">
        <v>2765</v>
      </c>
      <c r="N8" s="696" t="s">
        <v>2766</v>
      </c>
      <c r="O8" s="679" t="s">
        <v>23</v>
      </c>
      <c r="P8" s="679" t="s">
        <v>23</v>
      </c>
      <c r="Q8" s="679"/>
      <c r="R8" s="704">
        <v>2232</v>
      </c>
      <c r="S8" s="679" t="s">
        <v>38</v>
      </c>
      <c r="T8" s="682">
        <v>1516.82</v>
      </c>
      <c r="U8" s="679" t="s">
        <v>23</v>
      </c>
      <c r="V8" s="679" t="s">
        <v>23</v>
      </c>
      <c r="W8" s="679" t="s">
        <v>23</v>
      </c>
      <c r="X8" s="679" t="s">
        <v>23</v>
      </c>
      <c r="Y8" s="703">
        <v>38743</v>
      </c>
      <c r="Z8" s="703">
        <v>40276</v>
      </c>
      <c r="AA8" s="678" t="s">
        <v>3846</v>
      </c>
      <c r="AB8" s="678" t="s">
        <v>2767</v>
      </c>
      <c r="AC8" s="679" t="s">
        <v>22</v>
      </c>
      <c r="AD8" s="679" t="s">
        <v>341</v>
      </c>
      <c r="AE8" s="696" t="s">
        <v>600</v>
      </c>
    </row>
    <row r="9" spans="1:31" ht="150" customHeight="1" x14ac:dyDescent="0.2">
      <c r="A9" s="696">
        <v>51123</v>
      </c>
      <c r="B9" s="696" t="s">
        <v>31</v>
      </c>
      <c r="C9" s="696" t="s">
        <v>2769</v>
      </c>
      <c r="D9" s="696" t="s">
        <v>36</v>
      </c>
      <c r="E9" s="701">
        <v>38464</v>
      </c>
      <c r="F9" s="696" t="s">
        <v>2770</v>
      </c>
      <c r="G9" s="696" t="s">
        <v>33</v>
      </c>
      <c r="H9" s="696" t="s">
        <v>2771</v>
      </c>
      <c r="I9" s="696" t="s">
        <v>2772</v>
      </c>
      <c r="J9" s="696" t="s">
        <v>34</v>
      </c>
      <c r="K9" s="696" t="s">
        <v>298</v>
      </c>
      <c r="L9" s="696" t="s">
        <v>2773</v>
      </c>
      <c r="M9" s="696" t="s">
        <v>2774</v>
      </c>
      <c r="N9" s="696" t="s">
        <v>23</v>
      </c>
      <c r="O9" s="679" t="s">
        <v>23</v>
      </c>
      <c r="P9" s="679" t="s">
        <v>23</v>
      </c>
      <c r="Q9" s="679"/>
      <c r="R9" s="704" t="s">
        <v>23</v>
      </c>
      <c r="S9" s="679" t="s">
        <v>21</v>
      </c>
      <c r="T9" s="682" t="s">
        <v>23</v>
      </c>
      <c r="U9" s="679" t="s">
        <v>23</v>
      </c>
      <c r="V9" s="679" t="s">
        <v>23</v>
      </c>
      <c r="W9" s="679" t="s">
        <v>23</v>
      </c>
      <c r="X9" s="679" t="s">
        <v>23</v>
      </c>
      <c r="Y9" s="703">
        <v>38989</v>
      </c>
      <c r="Z9" s="703">
        <v>41583</v>
      </c>
      <c r="AA9" s="678" t="s">
        <v>3110</v>
      </c>
      <c r="AB9" s="678" t="s">
        <v>3847</v>
      </c>
      <c r="AC9" s="679" t="s">
        <v>22</v>
      </c>
      <c r="AD9" s="679" t="s">
        <v>2717</v>
      </c>
      <c r="AE9" s="696" t="s">
        <v>2777</v>
      </c>
    </row>
    <row r="10" spans="1:31" ht="150" customHeight="1" x14ac:dyDescent="0.2">
      <c r="A10" s="696">
        <v>188832</v>
      </c>
      <c r="B10" s="696" t="s">
        <v>31</v>
      </c>
      <c r="C10" s="696" t="s">
        <v>2778</v>
      </c>
      <c r="D10" s="696" t="s">
        <v>36</v>
      </c>
      <c r="E10" s="701">
        <v>39020</v>
      </c>
      <c r="F10" s="696" t="s">
        <v>2779</v>
      </c>
      <c r="G10" s="696" t="s">
        <v>39</v>
      </c>
      <c r="H10" s="696" t="s">
        <v>2780</v>
      </c>
      <c r="I10" s="696" t="s">
        <v>2781</v>
      </c>
      <c r="J10" s="696" t="s">
        <v>34</v>
      </c>
      <c r="K10" s="696" t="s">
        <v>298</v>
      </c>
      <c r="L10" s="696" t="s">
        <v>2782</v>
      </c>
      <c r="M10" s="696" t="s">
        <v>2750</v>
      </c>
      <c r="N10" s="696" t="s">
        <v>2782</v>
      </c>
      <c r="O10" s="679" t="s">
        <v>23</v>
      </c>
      <c r="P10" s="679" t="s">
        <v>23</v>
      </c>
      <c r="Q10" s="679"/>
      <c r="R10" s="704">
        <v>2721</v>
      </c>
      <c r="S10" s="679" t="s">
        <v>50</v>
      </c>
      <c r="T10" s="682">
        <v>2380.39</v>
      </c>
      <c r="U10" s="679" t="s">
        <v>23</v>
      </c>
      <c r="V10" s="679" t="s">
        <v>23</v>
      </c>
      <c r="W10" s="679" t="s">
        <v>23</v>
      </c>
      <c r="X10" s="679" t="s">
        <v>23</v>
      </c>
      <c r="Y10" s="703">
        <v>40116</v>
      </c>
      <c r="Z10" s="703">
        <v>40808</v>
      </c>
      <c r="AA10" s="678" t="s">
        <v>2783</v>
      </c>
      <c r="AB10" s="678" t="s">
        <v>2784</v>
      </c>
      <c r="AC10" s="679" t="s">
        <v>22</v>
      </c>
      <c r="AD10" s="679" t="s">
        <v>439</v>
      </c>
      <c r="AE10" s="696" t="s">
        <v>600</v>
      </c>
    </row>
    <row r="11" spans="1:31" ht="150" customHeight="1" x14ac:dyDescent="0.2">
      <c r="A11" s="696">
        <v>167054</v>
      </c>
      <c r="B11" s="696" t="s">
        <v>31</v>
      </c>
      <c r="C11" s="696" t="s">
        <v>2785</v>
      </c>
      <c r="D11" s="696" t="s">
        <v>36</v>
      </c>
      <c r="E11" s="701">
        <v>38718</v>
      </c>
      <c r="F11" s="696" t="s">
        <v>2786</v>
      </c>
      <c r="G11" s="696" t="s">
        <v>33</v>
      </c>
      <c r="H11" s="696" t="s">
        <v>2787</v>
      </c>
      <c r="I11" s="696" t="s">
        <v>2788</v>
      </c>
      <c r="J11" s="696" t="s">
        <v>34</v>
      </c>
      <c r="K11" s="696" t="s">
        <v>2710</v>
      </c>
      <c r="L11" s="696" t="s">
        <v>2711</v>
      </c>
      <c r="M11" s="696" t="s">
        <v>2789</v>
      </c>
      <c r="N11" s="696" t="s">
        <v>2790</v>
      </c>
      <c r="O11" s="679" t="s">
        <v>23</v>
      </c>
      <c r="P11" s="679" t="s">
        <v>23</v>
      </c>
      <c r="Q11" s="679"/>
      <c r="R11" s="719">
        <v>15371008</v>
      </c>
      <c r="S11" s="679" t="s">
        <v>38</v>
      </c>
      <c r="T11" s="682">
        <v>6033</v>
      </c>
      <c r="U11" s="679" t="s">
        <v>23</v>
      </c>
      <c r="V11" s="679" t="s">
        <v>23</v>
      </c>
      <c r="W11" s="679" t="s">
        <v>23</v>
      </c>
      <c r="X11" s="679" t="s">
        <v>23</v>
      </c>
      <c r="Y11" s="703">
        <v>40373</v>
      </c>
      <c r="Z11" s="703">
        <v>40724</v>
      </c>
      <c r="AA11" s="678" t="s">
        <v>3848</v>
      </c>
      <c r="AB11" s="678" t="s">
        <v>2792</v>
      </c>
      <c r="AC11" s="679" t="s">
        <v>22</v>
      </c>
      <c r="AD11" s="679" t="s">
        <v>439</v>
      </c>
      <c r="AE11" s="696" t="s">
        <v>600</v>
      </c>
    </row>
    <row r="12" spans="1:31" ht="150" customHeight="1" x14ac:dyDescent="0.2">
      <c r="A12" s="696">
        <v>249292</v>
      </c>
      <c r="B12" s="696" t="s">
        <v>31</v>
      </c>
      <c r="C12" s="696" t="s">
        <v>2794</v>
      </c>
      <c r="D12" s="696" t="s">
        <v>36</v>
      </c>
      <c r="E12" s="701">
        <v>39468</v>
      </c>
      <c r="F12" s="696" t="s">
        <v>2795</v>
      </c>
      <c r="G12" s="696" t="s">
        <v>33</v>
      </c>
      <c r="H12" s="696" t="s">
        <v>2796</v>
      </c>
      <c r="I12" s="696" t="s">
        <v>2797</v>
      </c>
      <c r="J12" s="696" t="s">
        <v>34</v>
      </c>
      <c r="K12" s="696" t="s">
        <v>298</v>
      </c>
      <c r="L12" s="696" t="s">
        <v>2711</v>
      </c>
      <c r="M12" s="696" t="s">
        <v>2799</v>
      </c>
      <c r="N12" s="696" t="s">
        <v>2800</v>
      </c>
      <c r="O12" s="679" t="s">
        <v>23</v>
      </c>
      <c r="P12" s="679" t="s">
        <v>23</v>
      </c>
      <c r="Q12" s="679"/>
      <c r="R12" s="704" t="s">
        <v>2801</v>
      </c>
      <c r="S12" s="679" t="s">
        <v>51</v>
      </c>
      <c r="T12" s="682">
        <v>48728.75</v>
      </c>
      <c r="U12" s="679" t="s">
        <v>23</v>
      </c>
      <c r="V12" s="679" t="s">
        <v>23</v>
      </c>
      <c r="W12" s="679" t="s">
        <v>23</v>
      </c>
      <c r="X12" s="679" t="s">
        <v>23</v>
      </c>
      <c r="Y12" s="703">
        <v>40942</v>
      </c>
      <c r="Z12" s="703">
        <v>41494</v>
      </c>
      <c r="AA12" s="678" t="s">
        <v>3845</v>
      </c>
      <c r="AB12" s="678" t="s">
        <v>2803</v>
      </c>
      <c r="AC12" s="679" t="s">
        <v>22</v>
      </c>
      <c r="AD12" s="679" t="s">
        <v>439</v>
      </c>
      <c r="AE12" s="696" t="s">
        <v>600</v>
      </c>
    </row>
    <row r="13" spans="1:31" ht="189.75" customHeight="1" x14ac:dyDescent="0.2">
      <c r="A13" s="696">
        <v>266228</v>
      </c>
      <c r="B13" s="696" t="s">
        <v>31</v>
      </c>
      <c r="C13" s="696" t="s">
        <v>2804</v>
      </c>
      <c r="D13" s="696" t="s">
        <v>36</v>
      </c>
      <c r="E13" s="701">
        <v>39792</v>
      </c>
      <c r="F13" s="696" t="s">
        <v>2805</v>
      </c>
      <c r="G13" s="696" t="s">
        <v>3729</v>
      </c>
      <c r="H13" s="696" t="s">
        <v>2806</v>
      </c>
      <c r="I13" s="696" t="s">
        <v>2807</v>
      </c>
      <c r="J13" s="696" t="s">
        <v>34</v>
      </c>
      <c r="K13" s="696" t="s">
        <v>2710</v>
      </c>
      <c r="L13" s="696" t="s">
        <v>2808</v>
      </c>
      <c r="M13" s="696" t="s">
        <v>2809</v>
      </c>
      <c r="N13" s="696" t="s">
        <v>2808</v>
      </c>
      <c r="O13" s="679" t="s">
        <v>23</v>
      </c>
      <c r="P13" s="679" t="s">
        <v>23</v>
      </c>
      <c r="Q13" s="679"/>
      <c r="R13" s="704">
        <v>4132</v>
      </c>
      <c r="S13" s="679" t="s">
        <v>38</v>
      </c>
      <c r="T13" s="682">
        <v>4903</v>
      </c>
      <c r="U13" s="679" t="s">
        <v>23</v>
      </c>
      <c r="V13" s="679" t="s">
        <v>23</v>
      </c>
      <c r="W13" s="679" t="s">
        <v>23</v>
      </c>
      <c r="X13" s="679" t="s">
        <v>23</v>
      </c>
      <c r="Y13" s="696" t="s">
        <v>2810</v>
      </c>
      <c r="Z13" s="697">
        <v>42251</v>
      </c>
      <c r="AA13" s="678" t="s">
        <v>2811</v>
      </c>
      <c r="AB13" s="678" t="s">
        <v>2812</v>
      </c>
      <c r="AC13" s="679" t="s">
        <v>22</v>
      </c>
      <c r="AD13" s="679" t="s">
        <v>439</v>
      </c>
      <c r="AE13" s="696" t="s">
        <v>546</v>
      </c>
    </row>
    <row r="14" spans="1:31" ht="150" customHeight="1" x14ac:dyDescent="0.2">
      <c r="A14" s="696">
        <v>267029</v>
      </c>
      <c r="B14" s="696" t="s">
        <v>31</v>
      </c>
      <c r="C14" s="696" t="s">
        <v>2813</v>
      </c>
      <c r="D14" s="696" t="s">
        <v>36</v>
      </c>
      <c r="E14" s="701">
        <v>39814</v>
      </c>
      <c r="F14" s="696" t="s">
        <v>2814</v>
      </c>
      <c r="G14" s="696" t="s">
        <v>33</v>
      </c>
      <c r="H14" s="696" t="s">
        <v>2815</v>
      </c>
      <c r="I14" s="696" t="s">
        <v>2816</v>
      </c>
      <c r="J14" s="696" t="s">
        <v>34</v>
      </c>
      <c r="K14" s="696" t="s">
        <v>298</v>
      </c>
      <c r="L14" s="696" t="s">
        <v>2711</v>
      </c>
      <c r="M14" s="696" t="s">
        <v>2817</v>
      </c>
      <c r="N14" s="696" t="s">
        <v>2818</v>
      </c>
      <c r="O14" s="679" t="s">
        <v>23</v>
      </c>
      <c r="P14" s="679" t="s">
        <v>23</v>
      </c>
      <c r="Q14" s="679"/>
      <c r="R14" s="704">
        <v>833</v>
      </c>
      <c r="S14" s="679" t="s">
        <v>38</v>
      </c>
      <c r="T14" s="682">
        <v>22321.75</v>
      </c>
      <c r="U14" s="679" t="s">
        <v>23</v>
      </c>
      <c r="V14" s="679" t="s">
        <v>23</v>
      </c>
      <c r="W14" s="679" t="s">
        <v>23</v>
      </c>
      <c r="X14" s="679" t="s">
        <v>23</v>
      </c>
      <c r="Y14" s="703">
        <v>41758</v>
      </c>
      <c r="Z14" s="703">
        <v>41908</v>
      </c>
      <c r="AA14" s="678" t="s">
        <v>3845</v>
      </c>
      <c r="AB14" s="698" t="s">
        <v>2820</v>
      </c>
      <c r="AC14" s="679" t="s">
        <v>22</v>
      </c>
      <c r="AD14" s="679" t="s">
        <v>341</v>
      </c>
      <c r="AE14" s="696" t="s">
        <v>600</v>
      </c>
    </row>
    <row r="15" spans="1:31" ht="150" customHeight="1" x14ac:dyDescent="0.2">
      <c r="A15" s="696">
        <v>271268</v>
      </c>
      <c r="B15" s="696" t="s">
        <v>31</v>
      </c>
      <c r="C15" s="696" t="s">
        <v>2821</v>
      </c>
      <c r="D15" s="696" t="s">
        <v>36</v>
      </c>
      <c r="E15" s="701">
        <v>39902</v>
      </c>
      <c r="F15" s="696" t="s">
        <v>2822</v>
      </c>
      <c r="G15" s="696" t="s">
        <v>39</v>
      </c>
      <c r="H15" s="696" t="s">
        <v>2823</v>
      </c>
      <c r="I15" s="696" t="s">
        <v>2824</v>
      </c>
      <c r="J15" s="696" t="s">
        <v>34</v>
      </c>
      <c r="K15" s="696" t="s">
        <v>298</v>
      </c>
      <c r="L15" s="696" t="s">
        <v>2825</v>
      </c>
      <c r="M15" s="696" t="s">
        <v>2826</v>
      </c>
      <c r="N15" s="696" t="s">
        <v>2827</v>
      </c>
      <c r="O15" s="679" t="s">
        <v>23</v>
      </c>
      <c r="P15" s="679" t="s">
        <v>23</v>
      </c>
      <c r="Q15" s="679"/>
      <c r="R15" s="704">
        <v>1851</v>
      </c>
      <c r="S15" s="679" t="s">
        <v>41</v>
      </c>
      <c r="T15" s="682">
        <v>647000</v>
      </c>
      <c r="U15" s="679" t="s">
        <v>23</v>
      </c>
      <c r="V15" s="679" t="s">
        <v>23</v>
      </c>
      <c r="W15" s="679" t="s">
        <v>23</v>
      </c>
      <c r="X15" s="679" t="s">
        <v>23</v>
      </c>
      <c r="Y15" s="703" t="s">
        <v>23</v>
      </c>
      <c r="Z15" s="703" t="s">
        <v>23</v>
      </c>
      <c r="AA15" s="678" t="s">
        <v>3110</v>
      </c>
      <c r="AB15" s="678" t="s">
        <v>2828</v>
      </c>
      <c r="AC15" s="679" t="s">
        <v>19</v>
      </c>
      <c r="AD15" s="679" t="s">
        <v>439</v>
      </c>
      <c r="AE15" s="696" t="s">
        <v>2829</v>
      </c>
    </row>
    <row r="16" spans="1:31" ht="150" customHeight="1" x14ac:dyDescent="0.2">
      <c r="A16" s="696">
        <v>285457</v>
      </c>
      <c r="B16" s="696" t="s">
        <v>31</v>
      </c>
      <c r="C16" s="696" t="s">
        <v>2830</v>
      </c>
      <c r="D16" s="696" t="s">
        <v>36</v>
      </c>
      <c r="E16" s="701">
        <v>39814</v>
      </c>
      <c r="F16" s="696" t="s">
        <v>2831</v>
      </c>
      <c r="G16" s="696" t="s">
        <v>33</v>
      </c>
      <c r="H16" s="696" t="s">
        <v>2832</v>
      </c>
      <c r="I16" s="696" t="s">
        <v>2833</v>
      </c>
      <c r="J16" s="696" t="s">
        <v>34</v>
      </c>
      <c r="K16" s="696" t="s">
        <v>298</v>
      </c>
      <c r="L16" s="696" t="s">
        <v>2711</v>
      </c>
      <c r="M16" s="696" t="s">
        <v>2834</v>
      </c>
      <c r="N16" s="696" t="s">
        <v>2835</v>
      </c>
      <c r="O16" s="679" t="s">
        <v>23</v>
      </c>
      <c r="P16" s="679" t="s">
        <v>23</v>
      </c>
      <c r="Q16" s="679"/>
      <c r="R16" s="704">
        <v>2755</v>
      </c>
      <c r="S16" s="679" t="s">
        <v>38</v>
      </c>
      <c r="T16" s="682">
        <v>77857.53</v>
      </c>
      <c r="U16" s="679" t="s">
        <v>23</v>
      </c>
      <c r="V16" s="679" t="s">
        <v>23</v>
      </c>
      <c r="W16" s="679" t="s">
        <v>23</v>
      </c>
      <c r="X16" s="679" t="s">
        <v>23</v>
      </c>
      <c r="Y16" s="703">
        <v>40822</v>
      </c>
      <c r="Z16" s="703" t="s">
        <v>23</v>
      </c>
      <c r="AA16" s="678" t="s">
        <v>3845</v>
      </c>
      <c r="AB16" s="698" t="s">
        <v>2837</v>
      </c>
      <c r="AC16" s="679" t="s">
        <v>22</v>
      </c>
      <c r="AD16" s="679" t="s">
        <v>341</v>
      </c>
      <c r="AE16" s="696" t="s">
        <v>600</v>
      </c>
    </row>
    <row r="17" spans="1:31" ht="150" customHeight="1" x14ac:dyDescent="0.2">
      <c r="A17" s="696">
        <v>324636</v>
      </c>
      <c r="B17" s="696" t="s">
        <v>31</v>
      </c>
      <c r="C17" s="696" t="s">
        <v>2838</v>
      </c>
      <c r="D17" s="696" t="s">
        <v>36</v>
      </c>
      <c r="E17" s="701">
        <v>40395</v>
      </c>
      <c r="F17" s="696" t="s">
        <v>2839</v>
      </c>
      <c r="G17" s="696" t="s">
        <v>39</v>
      </c>
      <c r="H17" s="696" t="s">
        <v>2840</v>
      </c>
      <c r="I17" s="696" t="s">
        <v>2841</v>
      </c>
      <c r="J17" s="696" t="s">
        <v>34</v>
      </c>
      <c r="K17" s="696" t="s">
        <v>298</v>
      </c>
      <c r="L17" s="696" t="s">
        <v>2711</v>
      </c>
      <c r="M17" s="696" t="s">
        <v>2842</v>
      </c>
      <c r="N17" s="696" t="s">
        <v>2843</v>
      </c>
      <c r="O17" s="679" t="s">
        <v>23</v>
      </c>
      <c r="P17" s="679" t="s">
        <v>23</v>
      </c>
      <c r="Q17" s="679"/>
      <c r="R17" s="704">
        <v>2607</v>
      </c>
      <c r="S17" s="679" t="s">
        <v>55</v>
      </c>
      <c r="T17" s="682">
        <v>131</v>
      </c>
      <c r="U17" s="679" t="s">
        <v>23</v>
      </c>
      <c r="V17" s="679" t="s">
        <v>23</v>
      </c>
      <c r="W17" s="679" t="s">
        <v>23</v>
      </c>
      <c r="X17" s="679" t="s">
        <v>23</v>
      </c>
      <c r="Y17" s="703">
        <v>40966</v>
      </c>
      <c r="Z17" s="679" t="s">
        <v>23</v>
      </c>
      <c r="AA17" s="678" t="s">
        <v>3110</v>
      </c>
      <c r="AB17" s="678" t="s">
        <v>2845</v>
      </c>
      <c r="AC17" s="679" t="s">
        <v>22</v>
      </c>
      <c r="AD17" s="679" t="s">
        <v>341</v>
      </c>
      <c r="AE17" s="696" t="s">
        <v>600</v>
      </c>
    </row>
    <row r="18" spans="1:31" ht="150" customHeight="1" x14ac:dyDescent="0.2">
      <c r="A18" s="696">
        <v>332456</v>
      </c>
      <c r="B18" s="696" t="s">
        <v>31</v>
      </c>
      <c r="C18" s="696" t="s">
        <v>2847</v>
      </c>
      <c r="D18" s="696" t="s">
        <v>36</v>
      </c>
      <c r="E18" s="701">
        <v>40458</v>
      </c>
      <c r="F18" s="696" t="s">
        <v>2848</v>
      </c>
      <c r="G18" s="696" t="s">
        <v>33</v>
      </c>
      <c r="H18" s="696" t="s">
        <v>2849</v>
      </c>
      <c r="I18" s="696" t="s">
        <v>2850</v>
      </c>
      <c r="J18" s="696" t="s">
        <v>34</v>
      </c>
      <c r="K18" s="696" t="s">
        <v>2710</v>
      </c>
      <c r="L18" s="696" t="s">
        <v>2851</v>
      </c>
      <c r="M18" s="696" t="s">
        <v>2852</v>
      </c>
      <c r="N18" s="696" t="s">
        <v>2853</v>
      </c>
      <c r="O18" s="679" t="s">
        <v>23</v>
      </c>
      <c r="P18" s="679" t="s">
        <v>23</v>
      </c>
      <c r="Q18" s="679"/>
      <c r="R18" s="704" t="s">
        <v>2854</v>
      </c>
      <c r="S18" s="679" t="s">
        <v>57</v>
      </c>
      <c r="T18" s="682">
        <v>2605.63</v>
      </c>
      <c r="U18" s="679" t="s">
        <v>23</v>
      </c>
      <c r="V18" s="679" t="s">
        <v>23</v>
      </c>
      <c r="W18" s="679" t="s">
        <v>23</v>
      </c>
      <c r="X18" s="679" t="s">
        <v>23</v>
      </c>
      <c r="Y18" s="703">
        <v>40752</v>
      </c>
      <c r="Z18" s="703">
        <v>41431</v>
      </c>
      <c r="AA18" s="678" t="s">
        <v>2855</v>
      </c>
      <c r="AB18" s="678" t="s">
        <v>2856</v>
      </c>
      <c r="AC18" s="679" t="s">
        <v>22</v>
      </c>
      <c r="AD18" s="679" t="s">
        <v>17</v>
      </c>
      <c r="AE18" s="696" t="s">
        <v>546</v>
      </c>
    </row>
    <row r="19" spans="1:31" ht="150" customHeight="1" x14ac:dyDescent="0.2">
      <c r="A19" s="696">
        <v>334871</v>
      </c>
      <c r="B19" s="696" t="s">
        <v>31</v>
      </c>
      <c r="C19" s="696" t="s">
        <v>2857</v>
      </c>
      <c r="D19" s="696" t="s">
        <v>36</v>
      </c>
      <c r="E19" s="701">
        <v>40499</v>
      </c>
      <c r="F19" s="696" t="s">
        <v>2858</v>
      </c>
      <c r="G19" s="696" t="s">
        <v>3733</v>
      </c>
      <c r="H19" s="696" t="s">
        <v>2859</v>
      </c>
      <c r="I19" s="696" t="s">
        <v>2860</v>
      </c>
      <c r="J19" s="696" t="s">
        <v>34</v>
      </c>
      <c r="K19" s="696" t="s">
        <v>2710</v>
      </c>
      <c r="L19" s="696" t="s">
        <v>2861</v>
      </c>
      <c r="M19" s="696" t="s">
        <v>2861</v>
      </c>
      <c r="N19" s="696" t="s">
        <v>2862</v>
      </c>
      <c r="O19" s="679" t="s">
        <v>23</v>
      </c>
      <c r="P19" s="679" t="s">
        <v>23</v>
      </c>
      <c r="Q19" s="679"/>
      <c r="R19" s="704">
        <v>3158</v>
      </c>
      <c r="S19" s="679" t="s">
        <v>59</v>
      </c>
      <c r="T19" s="682" t="s">
        <v>23</v>
      </c>
      <c r="U19" s="679" t="s">
        <v>23</v>
      </c>
      <c r="V19" s="679" t="s">
        <v>23</v>
      </c>
      <c r="W19" s="679" t="s">
        <v>23</v>
      </c>
      <c r="X19" s="679" t="s">
        <v>23</v>
      </c>
      <c r="Y19" s="703">
        <v>41809</v>
      </c>
      <c r="Z19" s="703">
        <v>41977</v>
      </c>
      <c r="AA19" s="678" t="s">
        <v>3846</v>
      </c>
      <c r="AB19" s="678" t="s">
        <v>2864</v>
      </c>
      <c r="AC19" s="679" t="s">
        <v>22</v>
      </c>
      <c r="AD19" s="679" t="s">
        <v>439</v>
      </c>
      <c r="AE19" s="696" t="s">
        <v>546</v>
      </c>
    </row>
    <row r="20" spans="1:31" ht="179.25" customHeight="1" x14ac:dyDescent="0.2">
      <c r="A20" s="696">
        <v>316655</v>
      </c>
      <c r="B20" s="696" t="s">
        <v>31</v>
      </c>
      <c r="C20" s="696" t="s">
        <v>2865</v>
      </c>
      <c r="D20" s="696" t="s">
        <v>36</v>
      </c>
      <c r="E20" s="701">
        <v>40380</v>
      </c>
      <c r="F20" s="696" t="s">
        <v>2866</v>
      </c>
      <c r="G20" s="696" t="s">
        <v>39</v>
      </c>
      <c r="H20" s="696" t="s">
        <v>2867</v>
      </c>
      <c r="I20" s="696" t="s">
        <v>2868</v>
      </c>
      <c r="J20" s="696" t="s">
        <v>34</v>
      </c>
      <c r="K20" s="696" t="s">
        <v>298</v>
      </c>
      <c r="L20" s="696" t="s">
        <v>2869</v>
      </c>
      <c r="M20" s="696" t="s">
        <v>2869</v>
      </c>
      <c r="N20" s="696" t="s">
        <v>2870</v>
      </c>
      <c r="O20" s="679" t="s">
        <v>23</v>
      </c>
      <c r="P20" s="679" t="s">
        <v>23</v>
      </c>
      <c r="Q20" s="679"/>
      <c r="R20" s="704">
        <v>2520</v>
      </c>
      <c r="S20" s="679" t="s">
        <v>60</v>
      </c>
      <c r="T20" s="682">
        <v>400</v>
      </c>
      <c r="U20" s="679" t="s">
        <v>23</v>
      </c>
      <c r="V20" s="679" t="s">
        <v>23</v>
      </c>
      <c r="W20" s="679" t="s">
        <v>23</v>
      </c>
      <c r="X20" s="679" t="s">
        <v>23</v>
      </c>
      <c r="Y20" s="703">
        <v>42853</v>
      </c>
      <c r="Z20" s="703" t="s">
        <v>23</v>
      </c>
      <c r="AA20" s="678" t="s">
        <v>3110</v>
      </c>
      <c r="AB20" s="678" t="s">
        <v>3849</v>
      </c>
      <c r="AC20" s="679" t="s">
        <v>22</v>
      </c>
      <c r="AD20" s="679" t="s">
        <v>3681</v>
      </c>
      <c r="AE20" s="696" t="s">
        <v>2735</v>
      </c>
    </row>
    <row r="21" spans="1:31" ht="150" customHeight="1" x14ac:dyDescent="0.2">
      <c r="A21" s="696">
        <v>33157</v>
      </c>
      <c r="B21" s="696" t="s">
        <v>31</v>
      </c>
      <c r="C21" s="696" t="s">
        <v>2872</v>
      </c>
      <c r="D21" s="696" t="s">
        <v>36</v>
      </c>
      <c r="E21" s="701">
        <v>40491</v>
      </c>
      <c r="F21" s="696" t="s">
        <v>2873</v>
      </c>
      <c r="G21" s="696" t="s">
        <v>33</v>
      </c>
      <c r="H21" s="696" t="s">
        <v>2874</v>
      </c>
      <c r="I21" s="696" t="s">
        <v>2875</v>
      </c>
      <c r="J21" s="696" t="s">
        <v>34</v>
      </c>
      <c r="K21" s="696" t="s">
        <v>298</v>
      </c>
      <c r="L21" s="696" t="s">
        <v>2711</v>
      </c>
      <c r="M21" s="696" t="s">
        <v>2876</v>
      </c>
      <c r="N21" s="696" t="s">
        <v>23</v>
      </c>
      <c r="O21" s="679" t="s">
        <v>23</v>
      </c>
      <c r="P21" s="679" t="s">
        <v>23</v>
      </c>
      <c r="Q21" s="679"/>
      <c r="R21" s="704" t="s">
        <v>2877</v>
      </c>
      <c r="S21" s="679" t="s">
        <v>38</v>
      </c>
      <c r="T21" s="682" t="s">
        <v>23</v>
      </c>
      <c r="U21" s="679" t="s">
        <v>23</v>
      </c>
      <c r="V21" s="679" t="s">
        <v>23</v>
      </c>
      <c r="W21" s="679" t="s">
        <v>23</v>
      </c>
      <c r="X21" s="679" t="s">
        <v>23</v>
      </c>
      <c r="Y21" s="703" t="s">
        <v>23</v>
      </c>
      <c r="Z21" s="703" t="s">
        <v>23</v>
      </c>
      <c r="AA21" s="678"/>
      <c r="AB21" s="678" t="s">
        <v>2878</v>
      </c>
      <c r="AC21" s="679" t="s">
        <v>22</v>
      </c>
      <c r="AD21" s="679" t="s">
        <v>341</v>
      </c>
      <c r="AE21" s="696" t="s">
        <v>2879</v>
      </c>
    </row>
    <row r="22" spans="1:31" ht="150" customHeight="1" x14ac:dyDescent="0.2">
      <c r="A22" s="696">
        <v>352556</v>
      </c>
      <c r="B22" s="696" t="s">
        <v>31</v>
      </c>
      <c r="C22" s="696" t="s">
        <v>2880</v>
      </c>
      <c r="D22" s="696" t="s">
        <v>36</v>
      </c>
      <c r="E22" s="701">
        <v>40791</v>
      </c>
      <c r="F22" s="696" t="s">
        <v>2881</v>
      </c>
      <c r="G22" s="696" t="s">
        <v>33</v>
      </c>
      <c r="H22" s="696" t="s">
        <v>2882</v>
      </c>
      <c r="I22" s="696" t="s">
        <v>2748</v>
      </c>
      <c r="J22" s="696" t="s">
        <v>34</v>
      </c>
      <c r="K22" s="696" t="s">
        <v>298</v>
      </c>
      <c r="L22" s="696" t="s">
        <v>2711</v>
      </c>
      <c r="M22" s="696" t="s">
        <v>2883</v>
      </c>
      <c r="N22" s="696" t="s">
        <v>2884</v>
      </c>
      <c r="O22" s="679" t="s">
        <v>65</v>
      </c>
      <c r="P22" s="679" t="s">
        <v>65</v>
      </c>
      <c r="Q22" s="679"/>
      <c r="R22" s="704" t="s">
        <v>2885</v>
      </c>
      <c r="S22" s="679" t="s">
        <v>61</v>
      </c>
      <c r="T22" s="682" t="s">
        <v>62</v>
      </c>
      <c r="U22" s="679" t="s">
        <v>65</v>
      </c>
      <c r="V22" s="679" t="s">
        <v>65</v>
      </c>
      <c r="W22" s="679" t="s">
        <v>65</v>
      </c>
      <c r="X22" s="679" t="s">
        <v>65</v>
      </c>
      <c r="Y22" s="703" t="s">
        <v>2886</v>
      </c>
      <c r="Z22" s="703" t="s">
        <v>23</v>
      </c>
      <c r="AA22" s="678" t="s">
        <v>2887</v>
      </c>
      <c r="AB22" s="678" t="s">
        <v>2888</v>
      </c>
      <c r="AC22" s="679" t="s">
        <v>22</v>
      </c>
      <c r="AD22" s="679" t="s">
        <v>341</v>
      </c>
      <c r="AE22" s="696" t="s">
        <v>2889</v>
      </c>
    </row>
    <row r="23" spans="1:31" ht="150" customHeight="1" x14ac:dyDescent="0.2">
      <c r="A23" s="696">
        <v>351749</v>
      </c>
      <c r="B23" s="696" t="s">
        <v>31</v>
      </c>
      <c r="C23" s="696" t="s">
        <v>3850</v>
      </c>
      <c r="D23" s="696" t="s">
        <v>36</v>
      </c>
      <c r="E23" s="701">
        <v>40560</v>
      </c>
      <c r="F23" s="696" t="s">
        <v>2891</v>
      </c>
      <c r="G23" s="696" t="s">
        <v>33</v>
      </c>
      <c r="H23" s="696" t="s">
        <v>2892</v>
      </c>
      <c r="I23" s="696" t="s">
        <v>2893</v>
      </c>
      <c r="J23" s="696" t="s">
        <v>34</v>
      </c>
      <c r="K23" s="696" t="s">
        <v>298</v>
      </c>
      <c r="L23" s="696" t="s">
        <v>2894</v>
      </c>
      <c r="M23" s="696" t="s">
        <v>2895</v>
      </c>
      <c r="N23" s="696" t="s">
        <v>374</v>
      </c>
      <c r="O23" s="679" t="s">
        <v>23</v>
      </c>
      <c r="P23" s="679" t="s">
        <v>23</v>
      </c>
      <c r="Q23" s="679"/>
      <c r="R23" s="704" t="s">
        <v>1662</v>
      </c>
      <c r="S23" s="679" t="s">
        <v>38</v>
      </c>
      <c r="T23" s="682">
        <v>1311</v>
      </c>
      <c r="U23" s="679" t="s">
        <v>23</v>
      </c>
      <c r="V23" s="679" t="s">
        <v>23</v>
      </c>
      <c r="W23" s="679" t="s">
        <v>23</v>
      </c>
      <c r="X23" s="679" t="s">
        <v>23</v>
      </c>
      <c r="Y23" s="703" t="s">
        <v>23</v>
      </c>
      <c r="Z23" s="703" t="s">
        <v>23</v>
      </c>
      <c r="AA23" s="678" t="s">
        <v>3110</v>
      </c>
      <c r="AB23" s="678" t="s">
        <v>2896</v>
      </c>
      <c r="AC23" s="679" t="s">
        <v>22</v>
      </c>
      <c r="AD23" s="679" t="s">
        <v>439</v>
      </c>
      <c r="AE23" s="696" t="s">
        <v>2897</v>
      </c>
    </row>
    <row r="24" spans="1:31" ht="150" customHeight="1" x14ac:dyDescent="0.2">
      <c r="A24" s="696">
        <v>359511</v>
      </c>
      <c r="B24" s="696" t="s">
        <v>31</v>
      </c>
      <c r="C24" s="696" t="s">
        <v>2898</v>
      </c>
      <c r="D24" s="696" t="s">
        <v>36</v>
      </c>
      <c r="E24" s="701">
        <v>40777</v>
      </c>
      <c r="F24" s="696" t="s">
        <v>2900</v>
      </c>
      <c r="G24" s="696" t="s">
        <v>33</v>
      </c>
      <c r="H24" s="696" t="s">
        <v>2901</v>
      </c>
      <c r="I24" s="696" t="s">
        <v>2902</v>
      </c>
      <c r="J24" s="696" t="s">
        <v>34</v>
      </c>
      <c r="K24" s="696" t="s">
        <v>298</v>
      </c>
      <c r="L24" s="696" t="s">
        <v>2903</v>
      </c>
      <c r="M24" s="696" t="s">
        <v>2903</v>
      </c>
      <c r="N24" s="696" t="s">
        <v>23</v>
      </c>
      <c r="O24" s="679" t="s">
        <v>65</v>
      </c>
      <c r="P24" s="679" t="s">
        <v>65</v>
      </c>
      <c r="Q24" s="679"/>
      <c r="R24" s="704" t="s">
        <v>23</v>
      </c>
      <c r="S24" s="679" t="s">
        <v>64</v>
      </c>
      <c r="T24" s="682" t="s">
        <v>65</v>
      </c>
      <c r="U24" s="679" t="s">
        <v>65</v>
      </c>
      <c r="V24" s="679" t="s">
        <v>65</v>
      </c>
      <c r="W24" s="679" t="s">
        <v>65</v>
      </c>
      <c r="X24" s="679" t="s">
        <v>65</v>
      </c>
      <c r="Y24" s="703" t="s">
        <v>23</v>
      </c>
      <c r="Z24" s="703" t="s">
        <v>23</v>
      </c>
      <c r="AA24" s="678" t="s">
        <v>3110</v>
      </c>
      <c r="AB24" s="678" t="s">
        <v>3851</v>
      </c>
      <c r="AC24" s="679" t="s">
        <v>22</v>
      </c>
      <c r="AD24" s="679" t="s">
        <v>439</v>
      </c>
      <c r="AE24" s="696" t="s">
        <v>2735</v>
      </c>
    </row>
    <row r="25" spans="1:31" ht="150" customHeight="1" x14ac:dyDescent="0.2">
      <c r="A25" s="696">
        <v>382225</v>
      </c>
      <c r="B25" s="696" t="s">
        <v>31</v>
      </c>
      <c r="C25" s="696" t="s">
        <v>2905</v>
      </c>
      <c r="D25" s="696" t="s">
        <v>66</v>
      </c>
      <c r="E25" s="701">
        <v>41116</v>
      </c>
      <c r="F25" s="696" t="s">
        <v>2906</v>
      </c>
      <c r="G25" s="696" t="s">
        <v>33</v>
      </c>
      <c r="H25" s="696" t="s">
        <v>2907</v>
      </c>
      <c r="I25" s="696" t="s">
        <v>2908</v>
      </c>
      <c r="J25" s="696" t="s">
        <v>34</v>
      </c>
      <c r="K25" s="696" t="s">
        <v>2710</v>
      </c>
      <c r="L25" s="696" t="s">
        <v>2909</v>
      </c>
      <c r="M25" s="696" t="s">
        <v>2910</v>
      </c>
      <c r="N25" s="696" t="s">
        <v>2911</v>
      </c>
      <c r="O25" s="679" t="s">
        <v>23</v>
      </c>
      <c r="P25" s="679" t="s">
        <v>23</v>
      </c>
      <c r="Q25" s="679"/>
      <c r="R25" s="678" t="s">
        <v>2912</v>
      </c>
      <c r="S25" s="679" t="s">
        <v>51</v>
      </c>
      <c r="T25" s="682" t="s">
        <v>23</v>
      </c>
      <c r="U25" s="679" t="s">
        <v>23</v>
      </c>
      <c r="V25" s="679" t="s">
        <v>23</v>
      </c>
      <c r="W25" s="679" t="s">
        <v>23</v>
      </c>
      <c r="X25" s="679" t="s">
        <v>23</v>
      </c>
      <c r="Y25" s="703">
        <v>41144</v>
      </c>
      <c r="Z25" s="703">
        <v>41179</v>
      </c>
      <c r="AA25" s="678" t="s">
        <v>3848</v>
      </c>
      <c r="AB25" s="678" t="s">
        <v>2914</v>
      </c>
      <c r="AC25" s="679" t="s">
        <v>22</v>
      </c>
      <c r="AD25" s="679" t="s">
        <v>439</v>
      </c>
      <c r="AE25" s="696" t="s">
        <v>600</v>
      </c>
    </row>
    <row r="26" spans="1:31" ht="150" customHeight="1" x14ac:dyDescent="0.2">
      <c r="A26" s="696">
        <v>346341</v>
      </c>
      <c r="B26" s="696" t="s">
        <v>31</v>
      </c>
      <c r="C26" s="696" t="s">
        <v>2915</v>
      </c>
      <c r="D26" s="696" t="s">
        <v>36</v>
      </c>
      <c r="E26" s="701">
        <v>40556</v>
      </c>
      <c r="F26" s="696" t="s">
        <v>2891</v>
      </c>
      <c r="G26" s="696" t="s">
        <v>33</v>
      </c>
      <c r="H26" s="696" t="s">
        <v>2882</v>
      </c>
      <c r="I26" s="696" t="s">
        <v>2916</v>
      </c>
      <c r="J26" s="696" t="s">
        <v>34</v>
      </c>
      <c r="K26" s="696" t="s">
        <v>298</v>
      </c>
      <c r="L26" s="696" t="s">
        <v>2917</v>
      </c>
      <c r="M26" s="696" t="s">
        <v>2917</v>
      </c>
      <c r="N26" s="696" t="s">
        <v>2918</v>
      </c>
      <c r="O26" s="679" t="s">
        <v>23</v>
      </c>
      <c r="P26" s="679" t="s">
        <v>23</v>
      </c>
      <c r="Q26" s="679"/>
      <c r="R26" s="704" t="s">
        <v>2919</v>
      </c>
      <c r="S26" s="679" t="s">
        <v>41</v>
      </c>
      <c r="T26" s="682">
        <v>1420</v>
      </c>
      <c r="U26" s="679" t="s">
        <v>23</v>
      </c>
      <c r="V26" s="679" t="s">
        <v>23</v>
      </c>
      <c r="W26" s="679" t="s">
        <v>23</v>
      </c>
      <c r="X26" s="679" t="s">
        <v>23</v>
      </c>
      <c r="Y26" s="703">
        <v>42124</v>
      </c>
      <c r="Z26" s="703" t="s">
        <v>23</v>
      </c>
      <c r="AA26" s="678" t="s">
        <v>3110</v>
      </c>
      <c r="AB26" s="678" t="s">
        <v>2920</v>
      </c>
      <c r="AC26" s="679" t="s">
        <v>22</v>
      </c>
      <c r="AD26" s="679" t="s">
        <v>341</v>
      </c>
      <c r="AE26" s="696" t="s">
        <v>600</v>
      </c>
    </row>
    <row r="27" spans="1:31" ht="150" customHeight="1" x14ac:dyDescent="0.2">
      <c r="A27" s="696">
        <v>454500</v>
      </c>
      <c r="B27" s="696" t="s">
        <v>31</v>
      </c>
      <c r="C27" s="696" t="s">
        <v>2938</v>
      </c>
      <c r="D27" s="696" t="s">
        <v>36</v>
      </c>
      <c r="E27" s="701">
        <v>41753</v>
      </c>
      <c r="F27" s="696" t="s">
        <v>2939</v>
      </c>
      <c r="G27" s="696" t="s">
        <v>33</v>
      </c>
      <c r="H27" s="696" t="s">
        <v>2940</v>
      </c>
      <c r="I27" s="696" t="s">
        <v>2941</v>
      </c>
      <c r="J27" s="696" t="s">
        <v>34</v>
      </c>
      <c r="K27" s="696" t="s">
        <v>298</v>
      </c>
      <c r="L27" s="696" t="s">
        <v>2942</v>
      </c>
      <c r="M27" s="696" t="s">
        <v>2943</v>
      </c>
      <c r="N27" s="696" t="s">
        <v>2944</v>
      </c>
      <c r="O27" s="679" t="s">
        <v>23</v>
      </c>
      <c r="P27" s="679" t="s">
        <v>23</v>
      </c>
      <c r="Q27" s="679"/>
      <c r="R27" s="722" t="s">
        <v>2945</v>
      </c>
      <c r="S27" s="679" t="s">
        <v>41</v>
      </c>
      <c r="T27" s="682">
        <v>2647.58</v>
      </c>
      <c r="U27" s="679" t="s">
        <v>23</v>
      </c>
      <c r="V27" s="679" t="s">
        <v>23</v>
      </c>
      <c r="W27" s="679" t="s">
        <v>23</v>
      </c>
      <c r="X27" s="679" t="s">
        <v>23</v>
      </c>
      <c r="Y27" s="703">
        <v>42307</v>
      </c>
      <c r="Z27" s="701">
        <v>43315</v>
      </c>
      <c r="AA27" s="678" t="s">
        <v>3848</v>
      </c>
      <c r="AB27" s="678" t="s">
        <v>2947</v>
      </c>
      <c r="AC27" s="679" t="s">
        <v>22</v>
      </c>
      <c r="AD27" s="679" t="s">
        <v>341</v>
      </c>
      <c r="AE27" s="679" t="s">
        <v>2948</v>
      </c>
    </row>
    <row r="28" spans="1:31" ht="150" customHeight="1" x14ac:dyDescent="0.2">
      <c r="A28" s="696">
        <v>493772</v>
      </c>
      <c r="B28" s="696" t="s">
        <v>31</v>
      </c>
      <c r="C28" s="696" t="s">
        <v>2949</v>
      </c>
      <c r="D28" s="696" t="s">
        <v>36</v>
      </c>
      <c r="E28" s="701">
        <v>42250</v>
      </c>
      <c r="F28" s="696" t="s">
        <v>2950</v>
      </c>
      <c r="G28" s="696" t="s">
        <v>33</v>
      </c>
      <c r="H28" s="696" t="s">
        <v>2951</v>
      </c>
      <c r="I28" s="696" t="s">
        <v>2952</v>
      </c>
      <c r="J28" s="696" t="s">
        <v>34</v>
      </c>
      <c r="K28" s="696" t="s">
        <v>2710</v>
      </c>
      <c r="L28" s="696" t="s">
        <v>2953</v>
      </c>
      <c r="M28" s="696" t="s">
        <v>2953</v>
      </c>
      <c r="N28" s="696" t="s">
        <v>2954</v>
      </c>
      <c r="O28" s="679" t="s">
        <v>65</v>
      </c>
      <c r="P28" s="679" t="s">
        <v>65</v>
      </c>
      <c r="Q28" s="679"/>
      <c r="R28" s="704" t="s">
        <v>2955</v>
      </c>
      <c r="S28" s="679" t="s">
        <v>61</v>
      </c>
      <c r="T28" s="682" t="s">
        <v>65</v>
      </c>
      <c r="U28" s="679" t="s">
        <v>65</v>
      </c>
      <c r="V28" s="679" t="s">
        <v>65</v>
      </c>
      <c r="W28" s="682" t="s">
        <v>65</v>
      </c>
      <c r="X28" s="679" t="s">
        <v>65</v>
      </c>
      <c r="Y28" s="703" t="s">
        <v>2956</v>
      </c>
      <c r="Z28" s="679" t="s">
        <v>65</v>
      </c>
      <c r="AA28" s="678" t="s">
        <v>3110</v>
      </c>
      <c r="AB28" s="678" t="s">
        <v>2957</v>
      </c>
      <c r="AC28" s="679" t="s">
        <v>19</v>
      </c>
      <c r="AD28" s="679" t="s">
        <v>341</v>
      </c>
      <c r="AE28" s="679" t="s">
        <v>2958</v>
      </c>
    </row>
    <row r="29" spans="1:31" ht="150" customHeight="1" x14ac:dyDescent="0.2">
      <c r="A29" s="696">
        <v>492279</v>
      </c>
      <c r="B29" s="696" t="s">
        <v>31</v>
      </c>
      <c r="C29" s="696" t="s">
        <v>2959</v>
      </c>
      <c r="D29" s="696" t="s">
        <v>36</v>
      </c>
      <c r="E29" s="701">
        <v>42116</v>
      </c>
      <c r="F29" s="696" t="s">
        <v>2960</v>
      </c>
      <c r="G29" s="696" t="s">
        <v>39</v>
      </c>
      <c r="H29" s="696" t="s">
        <v>2961</v>
      </c>
      <c r="I29" s="696" t="s">
        <v>2962</v>
      </c>
      <c r="J29" s="696" t="s">
        <v>34</v>
      </c>
      <c r="K29" s="696" t="s">
        <v>298</v>
      </c>
      <c r="L29" s="696" t="s">
        <v>2963</v>
      </c>
      <c r="M29" s="696" t="s">
        <v>2963</v>
      </c>
      <c r="N29" s="696" t="s">
        <v>2964</v>
      </c>
      <c r="O29" s="679" t="s">
        <v>23</v>
      </c>
      <c r="P29" s="679" t="s">
        <v>23</v>
      </c>
      <c r="Q29" s="679"/>
      <c r="R29" s="704">
        <v>1510</v>
      </c>
      <c r="S29" s="679" t="s">
        <v>68</v>
      </c>
      <c r="T29" s="682">
        <v>600</v>
      </c>
      <c r="U29" s="679" t="s">
        <v>23</v>
      </c>
      <c r="V29" s="679" t="s">
        <v>23</v>
      </c>
      <c r="W29" s="679" t="s">
        <v>23</v>
      </c>
      <c r="X29" s="679" t="s">
        <v>23</v>
      </c>
      <c r="Y29" s="703">
        <v>42969</v>
      </c>
      <c r="Z29" s="679" t="s">
        <v>23</v>
      </c>
      <c r="AA29" s="678" t="s">
        <v>3110</v>
      </c>
      <c r="AB29" s="678" t="s">
        <v>2965</v>
      </c>
      <c r="AC29" s="679" t="s">
        <v>22</v>
      </c>
      <c r="AD29" s="679" t="s">
        <v>3681</v>
      </c>
      <c r="AE29" s="696" t="s">
        <v>546</v>
      </c>
    </row>
    <row r="30" spans="1:31" ht="150" customHeight="1" x14ac:dyDescent="0.2">
      <c r="A30" s="696">
        <v>498496</v>
      </c>
      <c r="B30" s="696" t="s">
        <v>31</v>
      </c>
      <c r="C30" s="696" t="s">
        <v>2966</v>
      </c>
      <c r="D30" s="696" t="s">
        <v>36</v>
      </c>
      <c r="E30" s="701">
        <v>42118</v>
      </c>
      <c r="F30" s="696" t="s">
        <v>2968</v>
      </c>
      <c r="G30" s="696" t="s">
        <v>33</v>
      </c>
      <c r="H30" s="696" t="s">
        <v>2969</v>
      </c>
      <c r="I30" s="696" t="s">
        <v>2970</v>
      </c>
      <c r="J30" s="696" t="s">
        <v>34</v>
      </c>
      <c r="K30" s="696" t="s">
        <v>298</v>
      </c>
      <c r="L30" s="696" t="s">
        <v>2711</v>
      </c>
      <c r="M30" s="696" t="s">
        <v>2971</v>
      </c>
      <c r="N30" s="696" t="s">
        <v>2972</v>
      </c>
      <c r="O30" s="679" t="s">
        <v>65</v>
      </c>
      <c r="P30" s="679" t="s">
        <v>65</v>
      </c>
      <c r="Q30" s="679"/>
      <c r="R30" s="704" t="s">
        <v>2973</v>
      </c>
      <c r="S30" s="679" t="s">
        <v>69</v>
      </c>
      <c r="T30" s="682" t="s">
        <v>70</v>
      </c>
      <c r="U30" s="679" t="s">
        <v>65</v>
      </c>
      <c r="V30" s="679" t="s">
        <v>65</v>
      </c>
      <c r="W30" s="679" t="s">
        <v>65</v>
      </c>
      <c r="X30" s="679" t="s">
        <v>65</v>
      </c>
      <c r="Y30" s="703" t="s">
        <v>2974</v>
      </c>
      <c r="Z30" s="703">
        <v>44233</v>
      </c>
      <c r="AA30" s="678" t="s">
        <v>3110</v>
      </c>
      <c r="AB30" s="678" t="s">
        <v>2975</v>
      </c>
      <c r="AC30" s="679" t="s">
        <v>22</v>
      </c>
      <c r="AD30" s="679" t="s">
        <v>341</v>
      </c>
      <c r="AE30" s="696" t="s">
        <v>600</v>
      </c>
    </row>
    <row r="31" spans="1:31" ht="150" customHeight="1" x14ac:dyDescent="0.2">
      <c r="A31" s="696">
        <v>526651</v>
      </c>
      <c r="B31" s="696" t="s">
        <v>31</v>
      </c>
      <c r="C31" s="696" t="s">
        <v>2976</v>
      </c>
      <c r="D31" s="696" t="s">
        <v>36</v>
      </c>
      <c r="E31" s="701">
        <v>42444</v>
      </c>
      <c r="F31" s="696" t="s">
        <v>2977</v>
      </c>
      <c r="G31" s="696" t="s">
        <v>39</v>
      </c>
      <c r="H31" s="696" t="s">
        <v>2978</v>
      </c>
      <c r="I31" s="696" t="s">
        <v>2979</v>
      </c>
      <c r="J31" s="696" t="s">
        <v>34</v>
      </c>
      <c r="K31" s="696" t="s">
        <v>298</v>
      </c>
      <c r="L31" s="696" t="s">
        <v>2909</v>
      </c>
      <c r="M31" s="696" t="s">
        <v>2980</v>
      </c>
      <c r="N31" s="696" t="s">
        <v>2981</v>
      </c>
      <c r="O31" s="679" t="s">
        <v>23</v>
      </c>
      <c r="P31" s="679" t="s">
        <v>23</v>
      </c>
      <c r="Q31" s="679"/>
      <c r="R31" s="678" t="s">
        <v>2982</v>
      </c>
      <c r="S31" s="679" t="s">
        <v>68</v>
      </c>
      <c r="T31" s="682">
        <v>1842</v>
      </c>
      <c r="U31" s="679" t="s">
        <v>23</v>
      </c>
      <c r="V31" s="679" t="s">
        <v>23</v>
      </c>
      <c r="W31" s="679" t="s">
        <v>23</v>
      </c>
      <c r="X31" s="679" t="s">
        <v>23</v>
      </c>
      <c r="Y31" s="703">
        <v>44133</v>
      </c>
      <c r="Z31" s="679" t="s">
        <v>23</v>
      </c>
      <c r="AA31" s="678" t="s">
        <v>3110</v>
      </c>
      <c r="AB31" s="678" t="s">
        <v>2983</v>
      </c>
      <c r="AC31" s="679" t="s">
        <v>19</v>
      </c>
      <c r="AD31" s="679" t="s">
        <v>439</v>
      </c>
      <c r="AE31" s="679" t="s">
        <v>2984</v>
      </c>
    </row>
    <row r="32" spans="1:31" ht="150" customHeight="1" x14ac:dyDescent="0.2">
      <c r="A32" s="696">
        <v>347551</v>
      </c>
      <c r="B32" s="696" t="s">
        <v>31</v>
      </c>
      <c r="C32" s="696" t="s">
        <v>2985</v>
      </c>
      <c r="D32" s="696" t="s">
        <v>36</v>
      </c>
      <c r="E32" s="701">
        <v>40590</v>
      </c>
      <c r="F32" s="696" t="s">
        <v>2312</v>
      </c>
      <c r="G32" s="696" t="s">
        <v>33</v>
      </c>
      <c r="H32" s="696" t="s">
        <v>2986</v>
      </c>
      <c r="I32" s="696" t="s">
        <v>2987</v>
      </c>
      <c r="J32" s="696" t="s">
        <v>34</v>
      </c>
      <c r="K32" s="696" t="s">
        <v>298</v>
      </c>
      <c r="L32" s="696" t="s">
        <v>2711</v>
      </c>
      <c r="M32" s="696" t="s">
        <v>2989</v>
      </c>
      <c r="N32" s="696" t="s">
        <v>2990</v>
      </c>
      <c r="O32" s="679" t="s">
        <v>23</v>
      </c>
      <c r="P32" s="679" t="s">
        <v>23</v>
      </c>
      <c r="Q32" s="679"/>
      <c r="R32" s="704" t="s">
        <v>2992</v>
      </c>
      <c r="S32" s="679" t="s">
        <v>64</v>
      </c>
      <c r="T32" s="682">
        <v>1730</v>
      </c>
      <c r="U32" s="679" t="s">
        <v>23</v>
      </c>
      <c r="V32" s="679" t="s">
        <v>23</v>
      </c>
      <c r="W32" s="679" t="s">
        <v>23</v>
      </c>
      <c r="X32" s="679" t="s">
        <v>23</v>
      </c>
      <c r="Y32" s="703" t="s">
        <v>23</v>
      </c>
      <c r="Z32" s="679" t="s">
        <v>23</v>
      </c>
      <c r="AA32" s="678" t="s">
        <v>3110</v>
      </c>
      <c r="AB32" s="678" t="s">
        <v>2993</v>
      </c>
      <c r="AC32" s="679" t="s">
        <v>19</v>
      </c>
      <c r="AD32" s="679" t="s">
        <v>439</v>
      </c>
      <c r="AE32" s="696" t="s">
        <v>3852</v>
      </c>
    </row>
    <row r="33" spans="1:31" ht="150" customHeight="1" x14ac:dyDescent="0.2">
      <c r="A33" s="696">
        <v>20208</v>
      </c>
      <c r="B33" s="696" t="s">
        <v>31</v>
      </c>
      <c r="C33" s="696" t="s">
        <v>3011</v>
      </c>
      <c r="D33" s="696" t="s">
        <v>36</v>
      </c>
      <c r="E33" s="701">
        <v>37622</v>
      </c>
      <c r="F33" s="696" t="s">
        <v>3012</v>
      </c>
      <c r="G33" s="696" t="s">
        <v>39</v>
      </c>
      <c r="H33" s="696" t="s">
        <v>3013</v>
      </c>
      <c r="I33" s="696" t="s">
        <v>3014</v>
      </c>
      <c r="J33" s="696" t="s">
        <v>71</v>
      </c>
      <c r="K33" s="696" t="s">
        <v>298</v>
      </c>
      <c r="L33" s="705" t="s">
        <v>3015</v>
      </c>
      <c r="M33" s="679" t="s">
        <v>23</v>
      </c>
      <c r="N33" s="679" t="s">
        <v>23</v>
      </c>
      <c r="O33" s="679" t="s">
        <v>23</v>
      </c>
      <c r="P33" s="679" t="s">
        <v>23</v>
      </c>
      <c r="Q33" s="679"/>
      <c r="R33" s="679" t="s">
        <v>23</v>
      </c>
      <c r="S33" s="679" t="s">
        <v>74</v>
      </c>
      <c r="T33" s="679" t="s">
        <v>23</v>
      </c>
      <c r="U33" s="679" t="s">
        <v>23</v>
      </c>
      <c r="V33" s="679" t="s">
        <v>23</v>
      </c>
      <c r="W33" s="679" t="s">
        <v>23</v>
      </c>
      <c r="X33" s="679" t="s">
        <v>23</v>
      </c>
      <c r="Y33" s="679" t="s">
        <v>23</v>
      </c>
      <c r="Z33" s="679" t="s">
        <v>23</v>
      </c>
      <c r="AA33" s="678" t="s">
        <v>3110</v>
      </c>
      <c r="AB33" s="678" t="s">
        <v>23</v>
      </c>
      <c r="AC33" s="679" t="s">
        <v>19</v>
      </c>
      <c r="AD33" s="679" t="s">
        <v>3681</v>
      </c>
      <c r="AE33" s="679" t="s">
        <v>3016</v>
      </c>
    </row>
    <row r="34" spans="1:31" ht="150" customHeight="1" x14ac:dyDescent="0.2">
      <c r="A34" s="696">
        <v>545547</v>
      </c>
      <c r="B34" s="696" t="s">
        <v>31</v>
      </c>
      <c r="C34" s="696" t="s">
        <v>3024</v>
      </c>
      <c r="D34" s="696" t="s">
        <v>36</v>
      </c>
      <c r="E34" s="701">
        <v>42783</v>
      </c>
      <c r="F34" s="696" t="s">
        <v>3026</v>
      </c>
      <c r="G34" s="696" t="s">
        <v>3729</v>
      </c>
      <c r="H34" s="696" t="s">
        <v>3027</v>
      </c>
      <c r="I34" s="696" t="s">
        <v>3028</v>
      </c>
      <c r="J34" s="696" t="s">
        <v>34</v>
      </c>
      <c r="K34" s="696" t="s">
        <v>2710</v>
      </c>
      <c r="L34" s="696" t="s">
        <v>3029</v>
      </c>
      <c r="M34" s="696" t="s">
        <v>3029</v>
      </c>
      <c r="N34" s="696" t="s">
        <v>23</v>
      </c>
      <c r="O34" s="696" t="s">
        <v>23</v>
      </c>
      <c r="P34" s="696" t="s">
        <v>23</v>
      </c>
      <c r="Q34" s="696"/>
      <c r="R34" s="696" t="s">
        <v>23</v>
      </c>
      <c r="S34" s="679" t="s">
        <v>76</v>
      </c>
      <c r="T34" s="696" t="s">
        <v>23</v>
      </c>
      <c r="U34" s="696" t="s">
        <v>23</v>
      </c>
      <c r="V34" s="696" t="s">
        <v>23</v>
      </c>
      <c r="W34" s="696" t="s">
        <v>23</v>
      </c>
      <c r="X34" s="696" t="s">
        <v>23</v>
      </c>
      <c r="Y34" s="701">
        <v>43018</v>
      </c>
      <c r="Z34" s="701">
        <v>44110</v>
      </c>
      <c r="AA34" s="678" t="s">
        <v>3110</v>
      </c>
      <c r="AB34" s="678" t="s">
        <v>3853</v>
      </c>
      <c r="AC34" s="679" t="s">
        <v>77</v>
      </c>
      <c r="AD34" s="679" t="s">
        <v>341</v>
      </c>
      <c r="AE34" s="696" t="s">
        <v>2948</v>
      </c>
    </row>
    <row r="35" spans="1:31" ht="150" customHeight="1" x14ac:dyDescent="0.2">
      <c r="A35" s="696">
        <v>557203</v>
      </c>
      <c r="B35" s="696" t="s">
        <v>31</v>
      </c>
      <c r="C35" s="696" t="s">
        <v>3031</v>
      </c>
      <c r="D35" s="696" t="s">
        <v>78</v>
      </c>
      <c r="E35" s="701">
        <v>42944</v>
      </c>
      <c r="F35" s="696" t="s">
        <v>2795</v>
      </c>
      <c r="G35" s="696" t="s">
        <v>33</v>
      </c>
      <c r="H35" s="696" t="s">
        <v>3032</v>
      </c>
      <c r="I35" s="696" t="s">
        <v>3033</v>
      </c>
      <c r="J35" s="696" t="s">
        <v>34</v>
      </c>
      <c r="K35" s="696" t="s">
        <v>2710</v>
      </c>
      <c r="L35" s="696" t="s">
        <v>2711</v>
      </c>
      <c r="M35" s="698" t="s">
        <v>3035</v>
      </c>
      <c r="N35" s="696" t="s">
        <v>699</v>
      </c>
      <c r="O35" s="679" t="s">
        <v>17</v>
      </c>
      <c r="P35" s="679" t="s">
        <v>17</v>
      </c>
      <c r="Q35" s="679"/>
      <c r="R35" s="696" t="s">
        <v>3036</v>
      </c>
      <c r="S35" s="679" t="s">
        <v>68</v>
      </c>
      <c r="T35" s="696" t="s">
        <v>79</v>
      </c>
      <c r="U35" s="696" t="s">
        <v>23</v>
      </c>
      <c r="V35" s="696" t="s">
        <v>23</v>
      </c>
      <c r="W35" s="696" t="s">
        <v>23</v>
      </c>
      <c r="X35" s="696" t="s">
        <v>23</v>
      </c>
      <c r="Y35" s="696" t="s">
        <v>23</v>
      </c>
      <c r="Z35" s="696" t="s">
        <v>23</v>
      </c>
      <c r="AA35" s="678" t="s">
        <v>3110</v>
      </c>
      <c r="AB35" s="678" t="s">
        <v>3037</v>
      </c>
      <c r="AC35" s="679" t="s">
        <v>19</v>
      </c>
      <c r="AD35" s="679" t="s">
        <v>17</v>
      </c>
      <c r="AE35" s="696" t="s">
        <v>996</v>
      </c>
    </row>
    <row r="36" spans="1:31" ht="150" customHeight="1" x14ac:dyDescent="0.2">
      <c r="A36" s="696">
        <v>552215</v>
      </c>
      <c r="B36" s="696" t="s">
        <v>31</v>
      </c>
      <c r="C36" s="696" t="s">
        <v>3038</v>
      </c>
      <c r="D36" s="696" t="s">
        <v>32</v>
      </c>
      <c r="E36" s="701">
        <v>42880</v>
      </c>
      <c r="F36" s="696" t="s">
        <v>3039</v>
      </c>
      <c r="G36" s="696" t="s">
        <v>33</v>
      </c>
      <c r="H36" s="696" t="s">
        <v>3040</v>
      </c>
      <c r="I36" s="696" t="s">
        <v>1694</v>
      </c>
      <c r="J36" s="696" t="s">
        <v>34</v>
      </c>
      <c r="K36" s="696" t="s">
        <v>298</v>
      </c>
      <c r="L36" s="696" t="s">
        <v>2909</v>
      </c>
      <c r="M36" s="696" t="s">
        <v>3042</v>
      </c>
      <c r="N36" s="696" t="s">
        <v>23</v>
      </c>
      <c r="O36" s="696" t="s">
        <v>23</v>
      </c>
      <c r="P36" s="696" t="s">
        <v>23</v>
      </c>
      <c r="Q36" s="696"/>
      <c r="R36" s="696" t="s">
        <v>23</v>
      </c>
      <c r="S36" s="696" t="s">
        <v>23</v>
      </c>
      <c r="T36" s="696" t="s">
        <v>23</v>
      </c>
      <c r="U36" s="696" t="s">
        <v>23</v>
      </c>
      <c r="V36" s="696" t="s">
        <v>23</v>
      </c>
      <c r="W36" s="696" t="s">
        <v>23</v>
      </c>
      <c r="X36" s="696" t="s">
        <v>23</v>
      </c>
      <c r="Y36" s="701">
        <v>43424</v>
      </c>
      <c r="Z36" s="696" t="s">
        <v>23</v>
      </c>
      <c r="AA36" s="678" t="s">
        <v>3110</v>
      </c>
      <c r="AB36" s="678" t="s">
        <v>3043</v>
      </c>
      <c r="AC36" s="679" t="s">
        <v>22</v>
      </c>
      <c r="AD36" s="679" t="s">
        <v>341</v>
      </c>
      <c r="AE36" s="679" t="s">
        <v>493</v>
      </c>
    </row>
    <row r="37" spans="1:31" s="670" customFormat="1" ht="150" customHeight="1" x14ac:dyDescent="0.2">
      <c r="A37" s="696">
        <v>552770</v>
      </c>
      <c r="B37" s="696" t="s">
        <v>31</v>
      </c>
      <c r="C37" s="696" t="s">
        <v>3044</v>
      </c>
      <c r="D37" s="696" t="s">
        <v>36</v>
      </c>
      <c r="E37" s="701">
        <v>42799</v>
      </c>
      <c r="F37" s="696" t="s">
        <v>3046</v>
      </c>
      <c r="G37" s="696" t="s">
        <v>3729</v>
      </c>
      <c r="H37" s="696" t="s">
        <v>3047</v>
      </c>
      <c r="I37" s="696" t="s">
        <v>3048</v>
      </c>
      <c r="J37" s="696" t="s">
        <v>34</v>
      </c>
      <c r="K37" s="696" t="s">
        <v>298</v>
      </c>
      <c r="L37" s="696" t="s">
        <v>3049</v>
      </c>
      <c r="M37" s="696" t="s">
        <v>3049</v>
      </c>
      <c r="N37" s="696" t="s">
        <v>3050</v>
      </c>
      <c r="O37" s="696" t="s">
        <v>23</v>
      </c>
      <c r="P37" s="696" t="s">
        <v>23</v>
      </c>
      <c r="Q37" s="696"/>
      <c r="R37" s="696" t="s">
        <v>23</v>
      </c>
      <c r="S37" s="679" t="s">
        <v>57</v>
      </c>
      <c r="T37" s="679" t="s">
        <v>23</v>
      </c>
      <c r="U37" s="679" t="s">
        <v>23</v>
      </c>
      <c r="V37" s="679" t="s">
        <v>23</v>
      </c>
      <c r="W37" s="679" t="s">
        <v>23</v>
      </c>
      <c r="X37" s="679" t="s">
        <v>23</v>
      </c>
      <c r="Y37" s="701">
        <v>43287</v>
      </c>
      <c r="Z37" s="701" t="s">
        <v>3051</v>
      </c>
      <c r="AA37" s="678" t="s">
        <v>3110</v>
      </c>
      <c r="AB37" s="678" t="s">
        <v>3052</v>
      </c>
      <c r="AC37" s="679" t="s">
        <v>77</v>
      </c>
      <c r="AD37" s="679" t="s">
        <v>439</v>
      </c>
      <c r="AE37" s="679" t="s">
        <v>3053</v>
      </c>
    </row>
    <row r="38" spans="1:31" ht="150" customHeight="1" x14ac:dyDescent="0.2">
      <c r="A38" s="696">
        <v>555753</v>
      </c>
      <c r="B38" s="696" t="s">
        <v>31</v>
      </c>
      <c r="C38" s="696" t="s">
        <v>3054</v>
      </c>
      <c r="D38" s="696" t="s">
        <v>36</v>
      </c>
      <c r="E38" s="701">
        <v>42909</v>
      </c>
      <c r="F38" s="696" t="s">
        <v>3056</v>
      </c>
      <c r="G38" s="696" t="s">
        <v>3733</v>
      </c>
      <c r="H38" s="696" t="s">
        <v>3057</v>
      </c>
      <c r="I38" s="696" t="s">
        <v>3058</v>
      </c>
      <c r="J38" s="696" t="s">
        <v>34</v>
      </c>
      <c r="K38" s="696" t="s">
        <v>298</v>
      </c>
      <c r="L38" s="696" t="s">
        <v>2711</v>
      </c>
      <c r="M38" s="696" t="s">
        <v>3059</v>
      </c>
      <c r="N38" s="696" t="s">
        <v>3060</v>
      </c>
      <c r="O38" s="679" t="s">
        <v>65</v>
      </c>
      <c r="P38" s="679" t="s">
        <v>65</v>
      </c>
      <c r="Q38" s="679"/>
      <c r="R38" s="678" t="s">
        <v>3062</v>
      </c>
      <c r="S38" s="679" t="s">
        <v>61</v>
      </c>
      <c r="T38" s="678" t="s">
        <v>80</v>
      </c>
      <c r="U38" s="679" t="s">
        <v>65</v>
      </c>
      <c r="V38" s="723" t="s">
        <v>23</v>
      </c>
      <c r="W38" s="682" t="s">
        <v>65</v>
      </c>
      <c r="X38" s="679" t="s">
        <v>65</v>
      </c>
      <c r="Y38" s="703" t="s">
        <v>3063</v>
      </c>
      <c r="Z38" s="703">
        <v>44203</v>
      </c>
      <c r="AA38" s="678" t="s">
        <v>3110</v>
      </c>
      <c r="AB38" s="678" t="s">
        <v>3064</v>
      </c>
      <c r="AC38" s="679" t="s">
        <v>22</v>
      </c>
      <c r="AD38" s="679" t="s">
        <v>341</v>
      </c>
      <c r="AE38" s="696" t="s">
        <v>600</v>
      </c>
    </row>
    <row r="39" spans="1:31" ht="150" customHeight="1" x14ac:dyDescent="0.2">
      <c r="A39" s="696">
        <v>671001</v>
      </c>
      <c r="B39" s="696" t="s">
        <v>31</v>
      </c>
      <c r="C39" s="696" t="s">
        <v>3073</v>
      </c>
      <c r="D39" s="696" t="s">
        <v>78</v>
      </c>
      <c r="E39" s="701">
        <v>44307</v>
      </c>
      <c r="F39" s="696" t="s">
        <v>3074</v>
      </c>
      <c r="G39" s="696" t="s">
        <v>33</v>
      </c>
      <c r="H39" s="696" t="s">
        <v>3075</v>
      </c>
      <c r="I39" s="696" t="s">
        <v>3076</v>
      </c>
      <c r="J39" s="696" t="s">
        <v>34</v>
      </c>
      <c r="K39" s="696" t="s">
        <v>298</v>
      </c>
      <c r="L39" s="696" t="s">
        <v>2711</v>
      </c>
      <c r="M39" s="696" t="s">
        <v>3077</v>
      </c>
      <c r="N39" s="696" t="s">
        <v>23</v>
      </c>
      <c r="O39" s="679" t="s">
        <v>23</v>
      </c>
      <c r="P39" s="679" t="s">
        <v>23</v>
      </c>
      <c r="Q39" s="679"/>
      <c r="R39" s="704" t="s">
        <v>23</v>
      </c>
      <c r="S39" s="679" t="s">
        <v>75</v>
      </c>
      <c r="T39" s="682" t="s">
        <v>23</v>
      </c>
      <c r="U39" s="679" t="s">
        <v>23</v>
      </c>
      <c r="V39" s="679" t="s">
        <v>23</v>
      </c>
      <c r="W39" s="679" t="s">
        <v>23</v>
      </c>
      <c r="X39" s="679" t="s">
        <v>23</v>
      </c>
      <c r="Y39" s="703">
        <v>44517</v>
      </c>
      <c r="Z39" s="703">
        <v>44845</v>
      </c>
      <c r="AA39" s="678" t="s">
        <v>3845</v>
      </c>
      <c r="AB39" s="698" t="s">
        <v>3080</v>
      </c>
      <c r="AC39" s="679" t="s">
        <v>22</v>
      </c>
      <c r="AD39" s="679" t="s">
        <v>341</v>
      </c>
      <c r="AE39" s="696" t="s">
        <v>600</v>
      </c>
    </row>
    <row r="40" spans="1:31" ht="150" customHeight="1" x14ac:dyDescent="0.2">
      <c r="A40" s="696">
        <v>680724</v>
      </c>
      <c r="B40" s="696" t="s">
        <v>31</v>
      </c>
      <c r="C40" s="696" t="s">
        <v>3081</v>
      </c>
      <c r="D40" s="696" t="s">
        <v>36</v>
      </c>
      <c r="E40" s="701">
        <v>44435</v>
      </c>
      <c r="F40" s="696" t="s">
        <v>3083</v>
      </c>
      <c r="G40" s="696" t="s">
        <v>3729</v>
      </c>
      <c r="H40" s="696" t="s">
        <v>3084</v>
      </c>
      <c r="I40" s="696" t="s">
        <v>3085</v>
      </c>
      <c r="J40" s="696" t="s">
        <v>34</v>
      </c>
      <c r="K40" s="696" t="s">
        <v>298</v>
      </c>
      <c r="L40" s="696" t="s">
        <v>3086</v>
      </c>
      <c r="M40" s="696" t="s">
        <v>3087</v>
      </c>
      <c r="N40" s="696" t="s">
        <v>17</v>
      </c>
      <c r="O40" s="679" t="s">
        <v>17</v>
      </c>
      <c r="P40" s="679" t="s">
        <v>17</v>
      </c>
      <c r="Q40" s="679"/>
      <c r="R40" s="678" t="s">
        <v>17</v>
      </c>
      <c r="S40" s="696" t="s">
        <v>23</v>
      </c>
      <c r="T40" s="682" t="s">
        <v>17</v>
      </c>
      <c r="U40" s="724" t="s">
        <v>17</v>
      </c>
      <c r="V40" s="707" t="s">
        <v>17</v>
      </c>
      <c r="W40" s="707" t="s">
        <v>17</v>
      </c>
      <c r="X40" s="707" t="s">
        <v>17</v>
      </c>
      <c r="Y40" s="707" t="s">
        <v>3088</v>
      </c>
      <c r="Z40" s="707" t="s">
        <v>17</v>
      </c>
      <c r="AA40" s="678" t="s">
        <v>3110</v>
      </c>
      <c r="AB40" s="678" t="s">
        <v>3089</v>
      </c>
      <c r="AC40" s="679" t="s">
        <v>82</v>
      </c>
      <c r="AD40" s="679"/>
      <c r="AE40" s="696" t="s">
        <v>3090</v>
      </c>
    </row>
    <row r="41" spans="1:31" ht="150" customHeight="1" x14ac:dyDescent="0.2">
      <c r="A41" s="696">
        <v>680477</v>
      </c>
      <c r="B41" s="696" t="s">
        <v>31</v>
      </c>
      <c r="C41" s="696" t="s">
        <v>3091</v>
      </c>
      <c r="D41" s="696" t="s">
        <v>36</v>
      </c>
      <c r="E41" s="701">
        <v>44433</v>
      </c>
      <c r="F41" s="696" t="s">
        <v>3092</v>
      </c>
      <c r="G41" s="696" t="s">
        <v>3733</v>
      </c>
      <c r="H41" s="696" t="s">
        <v>3093</v>
      </c>
      <c r="I41" s="696" t="s">
        <v>3094</v>
      </c>
      <c r="J41" s="696" t="s">
        <v>34</v>
      </c>
      <c r="K41" s="696" t="s">
        <v>2710</v>
      </c>
      <c r="L41" s="696" t="s">
        <v>2711</v>
      </c>
      <c r="M41" s="696" t="s">
        <v>3096</v>
      </c>
      <c r="N41" s="696" t="s">
        <v>3097</v>
      </c>
      <c r="O41" s="679" t="s">
        <v>17</v>
      </c>
      <c r="P41" s="679" t="s">
        <v>17</v>
      </c>
      <c r="Q41" s="679"/>
      <c r="R41" s="679" t="s">
        <v>3098</v>
      </c>
      <c r="S41" s="679" t="s">
        <v>64</v>
      </c>
      <c r="T41" s="682" t="s">
        <v>17</v>
      </c>
      <c r="U41" s="724" t="s">
        <v>17</v>
      </c>
      <c r="V41" s="707" t="s">
        <v>17</v>
      </c>
      <c r="W41" s="707" t="s">
        <v>17</v>
      </c>
      <c r="X41" s="707" t="s">
        <v>17</v>
      </c>
      <c r="Y41" s="707" t="s">
        <v>3099</v>
      </c>
      <c r="Z41" s="707" t="s">
        <v>3100</v>
      </c>
      <c r="AA41" s="678" t="s">
        <v>3110</v>
      </c>
      <c r="AB41" s="725" t="s">
        <v>3101</v>
      </c>
      <c r="AC41" s="679" t="s">
        <v>22</v>
      </c>
      <c r="AD41" s="679" t="s">
        <v>17</v>
      </c>
      <c r="AE41" s="696" t="s">
        <v>2829</v>
      </c>
    </row>
    <row r="42" spans="1:31" ht="150" customHeight="1" x14ac:dyDescent="0.2">
      <c r="A42" s="705">
        <v>672853</v>
      </c>
      <c r="B42" s="696" t="s">
        <v>31</v>
      </c>
      <c r="C42" s="698" t="s">
        <v>3103</v>
      </c>
      <c r="D42" s="696" t="s">
        <v>36</v>
      </c>
      <c r="E42" s="701">
        <v>44329</v>
      </c>
      <c r="F42" s="696" t="s">
        <v>3104</v>
      </c>
      <c r="G42" s="696" t="s">
        <v>3733</v>
      </c>
      <c r="H42" s="698" t="s">
        <v>3105</v>
      </c>
      <c r="I42" s="698" t="s">
        <v>3106</v>
      </c>
      <c r="J42" s="696" t="s">
        <v>34</v>
      </c>
      <c r="K42" s="696" t="s">
        <v>298</v>
      </c>
      <c r="L42" s="696" t="s">
        <v>3107</v>
      </c>
      <c r="M42" s="696" t="s">
        <v>3108</v>
      </c>
      <c r="N42" s="696" t="s">
        <v>17</v>
      </c>
      <c r="O42" s="696" t="s">
        <v>17</v>
      </c>
      <c r="P42" s="696" t="s">
        <v>17</v>
      </c>
      <c r="Q42" s="696"/>
      <c r="R42" s="696" t="s">
        <v>17</v>
      </c>
      <c r="S42" s="679" t="s">
        <v>83</v>
      </c>
      <c r="T42" s="682" t="s">
        <v>17</v>
      </c>
      <c r="U42" s="679" t="s">
        <v>17</v>
      </c>
      <c r="V42" s="723" t="s">
        <v>17</v>
      </c>
      <c r="W42" s="682" t="s">
        <v>17</v>
      </c>
      <c r="X42" s="679" t="s">
        <v>17</v>
      </c>
      <c r="Y42" s="703" t="s">
        <v>3109</v>
      </c>
      <c r="Z42" s="703" t="s">
        <v>17</v>
      </c>
      <c r="AA42" s="678" t="s">
        <v>3110</v>
      </c>
      <c r="AB42" s="726" t="s">
        <v>3111</v>
      </c>
      <c r="AC42" s="696" t="s">
        <v>82</v>
      </c>
      <c r="AD42" s="696"/>
      <c r="AE42" s="679" t="s">
        <v>493</v>
      </c>
    </row>
    <row r="43" spans="1:31" ht="150" customHeight="1" x14ac:dyDescent="0.2">
      <c r="A43" s="705">
        <v>682046</v>
      </c>
      <c r="B43" s="696" t="s">
        <v>31</v>
      </c>
      <c r="C43" s="698" t="s">
        <v>3112</v>
      </c>
      <c r="D43" s="696" t="s">
        <v>36</v>
      </c>
      <c r="E43" s="701">
        <v>41903</v>
      </c>
      <c r="F43" s="698" t="s">
        <v>2939</v>
      </c>
      <c r="G43" s="696" t="s">
        <v>39</v>
      </c>
      <c r="H43" s="698" t="s">
        <v>3114</v>
      </c>
      <c r="I43" s="698" t="s">
        <v>3115</v>
      </c>
      <c r="J43" s="696" t="s">
        <v>34</v>
      </c>
      <c r="K43" s="696" t="s">
        <v>298</v>
      </c>
      <c r="L43" s="696" t="s">
        <v>3116</v>
      </c>
      <c r="M43" s="696" t="s">
        <v>3117</v>
      </c>
      <c r="N43" s="696" t="s">
        <v>23</v>
      </c>
      <c r="O43" s="679" t="s">
        <v>17</v>
      </c>
      <c r="P43" s="679" t="s">
        <v>17</v>
      </c>
      <c r="Q43" s="696"/>
      <c r="R43" s="698" t="s">
        <v>17</v>
      </c>
      <c r="S43" s="696" t="s">
        <v>41</v>
      </c>
      <c r="T43" s="707" t="s">
        <v>17</v>
      </c>
      <c r="U43" s="724" t="s">
        <v>17</v>
      </c>
      <c r="V43" s="707" t="s">
        <v>17</v>
      </c>
      <c r="W43" s="707" t="s">
        <v>17</v>
      </c>
      <c r="X43" s="707" t="s">
        <v>17</v>
      </c>
      <c r="Y43" s="707" t="s">
        <v>17</v>
      </c>
      <c r="Z43" s="727" t="s">
        <v>17</v>
      </c>
      <c r="AA43" s="678" t="s">
        <v>3110</v>
      </c>
      <c r="AB43" s="725" t="s">
        <v>3118</v>
      </c>
      <c r="AC43" s="679" t="s">
        <v>22</v>
      </c>
      <c r="AD43" s="679" t="s">
        <v>439</v>
      </c>
      <c r="AE43" s="696" t="s">
        <v>3119</v>
      </c>
    </row>
    <row r="44" spans="1:31" ht="150" customHeight="1" x14ac:dyDescent="0.2">
      <c r="A44" s="696">
        <v>625101</v>
      </c>
      <c r="B44" s="696" t="s">
        <v>31</v>
      </c>
      <c r="C44" s="698" t="s">
        <v>3120</v>
      </c>
      <c r="D44" s="696" t="s">
        <v>36</v>
      </c>
      <c r="E44" s="701">
        <v>44452</v>
      </c>
      <c r="F44" s="698" t="s">
        <v>3121</v>
      </c>
      <c r="G44" s="696" t="s">
        <v>3729</v>
      </c>
      <c r="H44" s="696" t="s">
        <v>3122</v>
      </c>
      <c r="I44" s="696" t="s">
        <v>3123</v>
      </c>
      <c r="J44" s="696" t="s">
        <v>34</v>
      </c>
      <c r="K44" s="696" t="s">
        <v>298</v>
      </c>
      <c r="L44" s="696" t="s">
        <v>3124</v>
      </c>
      <c r="M44" s="696" t="s">
        <v>3125</v>
      </c>
      <c r="N44" s="696" t="s">
        <v>23</v>
      </c>
      <c r="O44" s="679" t="s">
        <v>23</v>
      </c>
      <c r="P44" s="679" t="s">
        <v>23</v>
      </c>
      <c r="Q44" s="679"/>
      <c r="R44" s="678" t="s">
        <v>23</v>
      </c>
      <c r="S44" s="679" t="s">
        <v>57</v>
      </c>
      <c r="T44" s="682" t="s">
        <v>23</v>
      </c>
      <c r="U44" s="679" t="s">
        <v>23</v>
      </c>
      <c r="V44" s="723" t="s">
        <v>23</v>
      </c>
      <c r="W44" s="682" t="s">
        <v>23</v>
      </c>
      <c r="X44" s="679" t="s">
        <v>23</v>
      </c>
      <c r="Y44" s="703" t="s">
        <v>23</v>
      </c>
      <c r="Z44" s="703" t="s">
        <v>23</v>
      </c>
      <c r="AA44" s="678" t="s">
        <v>3110</v>
      </c>
      <c r="AB44" s="678" t="s">
        <v>3126</v>
      </c>
      <c r="AC44" s="679" t="s">
        <v>19</v>
      </c>
      <c r="AD44" s="679" t="s">
        <v>17</v>
      </c>
      <c r="AE44" s="696"/>
    </row>
    <row r="45" spans="1:31" ht="150" customHeight="1" x14ac:dyDescent="0.3">
      <c r="A45" s="696">
        <v>683323</v>
      </c>
      <c r="B45" s="696" t="s">
        <v>31</v>
      </c>
      <c r="C45" s="696" t="s">
        <v>3127</v>
      </c>
      <c r="D45" s="696" t="s">
        <v>36</v>
      </c>
      <c r="E45" s="701">
        <v>44469</v>
      </c>
      <c r="F45" s="696" t="s">
        <v>3128</v>
      </c>
      <c r="G45" s="696" t="s">
        <v>33</v>
      </c>
      <c r="H45" s="696" t="s">
        <v>3129</v>
      </c>
      <c r="I45" s="698" t="s">
        <v>3130</v>
      </c>
      <c r="J45" s="696" t="s">
        <v>34</v>
      </c>
      <c r="K45" s="696" t="s">
        <v>298</v>
      </c>
      <c r="L45" s="696" t="s">
        <v>2711</v>
      </c>
      <c r="M45" s="720"/>
      <c r="N45" s="679" t="s">
        <v>17</v>
      </c>
      <c r="O45" s="679" t="s">
        <v>17</v>
      </c>
      <c r="P45" s="679" t="s">
        <v>17</v>
      </c>
      <c r="Q45" s="679"/>
      <c r="R45" s="679" t="s">
        <v>3132</v>
      </c>
      <c r="S45" s="679" t="s">
        <v>84</v>
      </c>
      <c r="T45" s="679" t="s">
        <v>17</v>
      </c>
      <c r="U45" s="679" t="s">
        <v>17</v>
      </c>
      <c r="V45" s="679" t="s">
        <v>17</v>
      </c>
      <c r="W45" s="679" t="s">
        <v>17</v>
      </c>
      <c r="X45" s="679" t="s">
        <v>17</v>
      </c>
      <c r="Y45" s="679" t="s">
        <v>17</v>
      </c>
      <c r="Z45" s="679" t="s">
        <v>17</v>
      </c>
      <c r="AA45" s="678" t="s">
        <v>3110</v>
      </c>
      <c r="AB45" s="678" t="s">
        <v>3133</v>
      </c>
      <c r="AC45" s="679" t="s">
        <v>19</v>
      </c>
      <c r="AD45" s="679" t="s">
        <v>341</v>
      </c>
      <c r="AE45" s="696" t="s">
        <v>448</v>
      </c>
    </row>
    <row r="46" spans="1:31" ht="150" customHeight="1" x14ac:dyDescent="0.2">
      <c r="A46" s="696">
        <v>684351</v>
      </c>
      <c r="B46" s="696" t="s">
        <v>31</v>
      </c>
      <c r="C46" s="696" t="s">
        <v>3134</v>
      </c>
      <c r="D46" s="696" t="s">
        <v>36</v>
      </c>
      <c r="E46" s="701">
        <v>44511</v>
      </c>
      <c r="F46" s="696" t="s">
        <v>3135</v>
      </c>
      <c r="G46" s="696" t="s">
        <v>33</v>
      </c>
      <c r="H46" s="696" t="s">
        <v>3136</v>
      </c>
      <c r="I46" s="696" t="s">
        <v>3137</v>
      </c>
      <c r="J46" s="696" t="s">
        <v>34</v>
      </c>
      <c r="K46" s="696" t="s">
        <v>2710</v>
      </c>
      <c r="L46" s="696" t="s">
        <v>2711</v>
      </c>
      <c r="M46" s="728" t="s">
        <v>3138</v>
      </c>
      <c r="N46" s="679" t="s">
        <v>3139</v>
      </c>
      <c r="O46" s="707" t="s">
        <v>17</v>
      </c>
      <c r="P46" s="679" t="s">
        <v>17</v>
      </c>
      <c r="Q46" s="679"/>
      <c r="R46" s="678" t="s">
        <v>3140</v>
      </c>
      <c r="S46" s="679" t="s">
        <v>85</v>
      </c>
      <c r="T46" s="682" t="s">
        <v>17</v>
      </c>
      <c r="U46" s="724" t="s">
        <v>17</v>
      </c>
      <c r="V46" s="724" t="s">
        <v>17</v>
      </c>
      <c r="W46" s="724" t="s">
        <v>17</v>
      </c>
      <c r="X46" s="724" t="s">
        <v>17</v>
      </c>
      <c r="Y46" s="724" t="s">
        <v>17</v>
      </c>
      <c r="Z46" s="724" t="s">
        <v>17</v>
      </c>
      <c r="AA46" s="678" t="s">
        <v>3110</v>
      </c>
      <c r="AB46" s="729" t="s">
        <v>3141</v>
      </c>
      <c r="AC46" s="724" t="s">
        <v>82</v>
      </c>
      <c r="AD46" s="679" t="s">
        <v>341</v>
      </c>
      <c r="AE46" s="724" t="s">
        <v>996</v>
      </c>
    </row>
    <row r="47" spans="1:31" ht="150" customHeight="1" x14ac:dyDescent="0.2">
      <c r="A47" s="696">
        <v>676177</v>
      </c>
      <c r="B47" s="696" t="s">
        <v>31</v>
      </c>
      <c r="C47" s="696" t="s">
        <v>3142</v>
      </c>
      <c r="D47" s="696" t="s">
        <v>36</v>
      </c>
      <c r="E47" s="701">
        <v>44350</v>
      </c>
      <c r="F47" s="696" t="s">
        <v>3135</v>
      </c>
      <c r="G47" s="696" t="s">
        <v>33</v>
      </c>
      <c r="H47" s="696" t="s">
        <v>3143</v>
      </c>
      <c r="I47" s="696" t="s">
        <v>3144</v>
      </c>
      <c r="J47" s="696" t="s">
        <v>34</v>
      </c>
      <c r="K47" s="696" t="s">
        <v>2710</v>
      </c>
      <c r="L47" s="696" t="s">
        <v>3145</v>
      </c>
      <c r="M47" s="696" t="s">
        <v>3146</v>
      </c>
      <c r="N47" s="679" t="s">
        <v>17</v>
      </c>
      <c r="O47" s="707" t="s">
        <v>17</v>
      </c>
      <c r="P47" s="679" t="s">
        <v>17</v>
      </c>
      <c r="Q47" s="707"/>
      <c r="R47" s="678" t="s">
        <v>3147</v>
      </c>
      <c r="S47" s="679" t="s">
        <v>68</v>
      </c>
      <c r="T47" s="682" t="s">
        <v>17</v>
      </c>
      <c r="U47" s="724" t="s">
        <v>17</v>
      </c>
      <c r="V47" s="724" t="s">
        <v>17</v>
      </c>
      <c r="W47" s="724" t="s">
        <v>17</v>
      </c>
      <c r="X47" s="724" t="s">
        <v>17</v>
      </c>
      <c r="Y47" s="724" t="s">
        <v>17</v>
      </c>
      <c r="Z47" s="724" t="s">
        <v>17</v>
      </c>
      <c r="AA47" s="678" t="s">
        <v>3110</v>
      </c>
      <c r="AB47" s="678" t="s">
        <v>3148</v>
      </c>
      <c r="AC47" s="679" t="s">
        <v>19</v>
      </c>
      <c r="AD47" s="679" t="s">
        <v>341</v>
      </c>
      <c r="AE47" s="696" t="s">
        <v>448</v>
      </c>
    </row>
    <row r="48" spans="1:31" ht="150" customHeight="1" x14ac:dyDescent="0.2">
      <c r="A48" s="696">
        <v>672767</v>
      </c>
      <c r="B48" s="696" t="s">
        <v>31</v>
      </c>
      <c r="C48" s="696" t="s">
        <v>3149</v>
      </c>
      <c r="D48" s="696" t="s">
        <v>36</v>
      </c>
      <c r="E48" s="701">
        <v>44329</v>
      </c>
      <c r="F48" s="696" t="s">
        <v>3150</v>
      </c>
      <c r="G48" s="696" t="s">
        <v>3733</v>
      </c>
      <c r="H48" s="696" t="s">
        <v>3151</v>
      </c>
      <c r="I48" s="696" t="s">
        <v>3152</v>
      </c>
      <c r="J48" s="696" t="s">
        <v>34</v>
      </c>
      <c r="K48" s="696" t="s">
        <v>298</v>
      </c>
      <c r="L48" s="696" t="s">
        <v>3154</v>
      </c>
      <c r="M48" s="730" t="s">
        <v>3155</v>
      </c>
      <c r="N48" s="696" t="s">
        <v>3156</v>
      </c>
      <c r="O48" s="679" t="s">
        <v>17</v>
      </c>
      <c r="P48" s="679" t="s">
        <v>17</v>
      </c>
      <c r="Q48" s="679"/>
      <c r="R48" s="678" t="s">
        <v>3157</v>
      </c>
      <c r="S48" s="679" t="s">
        <v>38</v>
      </c>
      <c r="T48" s="682" t="s">
        <v>17</v>
      </c>
      <c r="U48" s="724" t="s">
        <v>17</v>
      </c>
      <c r="V48" s="724" t="s">
        <v>17</v>
      </c>
      <c r="W48" s="724" t="s">
        <v>17</v>
      </c>
      <c r="X48" s="724" t="s">
        <v>17</v>
      </c>
      <c r="Y48" s="724" t="s">
        <v>17</v>
      </c>
      <c r="Z48" s="724" t="s">
        <v>17</v>
      </c>
      <c r="AA48" s="678" t="s">
        <v>3110</v>
      </c>
      <c r="AB48" s="678" t="s">
        <v>3158</v>
      </c>
      <c r="AC48" s="679" t="s">
        <v>19</v>
      </c>
      <c r="AD48" s="679"/>
      <c r="AE48" s="696"/>
    </row>
    <row r="49" spans="1:31" ht="150" customHeight="1" x14ac:dyDescent="0.2">
      <c r="A49" s="696">
        <v>456972</v>
      </c>
      <c r="B49" s="696" t="s">
        <v>31</v>
      </c>
      <c r="C49" s="696" t="s">
        <v>3166</v>
      </c>
      <c r="D49" s="696" t="s">
        <v>36</v>
      </c>
      <c r="E49" s="701">
        <v>41799</v>
      </c>
      <c r="F49" s="696" t="s">
        <v>3167</v>
      </c>
      <c r="G49" s="696" t="s">
        <v>3729</v>
      </c>
      <c r="H49" s="696" t="s">
        <v>3168</v>
      </c>
      <c r="I49" s="696" t="s">
        <v>3169</v>
      </c>
      <c r="J49" s="696" t="s">
        <v>34</v>
      </c>
      <c r="K49" s="696" t="s">
        <v>327</v>
      </c>
      <c r="L49" s="696" t="s">
        <v>3170</v>
      </c>
      <c r="M49" s="730" t="s">
        <v>3171</v>
      </c>
      <c r="N49" s="696" t="s">
        <v>17</v>
      </c>
      <c r="O49" s="679" t="s">
        <v>23</v>
      </c>
      <c r="P49" s="679" t="s">
        <v>23</v>
      </c>
      <c r="Q49" s="679"/>
      <c r="R49" s="704" t="s">
        <v>17</v>
      </c>
      <c r="S49" s="679" t="s">
        <v>41</v>
      </c>
      <c r="T49" s="682" t="s">
        <v>17</v>
      </c>
      <c r="U49" s="679" t="s">
        <v>23</v>
      </c>
      <c r="V49" s="679" t="s">
        <v>23</v>
      </c>
      <c r="W49" s="679" t="s">
        <v>23</v>
      </c>
      <c r="X49" s="679" t="s">
        <v>23</v>
      </c>
      <c r="Y49" s="696" t="s">
        <v>17</v>
      </c>
      <c r="Z49" s="696" t="s">
        <v>17</v>
      </c>
      <c r="AA49" s="678" t="s">
        <v>3110</v>
      </c>
      <c r="AB49" s="678" t="s">
        <v>3172</v>
      </c>
      <c r="AC49" s="679" t="s">
        <v>22</v>
      </c>
      <c r="AD49" s="679" t="s">
        <v>3681</v>
      </c>
      <c r="AE49" s="696" t="s">
        <v>3173</v>
      </c>
    </row>
    <row r="50" spans="1:31" ht="150" customHeight="1" x14ac:dyDescent="0.2">
      <c r="A50" s="696">
        <v>419829</v>
      </c>
      <c r="B50" s="696" t="s">
        <v>31</v>
      </c>
      <c r="C50" s="696" t="s">
        <v>3854</v>
      </c>
      <c r="D50" s="696" t="s">
        <v>36</v>
      </c>
      <c r="E50" s="701">
        <v>41337</v>
      </c>
      <c r="F50" s="696" t="s">
        <v>3175</v>
      </c>
      <c r="G50" s="696" t="s">
        <v>33</v>
      </c>
      <c r="H50" s="696" t="s">
        <v>3176</v>
      </c>
      <c r="I50" s="696" t="s">
        <v>3177</v>
      </c>
      <c r="J50" s="696" t="s">
        <v>34</v>
      </c>
      <c r="K50" s="696" t="s">
        <v>298</v>
      </c>
      <c r="L50" s="696" t="s">
        <v>2711</v>
      </c>
      <c r="M50" s="696" t="s">
        <v>3178</v>
      </c>
      <c r="N50" s="696" t="s">
        <v>17</v>
      </c>
      <c r="O50" s="696" t="s">
        <v>87</v>
      </c>
      <c r="P50" s="696" t="s">
        <v>87</v>
      </c>
      <c r="Q50" s="679"/>
      <c r="R50" s="696" t="s">
        <v>87</v>
      </c>
      <c r="S50" s="696" t="s">
        <v>38</v>
      </c>
      <c r="T50" s="696" t="s">
        <v>89</v>
      </c>
      <c r="U50" s="696" t="s">
        <v>87</v>
      </c>
      <c r="V50" s="696" t="s">
        <v>87</v>
      </c>
      <c r="W50" s="696" t="s">
        <v>87</v>
      </c>
      <c r="X50" s="696" t="s">
        <v>87</v>
      </c>
      <c r="Y50" s="696" t="s">
        <v>3179</v>
      </c>
      <c r="Z50" s="696" t="s">
        <v>3180</v>
      </c>
      <c r="AA50" s="698" t="s">
        <v>3181</v>
      </c>
      <c r="AB50" s="698" t="s">
        <v>3182</v>
      </c>
      <c r="AC50" s="679" t="s">
        <v>22</v>
      </c>
      <c r="AD50" s="679" t="s">
        <v>341</v>
      </c>
      <c r="AE50" s="696" t="s">
        <v>600</v>
      </c>
    </row>
    <row r="51" spans="1:31" ht="150" customHeight="1" x14ac:dyDescent="0.2">
      <c r="A51" s="696">
        <v>582434</v>
      </c>
      <c r="B51" s="696" t="s">
        <v>31</v>
      </c>
      <c r="C51" s="696" t="s">
        <v>3184</v>
      </c>
      <c r="D51" s="696" t="s">
        <v>36</v>
      </c>
      <c r="E51" s="701">
        <v>43357</v>
      </c>
      <c r="F51" s="696" t="s">
        <v>3185</v>
      </c>
      <c r="G51" s="696" t="s">
        <v>39</v>
      </c>
      <c r="H51" s="696" t="s">
        <v>3186</v>
      </c>
      <c r="I51" s="696" t="s">
        <v>3187</v>
      </c>
      <c r="J51" s="696" t="s">
        <v>34</v>
      </c>
      <c r="K51" s="696" t="s">
        <v>298</v>
      </c>
      <c r="L51" s="696" t="s">
        <v>3188</v>
      </c>
      <c r="M51" s="696" t="s">
        <v>3189</v>
      </c>
      <c r="N51" s="696" t="s">
        <v>3190</v>
      </c>
      <c r="O51" s="679" t="s">
        <v>17</v>
      </c>
      <c r="P51" s="679" t="s">
        <v>17</v>
      </c>
      <c r="Q51" s="679"/>
      <c r="R51" s="679" t="s">
        <v>17</v>
      </c>
      <c r="S51" s="679" t="s">
        <v>38</v>
      </c>
      <c r="T51" s="682" t="s">
        <v>17</v>
      </c>
      <c r="U51" s="682" t="s">
        <v>17</v>
      </c>
      <c r="V51" s="682" t="s">
        <v>17</v>
      </c>
      <c r="W51" s="682" t="s">
        <v>17</v>
      </c>
      <c r="X51" s="682" t="s">
        <v>17</v>
      </c>
      <c r="Y51" s="682" t="s">
        <v>17</v>
      </c>
      <c r="Z51" s="682" t="s">
        <v>17</v>
      </c>
      <c r="AA51" s="678" t="s">
        <v>3110</v>
      </c>
      <c r="AB51" s="698" t="s">
        <v>3191</v>
      </c>
      <c r="AC51" s="679" t="s">
        <v>19</v>
      </c>
      <c r="AD51" s="679" t="s">
        <v>3681</v>
      </c>
      <c r="AE51" s="696" t="s">
        <v>3192</v>
      </c>
    </row>
    <row r="52" spans="1:31" ht="150" customHeight="1" x14ac:dyDescent="0.2">
      <c r="A52" s="696">
        <v>591702</v>
      </c>
      <c r="B52" s="696" t="s">
        <v>31</v>
      </c>
      <c r="C52" s="696" t="s">
        <v>3193</v>
      </c>
      <c r="D52" s="696" t="s">
        <v>36</v>
      </c>
      <c r="E52" s="701">
        <v>43510</v>
      </c>
      <c r="F52" s="696" t="s">
        <v>3194</v>
      </c>
      <c r="G52" s="696" t="s">
        <v>3729</v>
      </c>
      <c r="H52" s="696" t="s">
        <v>3195</v>
      </c>
      <c r="I52" s="696" t="s">
        <v>3196</v>
      </c>
      <c r="J52" s="696" t="s">
        <v>34</v>
      </c>
      <c r="K52" s="696" t="s">
        <v>298</v>
      </c>
      <c r="L52" s="696" t="s">
        <v>3197</v>
      </c>
      <c r="M52" s="696" t="s">
        <v>3198</v>
      </c>
      <c r="N52" s="696" t="s">
        <v>17</v>
      </c>
      <c r="O52" s="696" t="s">
        <v>17</v>
      </c>
      <c r="P52" s="696" t="s">
        <v>17</v>
      </c>
      <c r="Q52" s="696"/>
      <c r="R52" s="679" t="s">
        <v>17</v>
      </c>
      <c r="S52" s="679" t="s">
        <v>64</v>
      </c>
      <c r="T52" s="679" t="s">
        <v>17</v>
      </c>
      <c r="U52" s="679" t="s">
        <v>17</v>
      </c>
      <c r="V52" s="679" t="s">
        <v>17</v>
      </c>
      <c r="W52" s="679" t="s">
        <v>17</v>
      </c>
      <c r="X52" s="679" t="s">
        <v>17</v>
      </c>
      <c r="Y52" s="703">
        <v>44807</v>
      </c>
      <c r="Z52" s="679" t="s">
        <v>17</v>
      </c>
      <c r="AA52" s="678" t="s">
        <v>3110</v>
      </c>
      <c r="AB52" s="678" t="s">
        <v>3199</v>
      </c>
      <c r="AC52" s="679" t="s">
        <v>19</v>
      </c>
      <c r="AD52" s="679" t="s">
        <v>341</v>
      </c>
      <c r="AE52" s="696" t="s">
        <v>2897</v>
      </c>
    </row>
    <row r="53" spans="1:31" ht="150" customHeight="1" x14ac:dyDescent="0.2">
      <c r="A53" s="696">
        <v>594447</v>
      </c>
      <c r="B53" s="696" t="s">
        <v>31</v>
      </c>
      <c r="C53" s="696" t="s">
        <v>3200</v>
      </c>
      <c r="D53" s="696" t="s">
        <v>36</v>
      </c>
      <c r="E53" s="701">
        <v>43543</v>
      </c>
      <c r="F53" s="696" t="s">
        <v>3201</v>
      </c>
      <c r="G53" s="696" t="s">
        <v>33</v>
      </c>
      <c r="H53" s="696" t="s">
        <v>3202</v>
      </c>
      <c r="I53" s="696" t="s">
        <v>3203</v>
      </c>
      <c r="J53" s="696" t="s">
        <v>34</v>
      </c>
      <c r="K53" s="696" t="s">
        <v>298</v>
      </c>
      <c r="L53" s="696" t="s">
        <v>3204</v>
      </c>
      <c r="M53" s="696" t="s">
        <v>3205</v>
      </c>
      <c r="N53" s="679" t="s">
        <v>3206</v>
      </c>
      <c r="O53" s="679" t="s">
        <v>17</v>
      </c>
      <c r="P53" s="679" t="s">
        <v>17</v>
      </c>
      <c r="Q53" s="679"/>
      <c r="R53" s="732" t="s">
        <v>3207</v>
      </c>
      <c r="S53" s="679" t="s">
        <v>64</v>
      </c>
      <c r="T53" s="679">
        <v>3534.41</v>
      </c>
      <c r="U53" s="679" t="s">
        <v>17</v>
      </c>
      <c r="V53" s="679" t="s">
        <v>17</v>
      </c>
      <c r="W53" s="679" t="s">
        <v>17</v>
      </c>
      <c r="X53" s="679" t="s">
        <v>17</v>
      </c>
      <c r="Y53" s="679" t="s">
        <v>3208</v>
      </c>
      <c r="Z53" s="679" t="s">
        <v>17</v>
      </c>
      <c r="AA53" s="678" t="s">
        <v>3110</v>
      </c>
      <c r="AB53" s="678" t="s">
        <v>3209</v>
      </c>
      <c r="AC53" s="679" t="s">
        <v>19</v>
      </c>
      <c r="AD53" s="679" t="s">
        <v>439</v>
      </c>
      <c r="AE53" s="679" t="s">
        <v>2897</v>
      </c>
    </row>
    <row r="54" spans="1:31" ht="150" customHeight="1" x14ac:dyDescent="0.2">
      <c r="A54" s="696">
        <v>576515</v>
      </c>
      <c r="B54" s="696" t="s">
        <v>31</v>
      </c>
      <c r="C54" s="696" t="s">
        <v>3210</v>
      </c>
      <c r="D54" s="696" t="s">
        <v>78</v>
      </c>
      <c r="E54" s="701">
        <v>43276</v>
      </c>
      <c r="F54" s="696" t="s">
        <v>3211</v>
      </c>
      <c r="G54" s="696" t="s">
        <v>3729</v>
      </c>
      <c r="H54" s="696" t="s">
        <v>3212</v>
      </c>
      <c r="I54" s="696" t="s">
        <v>3213</v>
      </c>
      <c r="J54" s="696" t="s">
        <v>34</v>
      </c>
      <c r="K54" s="696" t="s">
        <v>298</v>
      </c>
      <c r="L54" s="696" t="s">
        <v>3214</v>
      </c>
      <c r="M54" s="696" t="s">
        <v>3215</v>
      </c>
      <c r="N54" s="696" t="s">
        <v>3216</v>
      </c>
      <c r="O54" s="679" t="s">
        <v>23</v>
      </c>
      <c r="P54" s="679" t="s">
        <v>23</v>
      </c>
      <c r="Q54" s="679"/>
      <c r="R54" s="678" t="s">
        <v>17</v>
      </c>
      <c r="S54" s="679" t="s">
        <v>57</v>
      </c>
      <c r="T54" s="682" t="s">
        <v>17</v>
      </c>
      <c r="U54" s="682" t="s">
        <v>23</v>
      </c>
      <c r="V54" s="682" t="s">
        <v>23</v>
      </c>
      <c r="W54" s="682" t="s">
        <v>23</v>
      </c>
      <c r="X54" s="682" t="s">
        <v>23</v>
      </c>
      <c r="Y54" s="682" t="s">
        <v>17</v>
      </c>
      <c r="Z54" s="682" t="s">
        <v>17</v>
      </c>
      <c r="AA54" s="678" t="s">
        <v>3110</v>
      </c>
      <c r="AB54" s="678" t="s">
        <v>3217</v>
      </c>
      <c r="AC54" s="679" t="s">
        <v>22</v>
      </c>
      <c r="AD54" s="679" t="s">
        <v>341</v>
      </c>
      <c r="AE54" s="696" t="s">
        <v>2735</v>
      </c>
    </row>
    <row r="55" spans="1:31" ht="150" customHeight="1" x14ac:dyDescent="0.2">
      <c r="A55" s="696">
        <v>591624</v>
      </c>
      <c r="B55" s="696" t="s">
        <v>31</v>
      </c>
      <c r="C55" s="696" t="s">
        <v>3218</v>
      </c>
      <c r="D55" s="696" t="s">
        <v>36</v>
      </c>
      <c r="E55" s="701">
        <v>43595</v>
      </c>
      <c r="F55" s="696" t="s">
        <v>3219</v>
      </c>
      <c r="G55" s="696" t="s">
        <v>3733</v>
      </c>
      <c r="H55" s="696" t="s">
        <v>3220</v>
      </c>
      <c r="I55" s="696" t="s">
        <v>3221</v>
      </c>
      <c r="J55" s="696" t="s">
        <v>34</v>
      </c>
      <c r="K55" s="696" t="s">
        <v>327</v>
      </c>
      <c r="L55" s="696" t="s">
        <v>3222</v>
      </c>
      <c r="M55" s="696" t="s">
        <v>3223</v>
      </c>
      <c r="N55" s="696" t="s">
        <v>3224</v>
      </c>
      <c r="O55" s="679" t="s">
        <v>17</v>
      </c>
      <c r="P55" s="679" t="s">
        <v>17</v>
      </c>
      <c r="Q55" s="679"/>
      <c r="R55" s="722">
        <v>3082</v>
      </c>
      <c r="S55" s="679" t="s">
        <v>38</v>
      </c>
      <c r="T55" s="682" t="s">
        <v>17</v>
      </c>
      <c r="U55" s="682" t="s">
        <v>17</v>
      </c>
      <c r="V55" s="682" t="s">
        <v>17</v>
      </c>
      <c r="W55" s="682" t="s">
        <v>17</v>
      </c>
      <c r="X55" s="679" t="s">
        <v>17</v>
      </c>
      <c r="Y55" s="701" t="s">
        <v>3225</v>
      </c>
      <c r="Z55" s="696" t="s">
        <v>87</v>
      </c>
      <c r="AA55" s="678" t="s">
        <v>3110</v>
      </c>
      <c r="AB55" s="726" t="s">
        <v>3226</v>
      </c>
      <c r="AC55" s="696" t="s">
        <v>82</v>
      </c>
      <c r="AD55" s="696" t="s">
        <v>439</v>
      </c>
      <c r="AE55" s="696" t="s">
        <v>3227</v>
      </c>
    </row>
    <row r="56" spans="1:31" ht="150" customHeight="1" x14ac:dyDescent="0.2">
      <c r="A56" s="696">
        <v>601973</v>
      </c>
      <c r="B56" s="696" t="s">
        <v>31</v>
      </c>
      <c r="C56" s="696" t="s">
        <v>3228</v>
      </c>
      <c r="D56" s="696" t="s">
        <v>36</v>
      </c>
      <c r="E56" s="701">
        <v>43658</v>
      </c>
      <c r="F56" s="696" t="s">
        <v>3229</v>
      </c>
      <c r="G56" s="696" t="s">
        <v>39</v>
      </c>
      <c r="H56" s="696" t="s">
        <v>3230</v>
      </c>
      <c r="I56" s="696" t="s">
        <v>3231</v>
      </c>
      <c r="J56" s="696" t="s">
        <v>34</v>
      </c>
      <c r="K56" s="696" t="s">
        <v>298</v>
      </c>
      <c r="L56" s="696" t="s">
        <v>3232</v>
      </c>
      <c r="M56" s="696" t="s">
        <v>3233</v>
      </c>
      <c r="N56" s="696" t="s">
        <v>3234</v>
      </c>
      <c r="O56" s="679" t="s">
        <v>17</v>
      </c>
      <c r="P56" s="679" t="s">
        <v>17</v>
      </c>
      <c r="Q56" s="679"/>
      <c r="R56" s="678" t="s">
        <v>3235</v>
      </c>
      <c r="S56" s="679" t="s">
        <v>68</v>
      </c>
      <c r="T56" s="679" t="s">
        <v>17</v>
      </c>
      <c r="U56" s="679" t="s">
        <v>17</v>
      </c>
      <c r="V56" s="723" t="s">
        <v>17</v>
      </c>
      <c r="W56" s="682" t="s">
        <v>17</v>
      </c>
      <c r="X56" s="679" t="s">
        <v>17</v>
      </c>
      <c r="Y56" s="703" t="s">
        <v>17</v>
      </c>
      <c r="Z56" s="703" t="s">
        <v>17</v>
      </c>
      <c r="AA56" s="678" t="s">
        <v>3110</v>
      </c>
      <c r="AB56" s="698" t="s">
        <v>3236</v>
      </c>
      <c r="AC56" s="679" t="s">
        <v>19</v>
      </c>
      <c r="AD56" s="679" t="s">
        <v>3681</v>
      </c>
      <c r="AE56" s="696" t="s">
        <v>2333</v>
      </c>
    </row>
    <row r="57" spans="1:31" ht="150" customHeight="1" x14ac:dyDescent="0.2">
      <c r="A57" s="696">
        <v>602979</v>
      </c>
      <c r="B57" s="696" t="s">
        <v>31</v>
      </c>
      <c r="C57" s="696" t="s">
        <v>3237</v>
      </c>
      <c r="D57" s="696" t="s">
        <v>36</v>
      </c>
      <c r="E57" s="701">
        <v>43668</v>
      </c>
      <c r="F57" s="696" t="s">
        <v>3238</v>
      </c>
      <c r="G57" s="696" t="s">
        <v>39</v>
      </c>
      <c r="H57" s="696" t="s">
        <v>3239</v>
      </c>
      <c r="I57" s="696" t="s">
        <v>3240</v>
      </c>
      <c r="J57" s="696" t="s">
        <v>34</v>
      </c>
      <c r="K57" s="696" t="s">
        <v>298</v>
      </c>
      <c r="L57" s="696" t="s">
        <v>3241</v>
      </c>
      <c r="M57" s="696" t="s">
        <v>3242</v>
      </c>
      <c r="N57" s="696" t="s">
        <v>17</v>
      </c>
      <c r="O57" s="679" t="s">
        <v>17</v>
      </c>
      <c r="P57" s="679" t="s">
        <v>17</v>
      </c>
      <c r="Q57" s="679"/>
      <c r="R57" s="678" t="s">
        <v>3243</v>
      </c>
      <c r="S57" s="679" t="s">
        <v>41</v>
      </c>
      <c r="T57" s="682" t="s">
        <v>17</v>
      </c>
      <c r="U57" s="679" t="s">
        <v>17</v>
      </c>
      <c r="V57" s="723" t="s">
        <v>17</v>
      </c>
      <c r="W57" s="682" t="s">
        <v>17</v>
      </c>
      <c r="X57" s="679" t="s">
        <v>17</v>
      </c>
      <c r="Y57" s="703" t="s">
        <v>17</v>
      </c>
      <c r="Z57" s="703" t="s">
        <v>17</v>
      </c>
      <c r="AA57" s="678" t="s">
        <v>3110</v>
      </c>
      <c r="AB57" s="678" t="s">
        <v>3244</v>
      </c>
      <c r="AC57" s="679" t="s">
        <v>22</v>
      </c>
      <c r="AD57" s="679" t="s">
        <v>3681</v>
      </c>
      <c r="AE57" s="696" t="s">
        <v>918</v>
      </c>
    </row>
    <row r="58" spans="1:31" ht="150" customHeight="1" x14ac:dyDescent="0.2">
      <c r="A58" s="696">
        <v>613075</v>
      </c>
      <c r="B58" s="696" t="s">
        <v>31</v>
      </c>
      <c r="C58" s="696" t="s">
        <v>3245</v>
      </c>
      <c r="D58" s="696" t="s">
        <v>36</v>
      </c>
      <c r="E58" s="701">
        <v>43739</v>
      </c>
      <c r="F58" s="696" t="s">
        <v>3160</v>
      </c>
      <c r="G58" s="696" t="s">
        <v>3729</v>
      </c>
      <c r="H58" s="696" t="s">
        <v>3246</v>
      </c>
      <c r="I58" s="696" t="s">
        <v>3247</v>
      </c>
      <c r="J58" s="696" t="s">
        <v>34</v>
      </c>
      <c r="K58" s="696" t="s">
        <v>298</v>
      </c>
      <c r="L58" s="696" t="s">
        <v>3248</v>
      </c>
      <c r="M58" s="696" t="s">
        <v>3249</v>
      </c>
      <c r="N58" s="696" t="s">
        <v>17</v>
      </c>
      <c r="O58" s="679" t="s">
        <v>17</v>
      </c>
      <c r="P58" s="679" t="s">
        <v>17</v>
      </c>
      <c r="Q58" s="679"/>
      <c r="R58" s="678" t="s">
        <v>17</v>
      </c>
      <c r="S58" s="679" t="s">
        <v>91</v>
      </c>
      <c r="T58" s="682" t="s">
        <v>17</v>
      </c>
      <c r="U58" s="679" t="s">
        <v>17</v>
      </c>
      <c r="V58" s="723" t="s">
        <v>17</v>
      </c>
      <c r="W58" s="682" t="s">
        <v>17</v>
      </c>
      <c r="X58" s="679" t="s">
        <v>17</v>
      </c>
      <c r="Y58" s="703" t="s">
        <v>17</v>
      </c>
      <c r="Z58" s="703" t="s">
        <v>17</v>
      </c>
      <c r="AA58" s="678" t="s">
        <v>3110</v>
      </c>
      <c r="AB58" s="678" t="s">
        <v>3250</v>
      </c>
      <c r="AC58" s="679" t="s">
        <v>19</v>
      </c>
      <c r="AD58" s="679" t="s">
        <v>3681</v>
      </c>
      <c r="AE58" s="696" t="s">
        <v>3251</v>
      </c>
    </row>
    <row r="59" spans="1:31" ht="150" customHeight="1" x14ac:dyDescent="0.2">
      <c r="A59" s="696">
        <v>613904</v>
      </c>
      <c r="B59" s="696" t="s">
        <v>31</v>
      </c>
      <c r="C59" s="696" t="s">
        <v>3252</v>
      </c>
      <c r="D59" s="696" t="s">
        <v>36</v>
      </c>
      <c r="E59" s="701">
        <v>43746</v>
      </c>
      <c r="F59" s="696" t="s">
        <v>3253</v>
      </c>
      <c r="G59" s="696" t="s">
        <v>39</v>
      </c>
      <c r="H59" s="696" t="s">
        <v>3254</v>
      </c>
      <c r="I59" s="696" t="s">
        <v>3255</v>
      </c>
      <c r="J59" s="696" t="s">
        <v>34</v>
      </c>
      <c r="K59" s="696" t="s">
        <v>298</v>
      </c>
      <c r="L59" s="696" t="s">
        <v>3256</v>
      </c>
      <c r="M59" s="696" t="s">
        <v>3257</v>
      </c>
      <c r="N59" s="696" t="s">
        <v>3258</v>
      </c>
      <c r="O59" s="679" t="s">
        <v>17</v>
      </c>
      <c r="P59" s="679" t="s">
        <v>17</v>
      </c>
      <c r="Q59" s="679"/>
      <c r="R59" s="678" t="s">
        <v>3259</v>
      </c>
      <c r="S59" s="679" t="s">
        <v>68</v>
      </c>
      <c r="T59" s="682" t="s">
        <v>93</v>
      </c>
      <c r="U59" s="679" t="s">
        <v>17</v>
      </c>
      <c r="V59" s="723" t="s">
        <v>17</v>
      </c>
      <c r="W59" s="682" t="s">
        <v>17</v>
      </c>
      <c r="X59" s="679" t="s">
        <v>17</v>
      </c>
      <c r="Y59" s="701">
        <v>44540</v>
      </c>
      <c r="Z59" s="696" t="s">
        <v>17</v>
      </c>
      <c r="AA59" s="698" t="s">
        <v>3260</v>
      </c>
      <c r="AB59" s="678" t="s">
        <v>3261</v>
      </c>
      <c r="AC59" s="696" t="s">
        <v>77</v>
      </c>
      <c r="AD59" s="696" t="s">
        <v>3681</v>
      </c>
      <c r="AE59" s="696" t="s">
        <v>3262</v>
      </c>
    </row>
    <row r="60" spans="1:31" ht="150" customHeight="1" x14ac:dyDescent="0.2">
      <c r="A60" s="696">
        <v>625110</v>
      </c>
      <c r="B60" s="696" t="s">
        <v>31</v>
      </c>
      <c r="C60" s="696" t="s">
        <v>3263</v>
      </c>
      <c r="D60" s="696" t="s">
        <v>36</v>
      </c>
      <c r="E60" s="701">
        <v>43857</v>
      </c>
      <c r="F60" s="696" t="s">
        <v>3264</v>
      </c>
      <c r="G60" s="696" t="s">
        <v>39</v>
      </c>
      <c r="H60" s="696" t="s">
        <v>3265</v>
      </c>
      <c r="I60" s="696" t="s">
        <v>3266</v>
      </c>
      <c r="J60" s="696" t="s">
        <v>34</v>
      </c>
      <c r="K60" s="696" t="s">
        <v>298</v>
      </c>
      <c r="L60" s="696" t="s">
        <v>3267</v>
      </c>
      <c r="M60" s="696" t="s">
        <v>3268</v>
      </c>
      <c r="N60" s="696" t="s">
        <v>3269</v>
      </c>
      <c r="O60" s="679" t="s">
        <v>17</v>
      </c>
      <c r="P60" s="679" t="s">
        <v>17</v>
      </c>
      <c r="Q60" s="679"/>
      <c r="R60" s="678" t="s">
        <v>3259</v>
      </c>
      <c r="S60" s="679" t="s">
        <v>59</v>
      </c>
      <c r="T60" s="682" t="s">
        <v>17</v>
      </c>
      <c r="U60" s="679" t="s">
        <v>17</v>
      </c>
      <c r="V60" s="723" t="s">
        <v>17</v>
      </c>
      <c r="W60" s="682" t="s">
        <v>17</v>
      </c>
      <c r="X60" s="679" t="s">
        <v>17</v>
      </c>
      <c r="Y60" s="703" t="s">
        <v>17</v>
      </c>
      <c r="Z60" s="703" t="s">
        <v>17</v>
      </c>
      <c r="AA60" s="678" t="s">
        <v>3110</v>
      </c>
      <c r="AB60" s="678" t="s">
        <v>3270</v>
      </c>
      <c r="AC60" s="679" t="s">
        <v>19</v>
      </c>
      <c r="AD60" s="679"/>
      <c r="AE60" s="696" t="s">
        <v>448</v>
      </c>
    </row>
    <row r="61" spans="1:31" ht="150" customHeight="1" x14ac:dyDescent="0.2">
      <c r="A61" s="696">
        <v>702817</v>
      </c>
      <c r="B61" s="696" t="s">
        <v>31</v>
      </c>
      <c r="C61" s="696" t="s">
        <v>3271</v>
      </c>
      <c r="D61" s="696" t="s">
        <v>36</v>
      </c>
      <c r="E61" s="701">
        <v>44705</v>
      </c>
      <c r="F61" s="696" t="s">
        <v>3273</v>
      </c>
      <c r="G61" s="696" t="s">
        <v>33</v>
      </c>
      <c r="H61" s="696" t="s">
        <v>3274</v>
      </c>
      <c r="I61" s="696" t="s">
        <v>3275</v>
      </c>
      <c r="J61" s="696" t="s">
        <v>34</v>
      </c>
      <c r="K61" s="696" t="s">
        <v>298</v>
      </c>
      <c r="L61" s="696" t="s">
        <v>3276</v>
      </c>
      <c r="M61" s="696" t="s">
        <v>3277</v>
      </c>
      <c r="N61" s="696" t="s">
        <v>91</v>
      </c>
      <c r="O61" s="679" t="s">
        <v>17</v>
      </c>
      <c r="P61" s="679" t="s">
        <v>17</v>
      </c>
      <c r="Q61" s="679"/>
      <c r="R61" s="678" t="s">
        <v>3278</v>
      </c>
      <c r="S61" s="679" t="s">
        <v>91</v>
      </c>
      <c r="T61" s="682" t="s">
        <v>23</v>
      </c>
      <c r="U61" s="679" t="s">
        <v>23</v>
      </c>
      <c r="V61" s="679" t="s">
        <v>23</v>
      </c>
      <c r="W61" s="679" t="s">
        <v>23</v>
      </c>
      <c r="X61" s="679" t="s">
        <v>23</v>
      </c>
      <c r="Y61" s="679" t="s">
        <v>23</v>
      </c>
      <c r="Z61" s="679" t="s">
        <v>23</v>
      </c>
      <c r="AA61" s="678" t="s">
        <v>3110</v>
      </c>
      <c r="AB61" s="678" t="s">
        <v>3279</v>
      </c>
      <c r="AC61" s="679" t="s">
        <v>19</v>
      </c>
      <c r="AD61" s="679"/>
      <c r="AE61" s="696" t="s">
        <v>448</v>
      </c>
    </row>
    <row r="62" spans="1:31" ht="150" customHeight="1" x14ac:dyDescent="0.2">
      <c r="A62" s="696">
        <v>433318</v>
      </c>
      <c r="B62" s="696" t="s">
        <v>31</v>
      </c>
      <c r="C62" s="696" t="s">
        <v>3280</v>
      </c>
      <c r="D62" s="696" t="s">
        <v>36</v>
      </c>
      <c r="E62" s="701">
        <v>41626</v>
      </c>
      <c r="F62" s="696" t="s">
        <v>3282</v>
      </c>
      <c r="G62" s="696" t="s">
        <v>33</v>
      </c>
      <c r="H62" s="696" t="s">
        <v>3283</v>
      </c>
      <c r="I62" s="696" t="s">
        <v>3284</v>
      </c>
      <c r="J62" s="696" t="s">
        <v>34</v>
      </c>
      <c r="K62" s="696" t="s">
        <v>2710</v>
      </c>
      <c r="L62" s="696" t="s">
        <v>2711</v>
      </c>
      <c r="M62" s="696" t="s">
        <v>3285</v>
      </c>
      <c r="N62" s="696" t="s">
        <v>3286</v>
      </c>
      <c r="O62" s="679" t="s">
        <v>17</v>
      </c>
      <c r="P62" s="679" t="s">
        <v>17</v>
      </c>
      <c r="Q62" s="679"/>
      <c r="R62" s="678" t="s">
        <v>3287</v>
      </c>
      <c r="S62" s="679" t="s">
        <v>41</v>
      </c>
      <c r="T62" s="682" t="s">
        <v>23</v>
      </c>
      <c r="U62" s="679" t="s">
        <v>23</v>
      </c>
      <c r="V62" s="679" t="s">
        <v>23</v>
      </c>
      <c r="W62" s="679" t="s">
        <v>23</v>
      </c>
      <c r="X62" s="679" t="s">
        <v>23</v>
      </c>
      <c r="Y62" s="703" t="s">
        <v>3288</v>
      </c>
      <c r="Z62" s="679" t="s">
        <v>23</v>
      </c>
      <c r="AA62" s="678" t="s">
        <v>3110</v>
      </c>
      <c r="AB62" s="678" t="s">
        <v>3289</v>
      </c>
      <c r="AC62" s="679" t="s">
        <v>22</v>
      </c>
      <c r="AD62" s="679" t="s">
        <v>439</v>
      </c>
      <c r="AE62" s="696" t="s">
        <v>600</v>
      </c>
    </row>
    <row r="63" spans="1:31" ht="150" customHeight="1" x14ac:dyDescent="0.2">
      <c r="A63" s="696">
        <v>681092</v>
      </c>
      <c r="B63" s="696" t="s">
        <v>31</v>
      </c>
      <c r="C63" s="696" t="s">
        <v>3290</v>
      </c>
      <c r="D63" s="696" t="s">
        <v>78</v>
      </c>
      <c r="E63" s="701">
        <v>44236</v>
      </c>
      <c r="F63" s="696" t="s">
        <v>3291</v>
      </c>
      <c r="G63" s="696" t="s">
        <v>3729</v>
      </c>
      <c r="H63" s="696" t="s">
        <v>3292</v>
      </c>
      <c r="I63" s="696" t="s">
        <v>3293</v>
      </c>
      <c r="J63" s="696" t="s">
        <v>34</v>
      </c>
      <c r="K63" s="696" t="s">
        <v>298</v>
      </c>
      <c r="L63" s="696" t="s">
        <v>3294</v>
      </c>
      <c r="M63" s="696" t="s">
        <v>3295</v>
      </c>
      <c r="N63" s="679" t="s">
        <v>23</v>
      </c>
      <c r="O63" s="679" t="s">
        <v>23</v>
      </c>
      <c r="P63" s="679" t="s">
        <v>23</v>
      </c>
      <c r="Q63" s="679"/>
      <c r="R63" s="679" t="s">
        <v>17</v>
      </c>
      <c r="S63" s="679" t="s">
        <v>41</v>
      </c>
      <c r="T63" s="682" t="s">
        <v>17</v>
      </c>
      <c r="U63" s="679" t="s">
        <v>23</v>
      </c>
      <c r="V63" s="679" t="s">
        <v>23</v>
      </c>
      <c r="W63" s="679" t="s">
        <v>23</v>
      </c>
      <c r="X63" s="679" t="s">
        <v>23</v>
      </c>
      <c r="Y63" s="679" t="s">
        <v>23</v>
      </c>
      <c r="Z63" s="703"/>
      <c r="AA63" s="678"/>
      <c r="AB63" s="678" t="s">
        <v>3296</v>
      </c>
      <c r="AC63" s="679" t="s">
        <v>19</v>
      </c>
      <c r="AD63" s="679"/>
      <c r="AE63" s="696"/>
    </row>
    <row r="64" spans="1:31" ht="150" customHeight="1" x14ac:dyDescent="0.2">
      <c r="A64" s="696">
        <v>598792</v>
      </c>
      <c r="B64" s="696" t="s">
        <v>31</v>
      </c>
      <c r="C64" s="696" t="s">
        <v>3297</v>
      </c>
      <c r="D64" s="696" t="s">
        <v>36</v>
      </c>
      <c r="E64" s="701">
        <v>43609</v>
      </c>
      <c r="F64" s="696" t="s">
        <v>3299</v>
      </c>
      <c r="G64" s="696" t="s">
        <v>3729</v>
      </c>
      <c r="H64" s="696" t="s">
        <v>3300</v>
      </c>
      <c r="I64" s="696" t="s">
        <v>3301</v>
      </c>
      <c r="J64" s="696" t="s">
        <v>34</v>
      </c>
      <c r="K64" s="696" t="s">
        <v>298</v>
      </c>
      <c r="L64" s="696" t="s">
        <v>3302</v>
      </c>
      <c r="M64" s="696" t="s">
        <v>3303</v>
      </c>
      <c r="N64" s="696" t="s">
        <v>3304</v>
      </c>
      <c r="O64" s="679" t="s">
        <v>87</v>
      </c>
      <c r="P64" s="679" t="s">
        <v>87</v>
      </c>
      <c r="Q64" s="679"/>
      <c r="R64" s="722" t="s">
        <v>3259</v>
      </c>
      <c r="S64" s="679" t="s">
        <v>61</v>
      </c>
      <c r="T64" s="682" t="s">
        <v>94</v>
      </c>
      <c r="U64" s="682" t="s">
        <v>87</v>
      </c>
      <c r="V64" s="682" t="s">
        <v>87</v>
      </c>
      <c r="W64" s="682" t="s">
        <v>87</v>
      </c>
      <c r="X64" s="679" t="s">
        <v>87</v>
      </c>
      <c r="Y64" s="682" t="s">
        <v>87</v>
      </c>
      <c r="Z64" s="682" t="s">
        <v>87</v>
      </c>
      <c r="AA64" s="678" t="s">
        <v>3110</v>
      </c>
      <c r="AB64" s="733" t="s">
        <v>3305</v>
      </c>
      <c r="AC64" s="679" t="s">
        <v>82</v>
      </c>
      <c r="AD64" s="679"/>
      <c r="AE64" s="696" t="s">
        <v>3306</v>
      </c>
    </row>
    <row r="65" spans="1:31" ht="150" customHeight="1" x14ac:dyDescent="0.3">
      <c r="A65" s="696">
        <v>598870</v>
      </c>
      <c r="B65" s="696" t="s">
        <v>31</v>
      </c>
      <c r="C65" s="696" t="s">
        <v>3307</v>
      </c>
      <c r="D65" s="696" t="s">
        <v>36</v>
      </c>
      <c r="E65" s="701">
        <v>43612</v>
      </c>
      <c r="F65" s="696" t="s">
        <v>3309</v>
      </c>
      <c r="G65" s="696" t="s">
        <v>3729</v>
      </c>
      <c r="H65" s="696" t="s">
        <v>3310</v>
      </c>
      <c r="I65" s="696" t="s">
        <v>3311</v>
      </c>
      <c r="J65" s="696" t="s">
        <v>34</v>
      </c>
      <c r="K65" s="696" t="s">
        <v>298</v>
      </c>
      <c r="L65" s="696" t="s">
        <v>2711</v>
      </c>
      <c r="M65" s="696" t="s">
        <v>3313</v>
      </c>
      <c r="N65" s="696" t="s">
        <v>17</v>
      </c>
      <c r="O65" s="679" t="s">
        <v>17</v>
      </c>
      <c r="P65" s="679" t="s">
        <v>17</v>
      </c>
      <c r="Q65" s="679"/>
      <c r="R65" s="722" t="s">
        <v>17</v>
      </c>
      <c r="S65" s="679" t="s">
        <v>95</v>
      </c>
      <c r="T65" s="682" t="s">
        <v>17</v>
      </c>
      <c r="U65" s="682" t="s">
        <v>17</v>
      </c>
      <c r="V65" s="682" t="s">
        <v>17</v>
      </c>
      <c r="W65" s="682" t="s">
        <v>17</v>
      </c>
      <c r="X65" s="679" t="s">
        <v>17</v>
      </c>
      <c r="Y65" s="734">
        <v>44481</v>
      </c>
      <c r="Z65" s="735" t="s">
        <v>3314</v>
      </c>
      <c r="AA65" s="678" t="s">
        <v>3846</v>
      </c>
      <c r="AB65" s="733" t="s">
        <v>3316</v>
      </c>
      <c r="AC65" s="679" t="s">
        <v>22</v>
      </c>
      <c r="AD65" s="679" t="s">
        <v>341</v>
      </c>
      <c r="AE65" s="696" t="s">
        <v>3317</v>
      </c>
    </row>
    <row r="66" spans="1:31" ht="150" customHeight="1" x14ac:dyDescent="0.3">
      <c r="A66" s="705">
        <v>707444</v>
      </c>
      <c r="B66" s="696" t="s">
        <v>31</v>
      </c>
      <c r="C66" s="696" t="s">
        <v>3326</v>
      </c>
      <c r="D66" s="696" t="s">
        <v>36</v>
      </c>
      <c r="E66" s="701">
        <v>44677</v>
      </c>
      <c r="F66" s="696" t="s">
        <v>3328</v>
      </c>
      <c r="G66" s="696" t="s">
        <v>3729</v>
      </c>
      <c r="H66" s="696" t="s">
        <v>3329</v>
      </c>
      <c r="I66" s="696" t="s">
        <v>3330</v>
      </c>
      <c r="J66" s="696" t="s">
        <v>34</v>
      </c>
      <c r="K66" s="696" t="s">
        <v>2710</v>
      </c>
      <c r="L66" s="696" t="s">
        <v>3276</v>
      </c>
      <c r="M66" s="696" t="s">
        <v>3331</v>
      </c>
      <c r="N66" s="696" t="s">
        <v>17</v>
      </c>
      <c r="O66" s="696" t="s">
        <v>17</v>
      </c>
      <c r="P66" s="696" t="s">
        <v>17</v>
      </c>
      <c r="Q66" s="696"/>
      <c r="R66" s="696" t="s">
        <v>3332</v>
      </c>
      <c r="S66" s="679" t="s">
        <v>38</v>
      </c>
      <c r="T66" s="696" t="s">
        <v>17</v>
      </c>
      <c r="U66" s="696" t="s">
        <v>17</v>
      </c>
      <c r="V66" s="696" t="s">
        <v>17</v>
      </c>
      <c r="W66" s="696" t="s">
        <v>17</v>
      </c>
      <c r="X66" s="696" t="s">
        <v>17</v>
      </c>
      <c r="Y66" s="696" t="s">
        <v>3855</v>
      </c>
      <c r="Z66" s="696" t="s">
        <v>3611</v>
      </c>
      <c r="AA66" s="678" t="s">
        <v>3856</v>
      </c>
      <c r="AB66" s="720" t="s">
        <v>3857</v>
      </c>
      <c r="AC66" s="679" t="s">
        <v>82</v>
      </c>
      <c r="AD66" s="679"/>
      <c r="AE66" s="696" t="s">
        <v>918</v>
      </c>
    </row>
    <row r="67" spans="1:31" ht="150" customHeight="1" x14ac:dyDescent="0.2">
      <c r="A67" s="696">
        <v>569362</v>
      </c>
      <c r="B67" s="696" t="s">
        <v>31</v>
      </c>
      <c r="C67" s="696" t="s">
        <v>3333</v>
      </c>
      <c r="D67" s="696" t="s">
        <v>36</v>
      </c>
      <c r="E67" s="701">
        <v>43166</v>
      </c>
      <c r="F67" s="696" t="s">
        <v>3167</v>
      </c>
      <c r="G67" s="696" t="s">
        <v>39</v>
      </c>
      <c r="H67" s="696" t="s">
        <v>3334</v>
      </c>
      <c r="I67" s="696" t="s">
        <v>3335</v>
      </c>
      <c r="J67" s="696" t="s">
        <v>34</v>
      </c>
      <c r="K67" s="731" t="s">
        <v>327</v>
      </c>
      <c r="L67" s="696" t="s">
        <v>3336</v>
      </c>
      <c r="M67" s="696" t="s">
        <v>2223</v>
      </c>
      <c r="N67" s="696" t="s">
        <v>3337</v>
      </c>
      <c r="O67" s="696" t="s">
        <v>17</v>
      </c>
      <c r="P67" s="696" t="s">
        <v>17</v>
      </c>
      <c r="Q67" s="696"/>
      <c r="R67" s="696">
        <v>3345</v>
      </c>
      <c r="S67" s="679" t="s">
        <v>64</v>
      </c>
      <c r="T67" s="696">
        <v>91560</v>
      </c>
      <c r="U67" s="696" t="s">
        <v>17</v>
      </c>
      <c r="V67" s="696" t="s">
        <v>17</v>
      </c>
      <c r="W67" s="696" t="s">
        <v>17</v>
      </c>
      <c r="X67" s="696" t="s">
        <v>17</v>
      </c>
      <c r="Y67" s="696" t="s">
        <v>17</v>
      </c>
      <c r="Z67" s="696" t="s">
        <v>17</v>
      </c>
      <c r="AA67" s="678" t="s">
        <v>3110</v>
      </c>
      <c r="AB67" s="698" t="s">
        <v>3338</v>
      </c>
      <c r="AC67" s="679" t="s">
        <v>19</v>
      </c>
      <c r="AD67" s="679"/>
      <c r="AE67" s="696" t="s">
        <v>2333</v>
      </c>
    </row>
    <row r="68" spans="1:31" ht="150" customHeight="1" x14ac:dyDescent="0.2">
      <c r="A68" s="696">
        <v>587856</v>
      </c>
      <c r="B68" s="696" t="s">
        <v>31</v>
      </c>
      <c r="C68" s="696" t="s">
        <v>3339</v>
      </c>
      <c r="D68" s="696" t="s">
        <v>36</v>
      </c>
      <c r="E68" s="701">
        <v>43431</v>
      </c>
      <c r="F68" s="696" t="s">
        <v>3309</v>
      </c>
      <c r="G68" s="696" t="s">
        <v>3733</v>
      </c>
      <c r="H68" s="696" t="s">
        <v>3340</v>
      </c>
      <c r="I68" s="696" t="s">
        <v>3341</v>
      </c>
      <c r="J68" s="696" t="s">
        <v>34</v>
      </c>
      <c r="K68" s="696" t="s">
        <v>327</v>
      </c>
      <c r="L68" s="696" t="s">
        <v>3342</v>
      </c>
      <c r="M68" s="696" t="s">
        <v>3858</v>
      </c>
      <c r="N68" s="696" t="s">
        <v>3344</v>
      </c>
      <c r="O68" s="679" t="s">
        <v>17</v>
      </c>
      <c r="P68" s="679" t="s">
        <v>17</v>
      </c>
      <c r="Q68" s="679"/>
      <c r="R68" s="679" t="s">
        <v>17</v>
      </c>
      <c r="S68" s="679" t="s">
        <v>41</v>
      </c>
      <c r="T68" s="679" t="s">
        <v>17</v>
      </c>
      <c r="U68" s="679" t="s">
        <v>17</v>
      </c>
      <c r="V68" s="679" t="s">
        <v>17</v>
      </c>
      <c r="W68" s="679" t="s">
        <v>17</v>
      </c>
      <c r="X68" s="679" t="s">
        <v>17</v>
      </c>
      <c r="Y68" s="679" t="s">
        <v>17</v>
      </c>
      <c r="Z68" s="679" t="s">
        <v>17</v>
      </c>
      <c r="AA68" s="678" t="s">
        <v>3110</v>
      </c>
      <c r="AB68" s="736" t="s">
        <v>3345</v>
      </c>
      <c r="AC68" s="679" t="s">
        <v>19</v>
      </c>
      <c r="AD68" s="679"/>
      <c r="AE68" s="696" t="s">
        <v>918</v>
      </c>
    </row>
    <row r="69" spans="1:31" ht="150" customHeight="1" x14ac:dyDescent="0.2">
      <c r="A69" s="696">
        <v>559514</v>
      </c>
      <c r="B69" s="696" t="s">
        <v>31</v>
      </c>
      <c r="C69" s="696" t="s">
        <v>3346</v>
      </c>
      <c r="D69" s="696" t="s">
        <v>36</v>
      </c>
      <c r="E69" s="701">
        <v>42940</v>
      </c>
      <c r="F69" s="696" t="s">
        <v>3354</v>
      </c>
      <c r="G69" s="696" t="s">
        <v>39</v>
      </c>
      <c r="H69" s="696" t="s">
        <v>3355</v>
      </c>
      <c r="I69" s="696" t="s">
        <v>3356</v>
      </c>
      <c r="J69" s="696" t="s">
        <v>34</v>
      </c>
      <c r="K69" s="696" t="s">
        <v>2710</v>
      </c>
      <c r="L69" s="696" t="s">
        <v>3357</v>
      </c>
      <c r="M69" s="696" t="s">
        <v>3358</v>
      </c>
      <c r="N69" s="696" t="s">
        <v>3359</v>
      </c>
      <c r="O69" s="679" t="s">
        <v>17</v>
      </c>
      <c r="P69" s="679"/>
      <c r="Q69" s="679"/>
      <c r="R69" s="678"/>
      <c r="S69" s="679" t="s">
        <v>41</v>
      </c>
      <c r="T69" s="682"/>
      <c r="U69" s="679" t="s">
        <v>17</v>
      </c>
      <c r="V69" s="723" t="s">
        <v>17</v>
      </c>
      <c r="W69" s="682" t="s">
        <v>17</v>
      </c>
      <c r="X69" s="679" t="s">
        <v>17</v>
      </c>
      <c r="Y69" s="703" t="s">
        <v>17</v>
      </c>
      <c r="Z69" s="703" t="s">
        <v>17</v>
      </c>
      <c r="AA69" s="678" t="s">
        <v>3110</v>
      </c>
      <c r="AB69" s="678" t="s">
        <v>3360</v>
      </c>
      <c r="AC69" s="679" t="s">
        <v>19</v>
      </c>
      <c r="AD69" s="679"/>
      <c r="AE69" s="696" t="s">
        <v>1925</v>
      </c>
    </row>
    <row r="70" spans="1:31" ht="150" customHeight="1" x14ac:dyDescent="0.2">
      <c r="A70" s="705">
        <v>601973</v>
      </c>
      <c r="B70" s="696" t="s">
        <v>31</v>
      </c>
      <c r="C70" s="696" t="s">
        <v>3361</v>
      </c>
      <c r="D70" s="696" t="s">
        <v>36</v>
      </c>
      <c r="E70" s="701">
        <v>43654</v>
      </c>
      <c r="F70" s="696" t="s">
        <v>3362</v>
      </c>
      <c r="G70" s="696" t="s">
        <v>39</v>
      </c>
      <c r="H70" s="696" t="s">
        <v>3363</v>
      </c>
      <c r="I70" s="696" t="s">
        <v>3364</v>
      </c>
      <c r="J70" s="696" t="s">
        <v>71</v>
      </c>
      <c r="K70" s="696" t="s">
        <v>298</v>
      </c>
      <c r="L70" s="696" t="s">
        <v>3365</v>
      </c>
      <c r="M70" s="730" t="s">
        <v>3366</v>
      </c>
      <c r="N70" s="696" t="s">
        <v>3367</v>
      </c>
      <c r="O70" s="696" t="s">
        <v>17</v>
      </c>
      <c r="P70" s="696" t="s">
        <v>17</v>
      </c>
      <c r="Q70" s="696"/>
      <c r="R70" s="696" t="s">
        <v>3368</v>
      </c>
      <c r="S70" s="679" t="s">
        <v>68</v>
      </c>
      <c r="T70" s="696" t="s">
        <v>17</v>
      </c>
      <c r="U70" s="696" t="s">
        <v>17</v>
      </c>
      <c r="V70" s="696" t="s">
        <v>17</v>
      </c>
      <c r="W70" s="696" t="s">
        <v>17</v>
      </c>
      <c r="X70" s="696" t="s">
        <v>17</v>
      </c>
      <c r="Y70" s="696" t="s">
        <v>17</v>
      </c>
      <c r="Z70" s="696" t="s">
        <v>17</v>
      </c>
      <c r="AA70" s="678" t="s">
        <v>3110</v>
      </c>
      <c r="AB70" s="726" t="s">
        <v>3369</v>
      </c>
      <c r="AC70" s="696"/>
      <c r="AD70" s="696"/>
      <c r="AE70" s="696" t="s">
        <v>3370</v>
      </c>
    </row>
    <row r="71" spans="1:31" ht="150" customHeight="1" x14ac:dyDescent="0.2">
      <c r="A71" s="696" t="s">
        <v>99</v>
      </c>
      <c r="B71" s="696" t="s">
        <v>31</v>
      </c>
      <c r="C71" s="696" t="s">
        <v>3371</v>
      </c>
      <c r="D71" s="696" t="s">
        <v>78</v>
      </c>
      <c r="E71" s="701">
        <v>44760</v>
      </c>
      <c r="F71" s="696" t="s">
        <v>3373</v>
      </c>
      <c r="G71" s="696" t="s">
        <v>39</v>
      </c>
      <c r="H71" s="696" t="s">
        <v>3374</v>
      </c>
      <c r="I71" s="696" t="s">
        <v>3375</v>
      </c>
      <c r="J71" s="696" t="s">
        <v>34</v>
      </c>
      <c r="K71" s="696" t="s">
        <v>298</v>
      </c>
      <c r="L71" s="696" t="s">
        <v>3276</v>
      </c>
      <c r="M71" s="730" t="s">
        <v>3376</v>
      </c>
      <c r="N71" s="696" t="s">
        <v>17</v>
      </c>
      <c r="O71" s="696" t="s">
        <v>17</v>
      </c>
      <c r="P71" s="696" t="s">
        <v>17</v>
      </c>
      <c r="Q71" s="696"/>
      <c r="R71" s="696" t="s">
        <v>3377</v>
      </c>
      <c r="S71" s="679" t="s">
        <v>64</v>
      </c>
      <c r="T71" s="696" t="s">
        <v>17</v>
      </c>
      <c r="U71" s="696" t="s">
        <v>17</v>
      </c>
      <c r="V71" s="696" t="s">
        <v>17</v>
      </c>
      <c r="W71" s="696" t="s">
        <v>17</v>
      </c>
      <c r="X71" s="696" t="s">
        <v>17</v>
      </c>
      <c r="Y71" s="696" t="s">
        <v>17</v>
      </c>
      <c r="Z71" s="696" t="s">
        <v>17</v>
      </c>
      <c r="AA71" s="678" t="s">
        <v>3110</v>
      </c>
      <c r="AB71" s="726" t="s">
        <v>3378</v>
      </c>
      <c r="AC71" s="696" t="s">
        <v>24</v>
      </c>
      <c r="AD71" s="696"/>
      <c r="AE71" s="696" t="s">
        <v>2333</v>
      </c>
    </row>
    <row r="72" spans="1:31" ht="150" customHeight="1" x14ac:dyDescent="0.3">
      <c r="A72" s="698" t="s">
        <v>100</v>
      </c>
      <c r="B72" s="696" t="s">
        <v>31</v>
      </c>
      <c r="C72" s="698" t="s">
        <v>3379</v>
      </c>
      <c r="D72" s="696" t="s">
        <v>66</v>
      </c>
      <c r="E72" s="701">
        <v>44803</v>
      </c>
      <c r="F72" s="696" t="s">
        <v>3381</v>
      </c>
      <c r="G72" s="696" t="s">
        <v>39</v>
      </c>
      <c r="H72" s="696" t="s">
        <v>3382</v>
      </c>
      <c r="I72" s="696" t="s">
        <v>3383</v>
      </c>
      <c r="J72" s="696" t="s">
        <v>16</v>
      </c>
      <c r="K72" s="696" t="s">
        <v>298</v>
      </c>
      <c r="L72" s="696" t="s">
        <v>3384</v>
      </c>
      <c r="M72" s="698" t="s">
        <v>3859</v>
      </c>
      <c r="N72" s="720"/>
      <c r="O72" s="679" t="s">
        <v>17</v>
      </c>
      <c r="P72" s="679" t="s">
        <v>17</v>
      </c>
      <c r="Q72" s="679"/>
      <c r="R72" s="679" t="s">
        <v>17</v>
      </c>
      <c r="S72" s="679" t="s">
        <v>68</v>
      </c>
      <c r="T72" s="682" t="s">
        <v>17</v>
      </c>
      <c r="U72" s="682" t="s">
        <v>17</v>
      </c>
      <c r="V72" s="682" t="s">
        <v>17</v>
      </c>
      <c r="W72" s="682" t="s">
        <v>17</v>
      </c>
      <c r="X72" s="720"/>
      <c r="Y72" s="720"/>
      <c r="Z72" s="720"/>
      <c r="AA72" s="720"/>
      <c r="AB72" s="678" t="s">
        <v>3386</v>
      </c>
      <c r="AC72" s="679" t="s">
        <v>19</v>
      </c>
      <c r="AD72" s="679"/>
      <c r="AE72" s="696" t="s">
        <v>2333</v>
      </c>
    </row>
    <row r="73" spans="1:31" ht="150" customHeight="1" x14ac:dyDescent="0.2">
      <c r="A73" s="705">
        <v>712778</v>
      </c>
      <c r="B73" s="696" t="s">
        <v>31</v>
      </c>
      <c r="C73" s="696" t="s">
        <v>3387</v>
      </c>
      <c r="D73" s="696" t="s">
        <v>36</v>
      </c>
      <c r="E73" s="701">
        <v>44803</v>
      </c>
      <c r="F73" s="696" t="s">
        <v>3388</v>
      </c>
      <c r="G73" s="696" t="s">
        <v>3729</v>
      </c>
      <c r="H73" s="696" t="s">
        <v>3389</v>
      </c>
      <c r="I73" s="696" t="s">
        <v>3390</v>
      </c>
      <c r="J73" s="696" t="s">
        <v>34</v>
      </c>
      <c r="K73" s="696" t="s">
        <v>298</v>
      </c>
      <c r="L73" s="696" t="s">
        <v>2711</v>
      </c>
      <c r="M73" s="726" t="s">
        <v>3392</v>
      </c>
      <c r="N73" s="696" t="s">
        <v>3393</v>
      </c>
      <c r="O73" s="696" t="s">
        <v>17</v>
      </c>
      <c r="P73" s="696" t="s">
        <v>17</v>
      </c>
      <c r="Q73" s="679"/>
      <c r="R73" s="696">
        <v>773</v>
      </c>
      <c r="S73" s="696" t="s">
        <v>41</v>
      </c>
      <c r="T73" s="696" t="s">
        <v>17</v>
      </c>
      <c r="U73" s="696" t="s">
        <v>17</v>
      </c>
      <c r="V73" s="696" t="s">
        <v>17</v>
      </c>
      <c r="W73" s="696" t="s">
        <v>17</v>
      </c>
      <c r="X73" s="696" t="s">
        <v>17</v>
      </c>
      <c r="Y73" s="696" t="s">
        <v>17</v>
      </c>
      <c r="Z73" s="696" t="s">
        <v>17</v>
      </c>
      <c r="AA73" s="678" t="s">
        <v>3110</v>
      </c>
      <c r="AB73" s="726" t="s">
        <v>3394</v>
      </c>
      <c r="AC73" s="696" t="s">
        <v>19</v>
      </c>
      <c r="AD73" s="679" t="s">
        <v>341</v>
      </c>
      <c r="AE73" s="696" t="s">
        <v>448</v>
      </c>
    </row>
    <row r="74" spans="1:31" ht="150" customHeight="1" x14ac:dyDescent="0.2">
      <c r="A74" s="705">
        <v>799523</v>
      </c>
      <c r="B74" s="696" t="s">
        <v>31</v>
      </c>
      <c r="C74" s="696" t="s">
        <v>3405</v>
      </c>
      <c r="D74" s="696" t="s">
        <v>36</v>
      </c>
      <c r="E74" s="701">
        <v>44951</v>
      </c>
      <c r="F74" s="696" t="s">
        <v>3407</v>
      </c>
      <c r="G74" s="696" t="s">
        <v>39</v>
      </c>
      <c r="H74" s="696" t="s">
        <v>3408</v>
      </c>
      <c r="I74" s="696" t="s">
        <v>3409</v>
      </c>
      <c r="J74" s="696" t="s">
        <v>71</v>
      </c>
      <c r="K74" s="696" t="s">
        <v>298</v>
      </c>
      <c r="L74" s="696" t="s">
        <v>3410</v>
      </c>
      <c r="M74" s="730" t="s">
        <v>3411</v>
      </c>
      <c r="N74" s="696" t="s">
        <v>3412</v>
      </c>
      <c r="O74" s="696" t="s">
        <v>17</v>
      </c>
      <c r="P74" s="696" t="s">
        <v>17</v>
      </c>
      <c r="Q74" s="696"/>
      <c r="R74" s="696" t="s">
        <v>17</v>
      </c>
      <c r="S74" s="679" t="s">
        <v>51</v>
      </c>
      <c r="T74" s="696" t="s">
        <v>17</v>
      </c>
      <c r="U74" s="696" t="s">
        <v>17</v>
      </c>
      <c r="V74" s="696" t="s">
        <v>17</v>
      </c>
      <c r="W74" s="696" t="s">
        <v>17</v>
      </c>
      <c r="X74" s="696" t="s">
        <v>17</v>
      </c>
      <c r="Y74" s="696" t="s">
        <v>17</v>
      </c>
      <c r="Z74" s="696" t="s">
        <v>17</v>
      </c>
      <c r="AA74" s="678" t="s">
        <v>3110</v>
      </c>
      <c r="AB74" s="726" t="s">
        <v>3413</v>
      </c>
      <c r="AC74" s="696" t="s">
        <v>19</v>
      </c>
      <c r="AD74" s="696" t="s">
        <v>17</v>
      </c>
      <c r="AE74" s="696"/>
    </row>
    <row r="75" spans="1:31" ht="150" customHeight="1" x14ac:dyDescent="0.2">
      <c r="A75" s="705">
        <v>750444</v>
      </c>
      <c r="B75" s="696" t="s">
        <v>31</v>
      </c>
      <c r="C75" s="696" t="s">
        <v>3414</v>
      </c>
      <c r="D75" s="696" t="s">
        <v>36</v>
      </c>
      <c r="E75" s="701">
        <v>45092</v>
      </c>
      <c r="F75" s="696" t="s">
        <v>3416</v>
      </c>
      <c r="G75" s="696" t="s">
        <v>33</v>
      </c>
      <c r="H75" s="696" t="s">
        <v>3417</v>
      </c>
      <c r="I75" s="696" t="s">
        <v>3418</v>
      </c>
      <c r="J75" s="696" t="s">
        <v>34</v>
      </c>
      <c r="K75" s="696" t="s">
        <v>298</v>
      </c>
      <c r="L75" s="696" t="s">
        <v>3276</v>
      </c>
      <c r="M75" s="726" t="s">
        <v>3419</v>
      </c>
      <c r="N75" s="696" t="s">
        <v>3420</v>
      </c>
      <c r="O75" s="696" t="s">
        <v>17</v>
      </c>
      <c r="P75" s="696" t="s">
        <v>17</v>
      </c>
      <c r="Q75" s="696"/>
      <c r="R75" s="696" t="s">
        <v>3421</v>
      </c>
      <c r="S75" s="679" t="s">
        <v>68</v>
      </c>
      <c r="T75" s="696" t="s">
        <v>17</v>
      </c>
      <c r="U75" s="696" t="s">
        <v>17</v>
      </c>
      <c r="V75" s="696" t="s">
        <v>17</v>
      </c>
      <c r="W75" s="696" t="s">
        <v>17</v>
      </c>
      <c r="X75" s="696" t="s">
        <v>17</v>
      </c>
      <c r="Y75" s="696" t="s">
        <v>17</v>
      </c>
      <c r="Z75" s="696" t="s">
        <v>17</v>
      </c>
      <c r="AA75" s="678" t="s">
        <v>3110</v>
      </c>
      <c r="AB75" s="698" t="s">
        <v>3860</v>
      </c>
      <c r="AC75" s="696" t="s">
        <v>19</v>
      </c>
      <c r="AD75" s="696" t="s">
        <v>439</v>
      </c>
      <c r="AE75" s="696" t="s">
        <v>448</v>
      </c>
    </row>
    <row r="76" spans="1:31" s="670" customFormat="1" ht="150" customHeight="1" x14ac:dyDescent="0.3">
      <c r="A76" s="705" t="s">
        <v>103</v>
      </c>
      <c r="B76" s="696" t="s">
        <v>31</v>
      </c>
      <c r="C76" s="698" t="s">
        <v>3423</v>
      </c>
      <c r="D76" s="696" t="s">
        <v>36</v>
      </c>
      <c r="E76" s="701">
        <v>45029</v>
      </c>
      <c r="F76" s="696" t="s">
        <v>3424</v>
      </c>
      <c r="G76" s="696" t="s">
        <v>3729</v>
      </c>
      <c r="H76" s="720" t="s">
        <v>3425</v>
      </c>
      <c r="I76" s="720" t="s">
        <v>3426</v>
      </c>
      <c r="J76" s="720" t="s">
        <v>34</v>
      </c>
      <c r="K76" s="696" t="s">
        <v>298</v>
      </c>
      <c r="L76" s="720" t="s">
        <v>3428</v>
      </c>
      <c r="M76" s="726" t="s">
        <v>3429</v>
      </c>
      <c r="N76" s="696" t="s">
        <v>3430</v>
      </c>
      <c r="O76" s="696" t="s">
        <v>17</v>
      </c>
      <c r="P76" s="696" t="s">
        <v>17</v>
      </c>
      <c r="Q76" s="696"/>
      <c r="R76" s="696" t="s">
        <v>3431</v>
      </c>
      <c r="S76" s="696" t="s">
        <v>104</v>
      </c>
      <c r="T76" s="696" t="s">
        <v>17</v>
      </c>
      <c r="U76" s="696" t="s">
        <v>17</v>
      </c>
      <c r="V76" s="696" t="s">
        <v>17</v>
      </c>
      <c r="W76" s="696" t="s">
        <v>17</v>
      </c>
      <c r="X76" s="696" t="s">
        <v>17</v>
      </c>
      <c r="Y76" s="696" t="s">
        <v>17</v>
      </c>
      <c r="Z76" s="696" t="s">
        <v>17</v>
      </c>
      <c r="AA76" s="678" t="s">
        <v>3110</v>
      </c>
      <c r="AB76" s="698" t="s">
        <v>3432</v>
      </c>
      <c r="AC76" s="696" t="s">
        <v>24</v>
      </c>
      <c r="AD76" s="696" t="s">
        <v>17</v>
      </c>
      <c r="AE76" s="696" t="s">
        <v>3353</v>
      </c>
    </row>
    <row r="77" spans="1:31" ht="150" customHeight="1" x14ac:dyDescent="0.3">
      <c r="A77" s="705">
        <v>770042</v>
      </c>
      <c r="B77" s="696" t="s">
        <v>31</v>
      </c>
      <c r="C77" s="698" t="s">
        <v>3433</v>
      </c>
      <c r="D77" s="696" t="s">
        <v>36</v>
      </c>
      <c r="E77" s="701">
        <v>45212</v>
      </c>
      <c r="F77" s="696" t="s">
        <v>3435</v>
      </c>
      <c r="G77" s="696" t="s">
        <v>3729</v>
      </c>
      <c r="H77" s="696" t="s">
        <v>3436</v>
      </c>
      <c r="I77" s="720" t="s">
        <v>3437</v>
      </c>
      <c r="J77" s="696" t="s">
        <v>34</v>
      </c>
      <c r="K77" s="696" t="s">
        <v>298</v>
      </c>
      <c r="L77" s="720" t="s">
        <v>3438</v>
      </c>
      <c r="M77" s="696" t="s">
        <v>3439</v>
      </c>
      <c r="N77" s="726" t="s">
        <v>3440</v>
      </c>
      <c r="O77" s="696" t="s">
        <v>17</v>
      </c>
      <c r="P77" s="696" t="s">
        <v>17</v>
      </c>
      <c r="Q77" s="696"/>
      <c r="R77" s="696" t="s">
        <v>17</v>
      </c>
      <c r="S77" s="679" t="s">
        <v>46</v>
      </c>
      <c r="T77" s="696" t="s">
        <v>17</v>
      </c>
      <c r="U77" s="696" t="s">
        <v>17</v>
      </c>
      <c r="V77" s="696" t="s">
        <v>17</v>
      </c>
      <c r="W77" s="696" t="s">
        <v>17</v>
      </c>
      <c r="X77" s="696" t="s">
        <v>17</v>
      </c>
      <c r="Y77" s="696" t="s">
        <v>3441</v>
      </c>
      <c r="Z77" s="696" t="s">
        <v>17</v>
      </c>
      <c r="AA77" s="678" t="s">
        <v>3110</v>
      </c>
      <c r="AB77" s="698" t="s">
        <v>3442</v>
      </c>
      <c r="AC77" s="698" t="s">
        <v>24</v>
      </c>
      <c r="AD77" s="696" t="s">
        <v>17</v>
      </c>
      <c r="AE77" s="696" t="s">
        <v>3443</v>
      </c>
    </row>
    <row r="78" spans="1:31" ht="150" customHeight="1" x14ac:dyDescent="0.3">
      <c r="A78" s="705">
        <v>774718</v>
      </c>
      <c r="B78" s="696" t="s">
        <v>31</v>
      </c>
      <c r="C78" s="698" t="s">
        <v>3444</v>
      </c>
      <c r="D78" s="696" t="s">
        <v>36</v>
      </c>
      <c r="E78" s="701">
        <v>45056</v>
      </c>
      <c r="F78" s="696" t="s">
        <v>3445</v>
      </c>
      <c r="G78" s="696" t="s">
        <v>33</v>
      </c>
      <c r="H78" s="696" t="s">
        <v>3446</v>
      </c>
      <c r="I78" s="696" t="s">
        <v>3447</v>
      </c>
      <c r="J78" s="720" t="s">
        <v>34</v>
      </c>
      <c r="K78" s="696" t="s">
        <v>298</v>
      </c>
      <c r="L78" s="696" t="s">
        <v>2711</v>
      </c>
      <c r="M78" s="720" t="s">
        <v>3449</v>
      </c>
      <c r="N78" s="726" t="s">
        <v>3450</v>
      </c>
      <c r="O78" s="696" t="s">
        <v>17</v>
      </c>
      <c r="P78" s="696" t="s">
        <v>17</v>
      </c>
      <c r="Q78" s="679"/>
      <c r="R78" s="696" t="s">
        <v>17</v>
      </c>
      <c r="S78" s="696" t="s">
        <v>38</v>
      </c>
      <c r="T78" s="696" t="s">
        <v>17</v>
      </c>
      <c r="U78" s="696" t="s">
        <v>17</v>
      </c>
      <c r="V78" s="696" t="s">
        <v>17</v>
      </c>
      <c r="W78" s="696" t="s">
        <v>17</v>
      </c>
      <c r="X78" s="696" t="s">
        <v>17</v>
      </c>
      <c r="Y78" s="696" t="s">
        <v>17</v>
      </c>
      <c r="Z78" s="696" t="s">
        <v>17</v>
      </c>
      <c r="AA78" s="678" t="s">
        <v>3110</v>
      </c>
      <c r="AB78" s="698" t="s">
        <v>3451</v>
      </c>
      <c r="AC78" s="698" t="s">
        <v>24</v>
      </c>
      <c r="AD78" s="679" t="s">
        <v>17</v>
      </c>
      <c r="AE78" s="696" t="s">
        <v>3861</v>
      </c>
    </row>
    <row r="79" spans="1:31" ht="150" customHeight="1" x14ac:dyDescent="0.3">
      <c r="A79" s="696" t="s">
        <v>99</v>
      </c>
      <c r="B79" s="696" t="s">
        <v>31</v>
      </c>
      <c r="C79" s="698" t="s">
        <v>3452</v>
      </c>
      <c r="D79" s="696" t="s">
        <v>78</v>
      </c>
      <c r="E79" s="701">
        <v>45250</v>
      </c>
      <c r="F79" s="696" t="s">
        <v>3454</v>
      </c>
      <c r="G79" s="696" t="s">
        <v>3729</v>
      </c>
      <c r="H79" s="696" t="s">
        <v>3455</v>
      </c>
      <c r="I79" s="696" t="s">
        <v>3456</v>
      </c>
      <c r="J79" s="696" t="s">
        <v>34</v>
      </c>
      <c r="K79" s="696" t="s">
        <v>298</v>
      </c>
      <c r="L79" s="720" t="s">
        <v>3457</v>
      </c>
      <c r="M79" s="696" t="s">
        <v>3458</v>
      </c>
      <c r="N79" s="726" t="s">
        <v>3459</v>
      </c>
      <c r="O79" s="696" t="s">
        <v>17</v>
      </c>
      <c r="P79" s="696" t="s">
        <v>17</v>
      </c>
      <c r="Q79" s="696"/>
      <c r="R79" s="696" t="s">
        <v>3460</v>
      </c>
      <c r="S79" s="679" t="s">
        <v>59</v>
      </c>
      <c r="T79" s="696"/>
      <c r="U79" s="696"/>
      <c r="V79" s="696"/>
      <c r="W79" s="696" t="s">
        <v>17</v>
      </c>
      <c r="X79" s="696" t="s">
        <v>17</v>
      </c>
      <c r="Y79" s="696" t="s">
        <v>17</v>
      </c>
      <c r="Z79" s="696" t="s">
        <v>17</v>
      </c>
      <c r="AA79" s="678" t="s">
        <v>3110</v>
      </c>
      <c r="AB79" s="698" t="s">
        <v>3461</v>
      </c>
      <c r="AC79" s="696" t="s">
        <v>24</v>
      </c>
      <c r="AD79" s="696" t="s">
        <v>17</v>
      </c>
      <c r="AE79" s="696" t="s">
        <v>440</v>
      </c>
    </row>
    <row r="80" spans="1:31" ht="150" customHeight="1" x14ac:dyDescent="0.3">
      <c r="A80" s="705">
        <v>778590</v>
      </c>
      <c r="B80" s="696" t="s">
        <v>31</v>
      </c>
      <c r="C80" s="698" t="s">
        <v>3462</v>
      </c>
      <c r="D80" s="696" t="s">
        <v>36</v>
      </c>
      <c r="E80" s="701">
        <v>45257</v>
      </c>
      <c r="F80" s="696" t="s">
        <v>3464</v>
      </c>
      <c r="G80" s="696" t="s">
        <v>39</v>
      </c>
      <c r="H80" s="696" t="s">
        <v>3465</v>
      </c>
      <c r="I80" s="696" t="s">
        <v>3466</v>
      </c>
      <c r="J80" s="696" t="s">
        <v>34</v>
      </c>
      <c r="K80" s="696" t="s">
        <v>298</v>
      </c>
      <c r="L80" s="720" t="s">
        <v>3438</v>
      </c>
      <c r="M80" s="720" t="s">
        <v>3467</v>
      </c>
      <c r="N80" s="726" t="s">
        <v>17</v>
      </c>
      <c r="O80" s="696" t="s">
        <v>17</v>
      </c>
      <c r="P80" s="696" t="s">
        <v>17</v>
      </c>
      <c r="Q80" s="696"/>
      <c r="R80" s="696" t="s">
        <v>17</v>
      </c>
      <c r="S80" s="679" t="s">
        <v>46</v>
      </c>
      <c r="T80" s="696" t="s">
        <v>17</v>
      </c>
      <c r="U80" s="696" t="s">
        <v>17</v>
      </c>
      <c r="V80" s="696" t="s">
        <v>17</v>
      </c>
      <c r="W80" s="696" t="s">
        <v>17</v>
      </c>
      <c r="X80" s="696" t="s">
        <v>17</v>
      </c>
      <c r="Y80" s="696" t="s">
        <v>17</v>
      </c>
      <c r="Z80" s="696" t="s">
        <v>17</v>
      </c>
      <c r="AA80" s="678" t="s">
        <v>3110</v>
      </c>
      <c r="AB80" s="698" t="s">
        <v>3468</v>
      </c>
      <c r="AC80" s="698" t="s">
        <v>24</v>
      </c>
      <c r="AD80" s="696" t="s">
        <v>17</v>
      </c>
      <c r="AE80" s="696" t="s">
        <v>2333</v>
      </c>
    </row>
    <row r="81" spans="1:31" ht="150" customHeight="1" x14ac:dyDescent="0.2">
      <c r="A81" s="705">
        <v>774679</v>
      </c>
      <c r="B81" s="696" t="s">
        <v>31</v>
      </c>
      <c r="C81" s="698" t="s">
        <v>3469</v>
      </c>
      <c r="D81" s="696" t="s">
        <v>36</v>
      </c>
      <c r="E81" s="701">
        <v>45212</v>
      </c>
      <c r="F81" s="696" t="s">
        <v>3470</v>
      </c>
      <c r="G81" s="696" t="s">
        <v>3729</v>
      </c>
      <c r="H81" s="696" t="s">
        <v>3471</v>
      </c>
      <c r="I81" s="696" t="s">
        <v>3472</v>
      </c>
      <c r="J81" s="696" t="s">
        <v>71</v>
      </c>
      <c r="K81" s="696" t="s">
        <v>298</v>
      </c>
      <c r="L81" s="696" t="s">
        <v>3473</v>
      </c>
      <c r="M81" s="696" t="s">
        <v>3474</v>
      </c>
      <c r="N81" s="698" t="s">
        <v>3475</v>
      </c>
      <c r="O81" s="696" t="s">
        <v>17</v>
      </c>
      <c r="P81" s="696" t="s">
        <v>17</v>
      </c>
      <c r="Q81" s="696"/>
      <c r="R81" s="737" t="s">
        <v>3476</v>
      </c>
      <c r="S81" s="696" t="s">
        <v>57</v>
      </c>
      <c r="T81" s="696" t="s">
        <v>17</v>
      </c>
      <c r="U81" s="696" t="s">
        <v>17</v>
      </c>
      <c r="V81" s="696" t="s">
        <v>17</v>
      </c>
      <c r="W81" s="696" t="s">
        <v>17</v>
      </c>
      <c r="X81" s="696" t="s">
        <v>17</v>
      </c>
      <c r="Y81" s="696" t="s">
        <v>17</v>
      </c>
      <c r="Z81" s="696" t="s">
        <v>17</v>
      </c>
      <c r="AA81" s="678" t="s">
        <v>3110</v>
      </c>
      <c r="AB81" s="698" t="s">
        <v>3477</v>
      </c>
      <c r="AC81" s="698" t="s">
        <v>106</v>
      </c>
      <c r="AD81" s="696" t="s">
        <v>439</v>
      </c>
      <c r="AE81" s="696" t="s">
        <v>996</v>
      </c>
    </row>
    <row r="82" spans="1:31" ht="150" customHeight="1" x14ac:dyDescent="0.3">
      <c r="A82" s="705">
        <v>751037</v>
      </c>
      <c r="B82" s="696" t="s">
        <v>31</v>
      </c>
      <c r="C82" s="698" t="s">
        <v>3478</v>
      </c>
      <c r="D82" s="696" t="s">
        <v>36</v>
      </c>
      <c r="E82" s="701">
        <v>45053</v>
      </c>
      <c r="F82" s="696" t="s">
        <v>3479</v>
      </c>
      <c r="G82" s="696" t="s">
        <v>39</v>
      </c>
      <c r="H82" s="720"/>
      <c r="I82" s="696" t="s">
        <v>3480</v>
      </c>
      <c r="J82" s="720" t="s">
        <v>34</v>
      </c>
      <c r="K82" s="696" t="s">
        <v>298</v>
      </c>
      <c r="L82" s="720" t="s">
        <v>3438</v>
      </c>
      <c r="M82" s="720" t="s">
        <v>3481</v>
      </c>
      <c r="N82" s="726" t="s">
        <v>17</v>
      </c>
      <c r="O82" s="696" t="s">
        <v>17</v>
      </c>
      <c r="P82" s="696" t="s">
        <v>17</v>
      </c>
      <c r="Q82" s="696"/>
      <c r="R82" s="728">
        <v>4807</v>
      </c>
      <c r="S82" s="696" t="s">
        <v>55</v>
      </c>
      <c r="T82" s="696" t="s">
        <v>17</v>
      </c>
      <c r="U82" s="696" t="s">
        <v>17</v>
      </c>
      <c r="V82" s="696" t="s">
        <v>17</v>
      </c>
      <c r="W82" s="696" t="s">
        <v>17</v>
      </c>
      <c r="X82" s="696" t="s">
        <v>17</v>
      </c>
      <c r="Y82" s="696" t="s">
        <v>17</v>
      </c>
      <c r="Z82" s="696" t="s">
        <v>17</v>
      </c>
      <c r="AA82" s="678" t="s">
        <v>3110</v>
      </c>
      <c r="AB82" s="698" t="s">
        <v>3482</v>
      </c>
      <c r="AC82" s="698" t="s">
        <v>24</v>
      </c>
      <c r="AD82" s="696" t="s">
        <v>17</v>
      </c>
      <c r="AE82" s="696" t="s">
        <v>2333</v>
      </c>
    </row>
    <row r="83" spans="1:31" ht="150" customHeight="1" x14ac:dyDescent="0.2">
      <c r="A83" s="696">
        <v>783984</v>
      </c>
      <c r="B83" s="696" t="s">
        <v>31</v>
      </c>
      <c r="C83" s="696" t="s">
        <v>3483</v>
      </c>
      <c r="D83" s="696" t="s">
        <v>36</v>
      </c>
      <c r="E83" s="701">
        <v>45310</v>
      </c>
      <c r="F83" s="696" t="s">
        <v>3485</v>
      </c>
      <c r="G83" s="696" t="s">
        <v>3729</v>
      </c>
      <c r="H83" s="696" t="s">
        <v>3486</v>
      </c>
      <c r="I83" s="696" t="s">
        <v>3487</v>
      </c>
      <c r="J83" s="696" t="s">
        <v>34</v>
      </c>
      <c r="K83" s="696" t="s">
        <v>298</v>
      </c>
      <c r="L83" s="696" t="s">
        <v>2711</v>
      </c>
      <c r="M83" s="698" t="s">
        <v>3488</v>
      </c>
      <c r="N83" s="696" t="s">
        <v>3489</v>
      </c>
      <c r="O83" s="696" t="s">
        <v>17</v>
      </c>
      <c r="P83" s="696" t="s">
        <v>17</v>
      </c>
      <c r="Q83" s="696"/>
      <c r="R83" s="696" t="s">
        <v>3490</v>
      </c>
      <c r="S83" s="696" t="s">
        <v>41</v>
      </c>
      <c r="T83" s="696" t="s">
        <v>17</v>
      </c>
      <c r="U83" s="696" t="s">
        <v>17</v>
      </c>
      <c r="V83" s="696" t="s">
        <v>17</v>
      </c>
      <c r="W83" s="696" t="s">
        <v>17</v>
      </c>
      <c r="X83" s="696" t="s">
        <v>17</v>
      </c>
      <c r="Y83" s="696" t="s">
        <v>23</v>
      </c>
      <c r="Z83" s="696" t="s">
        <v>23</v>
      </c>
      <c r="AA83" s="678" t="s">
        <v>3110</v>
      </c>
      <c r="AB83" s="696" t="s">
        <v>3491</v>
      </c>
      <c r="AC83" s="696" t="s">
        <v>19</v>
      </c>
      <c r="AD83" s="679" t="s">
        <v>341</v>
      </c>
      <c r="AE83" s="696" t="s">
        <v>448</v>
      </c>
    </row>
    <row r="84" spans="1:31" ht="150" customHeight="1" x14ac:dyDescent="0.2">
      <c r="A84" s="696">
        <v>782777</v>
      </c>
      <c r="B84" s="696" t="s">
        <v>31</v>
      </c>
      <c r="C84" s="698" t="s">
        <v>3500</v>
      </c>
      <c r="D84" s="696" t="s">
        <v>36</v>
      </c>
      <c r="E84" s="701">
        <v>45253</v>
      </c>
      <c r="F84" s="696" t="s">
        <v>3502</v>
      </c>
      <c r="G84" s="696" t="s">
        <v>33</v>
      </c>
      <c r="H84" s="696" t="s">
        <v>3503</v>
      </c>
      <c r="I84" s="696" t="s">
        <v>3504</v>
      </c>
      <c r="J84" s="696" t="s">
        <v>34</v>
      </c>
      <c r="K84" s="696" t="s">
        <v>298</v>
      </c>
      <c r="L84" s="696" t="s">
        <v>2711</v>
      </c>
      <c r="M84" s="696" t="s">
        <v>3505</v>
      </c>
      <c r="N84" s="696" t="s">
        <v>1869</v>
      </c>
      <c r="O84" s="696" t="s">
        <v>17</v>
      </c>
      <c r="P84" s="696" t="s">
        <v>17</v>
      </c>
      <c r="Q84" s="679"/>
      <c r="R84" s="696" t="s">
        <v>3507</v>
      </c>
      <c r="S84" s="679" t="s">
        <v>60</v>
      </c>
      <c r="T84" s="696" t="s">
        <v>17</v>
      </c>
      <c r="U84" s="696" t="s">
        <v>17</v>
      </c>
      <c r="V84" s="696" t="s">
        <v>17</v>
      </c>
      <c r="W84" s="696" t="s">
        <v>17</v>
      </c>
      <c r="X84" s="696" t="s">
        <v>17</v>
      </c>
      <c r="Y84" s="696" t="s">
        <v>17</v>
      </c>
      <c r="Z84" s="696" t="s">
        <v>17</v>
      </c>
      <c r="AA84" s="678" t="s">
        <v>3110</v>
      </c>
      <c r="AB84" s="698" t="s">
        <v>3508</v>
      </c>
      <c r="AC84" s="696" t="s">
        <v>19</v>
      </c>
      <c r="AD84" s="679" t="s">
        <v>341</v>
      </c>
      <c r="AE84" s="696" t="s">
        <v>1932</v>
      </c>
    </row>
    <row r="85" spans="1:31" ht="150" customHeight="1" x14ac:dyDescent="0.2">
      <c r="A85" s="696">
        <v>788115</v>
      </c>
      <c r="B85" s="696" t="s">
        <v>31</v>
      </c>
      <c r="C85" s="698" t="s">
        <v>3509</v>
      </c>
      <c r="D85" s="696" t="s">
        <v>36</v>
      </c>
      <c r="E85" s="701">
        <v>45338</v>
      </c>
      <c r="F85" s="696" t="s">
        <v>3511</v>
      </c>
      <c r="G85" s="696" t="s">
        <v>3733</v>
      </c>
      <c r="H85" s="696" t="s">
        <v>3512</v>
      </c>
      <c r="I85" s="696" t="s">
        <v>3513</v>
      </c>
      <c r="J85" s="696" t="s">
        <v>34</v>
      </c>
      <c r="K85" s="696" t="s">
        <v>298</v>
      </c>
      <c r="L85" s="696" t="s">
        <v>3438</v>
      </c>
      <c r="M85" s="696" t="s">
        <v>3514</v>
      </c>
      <c r="N85" s="696" t="s">
        <v>3515</v>
      </c>
      <c r="O85" s="696" t="s">
        <v>17</v>
      </c>
      <c r="P85" s="696" t="s">
        <v>17</v>
      </c>
      <c r="Q85" s="696"/>
      <c r="R85" s="696" t="s">
        <v>17</v>
      </c>
      <c r="S85" s="696" t="s">
        <v>41</v>
      </c>
      <c r="T85" s="696" t="s">
        <v>17</v>
      </c>
      <c r="U85" s="696" t="s">
        <v>17</v>
      </c>
      <c r="V85" s="696" t="s">
        <v>17</v>
      </c>
      <c r="W85" s="696" t="s">
        <v>17</v>
      </c>
      <c r="X85" s="696" t="s">
        <v>17</v>
      </c>
      <c r="Y85" s="696" t="s">
        <v>17</v>
      </c>
      <c r="Z85" s="696" t="s">
        <v>17</v>
      </c>
      <c r="AA85" s="678" t="s">
        <v>3110</v>
      </c>
      <c r="AB85" s="698" t="s">
        <v>3516</v>
      </c>
      <c r="AC85" s="696" t="s">
        <v>19</v>
      </c>
      <c r="AD85" s="696" t="s">
        <v>17</v>
      </c>
      <c r="AE85" s="696" t="s">
        <v>3517</v>
      </c>
    </row>
    <row r="86" spans="1:31" ht="150" customHeight="1" x14ac:dyDescent="0.2">
      <c r="A86" s="696">
        <v>413772</v>
      </c>
      <c r="B86" s="696" t="s">
        <v>31</v>
      </c>
      <c r="C86" s="696" t="s">
        <v>3518</v>
      </c>
      <c r="D86" s="696" t="s">
        <v>36</v>
      </c>
      <c r="E86" s="701">
        <v>41479</v>
      </c>
      <c r="F86" s="696" t="s">
        <v>3229</v>
      </c>
      <c r="G86" s="696" t="s">
        <v>3729</v>
      </c>
      <c r="H86" s="696" t="s">
        <v>3520</v>
      </c>
      <c r="I86" s="696" t="s">
        <v>3521</v>
      </c>
      <c r="J86" s="696" t="s">
        <v>34</v>
      </c>
      <c r="K86" s="731" t="s">
        <v>327</v>
      </c>
      <c r="L86" s="696" t="s">
        <v>2711</v>
      </c>
      <c r="M86" s="698" t="s">
        <v>3522</v>
      </c>
      <c r="N86" s="696" t="s">
        <v>3523</v>
      </c>
      <c r="O86" s="707" t="s">
        <v>65</v>
      </c>
      <c r="P86" s="707" t="s">
        <v>65</v>
      </c>
      <c r="Q86" s="696"/>
      <c r="R86" s="696" t="s">
        <v>3524</v>
      </c>
      <c r="S86" s="696" t="s">
        <v>85</v>
      </c>
      <c r="T86" s="696" t="s">
        <v>17</v>
      </c>
      <c r="U86" s="696" t="s">
        <v>17</v>
      </c>
      <c r="V86" s="696" t="s">
        <v>17</v>
      </c>
      <c r="W86" s="696" t="s">
        <v>17</v>
      </c>
      <c r="X86" s="696" t="s">
        <v>17</v>
      </c>
      <c r="Y86" s="696" t="s">
        <v>17</v>
      </c>
      <c r="Z86" s="696" t="s">
        <v>17</v>
      </c>
      <c r="AA86" s="678" t="s">
        <v>3110</v>
      </c>
      <c r="AB86" s="696" t="s">
        <v>3525</v>
      </c>
      <c r="AC86" s="679" t="s">
        <v>82</v>
      </c>
      <c r="AD86" s="679" t="s">
        <v>17</v>
      </c>
      <c r="AE86" s="696" t="s">
        <v>2829</v>
      </c>
    </row>
    <row r="87" spans="1:31" ht="150" customHeight="1" x14ac:dyDescent="0.2">
      <c r="A87" s="702">
        <v>680724</v>
      </c>
      <c r="B87" s="696" t="s">
        <v>31</v>
      </c>
      <c r="C87" s="702" t="s">
        <v>3081</v>
      </c>
      <c r="D87" s="702" t="s">
        <v>36</v>
      </c>
      <c r="E87" s="738">
        <v>44435</v>
      </c>
      <c r="F87" s="702" t="s">
        <v>3083</v>
      </c>
      <c r="G87" s="696" t="s">
        <v>3733</v>
      </c>
      <c r="H87" s="702" t="s">
        <v>3084</v>
      </c>
      <c r="I87" s="702" t="s">
        <v>3085</v>
      </c>
      <c r="J87" s="702" t="s">
        <v>34</v>
      </c>
      <c r="K87" s="696" t="s">
        <v>298</v>
      </c>
      <c r="L87" s="702" t="s">
        <v>3086</v>
      </c>
      <c r="M87" s="739" t="s">
        <v>3087</v>
      </c>
      <c r="N87" s="702" t="s">
        <v>17</v>
      </c>
      <c r="O87" s="740" t="s">
        <v>17</v>
      </c>
      <c r="P87" s="702" t="s">
        <v>17</v>
      </c>
      <c r="Q87" s="702"/>
      <c r="R87" s="702" t="s">
        <v>17</v>
      </c>
      <c r="S87" s="696" t="s">
        <v>3757</v>
      </c>
      <c r="T87" s="702" t="s">
        <v>17</v>
      </c>
      <c r="U87" s="702" t="s">
        <v>17</v>
      </c>
      <c r="V87" s="702" t="s">
        <v>17</v>
      </c>
      <c r="W87" s="702" t="s">
        <v>17</v>
      </c>
      <c r="X87" s="702" t="s">
        <v>17</v>
      </c>
      <c r="Y87" s="741" t="s">
        <v>17</v>
      </c>
      <c r="Z87" s="741" t="s">
        <v>17</v>
      </c>
      <c r="AA87" s="678" t="s">
        <v>3110</v>
      </c>
      <c r="AB87" s="702" t="s">
        <v>3526</v>
      </c>
      <c r="AC87" s="679" t="s">
        <v>82</v>
      </c>
      <c r="AD87" s="679"/>
      <c r="AE87" s="696" t="s">
        <v>787</v>
      </c>
    </row>
    <row r="88" spans="1:31" ht="150" customHeight="1" x14ac:dyDescent="0.2">
      <c r="A88" s="696">
        <v>792914</v>
      </c>
      <c r="B88" s="696" t="s">
        <v>31</v>
      </c>
      <c r="C88" s="696" t="s">
        <v>3527</v>
      </c>
      <c r="D88" s="696" t="s">
        <v>36</v>
      </c>
      <c r="E88" s="701">
        <v>45294</v>
      </c>
      <c r="F88" s="696" t="s">
        <v>3528</v>
      </c>
      <c r="G88" s="696" t="s">
        <v>33</v>
      </c>
      <c r="H88" s="696" t="s">
        <v>3529</v>
      </c>
      <c r="I88" s="696" t="s">
        <v>3530</v>
      </c>
      <c r="J88" s="696" t="s">
        <v>71</v>
      </c>
      <c r="K88" s="696" t="s">
        <v>2710</v>
      </c>
      <c r="L88" s="696" t="s">
        <v>2711</v>
      </c>
      <c r="M88" s="698" t="s">
        <v>3531</v>
      </c>
      <c r="N88" s="702" t="s">
        <v>3532</v>
      </c>
      <c r="O88" s="740" t="s">
        <v>17</v>
      </c>
      <c r="P88" s="702" t="s">
        <v>17</v>
      </c>
      <c r="Q88" s="679"/>
      <c r="R88" s="702" t="s">
        <v>3533</v>
      </c>
      <c r="S88" s="702" t="s">
        <v>38</v>
      </c>
      <c r="T88" s="702" t="s">
        <v>17</v>
      </c>
      <c r="U88" s="702" t="s">
        <v>17</v>
      </c>
      <c r="V88" s="702" t="s">
        <v>17</v>
      </c>
      <c r="W88" s="702" t="s">
        <v>17</v>
      </c>
      <c r="X88" s="702" t="s">
        <v>17</v>
      </c>
      <c r="Y88" s="741" t="s">
        <v>17</v>
      </c>
      <c r="Z88" s="741" t="s">
        <v>17</v>
      </c>
      <c r="AA88" s="678" t="s">
        <v>3110</v>
      </c>
      <c r="AB88" s="742" t="s">
        <v>3534</v>
      </c>
      <c r="AC88" s="696" t="s">
        <v>19</v>
      </c>
      <c r="AD88" s="679" t="s">
        <v>341</v>
      </c>
      <c r="AE88" s="696" t="s">
        <v>1932</v>
      </c>
    </row>
    <row r="89" spans="1:31" ht="150" customHeight="1" x14ac:dyDescent="0.2">
      <c r="A89" s="696">
        <v>792838</v>
      </c>
      <c r="B89" s="696" t="s">
        <v>31</v>
      </c>
      <c r="C89" s="696" t="s">
        <v>3535</v>
      </c>
      <c r="D89" s="696" t="s">
        <v>36</v>
      </c>
      <c r="E89" s="701">
        <v>45371</v>
      </c>
      <c r="F89" s="696" t="s">
        <v>3175</v>
      </c>
      <c r="G89" s="696" t="s">
        <v>33</v>
      </c>
      <c r="H89" s="696" t="s">
        <v>3537</v>
      </c>
      <c r="I89" s="696" t="s">
        <v>3538</v>
      </c>
      <c r="J89" s="696" t="s">
        <v>34</v>
      </c>
      <c r="K89" s="731" t="s">
        <v>327</v>
      </c>
      <c r="L89" s="696" t="s">
        <v>3539</v>
      </c>
      <c r="M89" s="696" t="s">
        <v>3540</v>
      </c>
      <c r="N89" s="696" t="s">
        <v>17</v>
      </c>
      <c r="O89" s="707" t="s">
        <v>65</v>
      </c>
      <c r="P89" s="707" t="s">
        <v>65</v>
      </c>
      <c r="Q89" s="696"/>
      <c r="R89" s="696" t="s">
        <v>3541</v>
      </c>
      <c r="S89" s="679" t="s">
        <v>68</v>
      </c>
      <c r="T89" s="696" t="s">
        <v>17</v>
      </c>
      <c r="U89" s="696" t="s">
        <v>17</v>
      </c>
      <c r="V89" s="696" t="s">
        <v>17</v>
      </c>
      <c r="W89" s="696" t="s">
        <v>17</v>
      </c>
      <c r="X89" s="696" t="s">
        <v>17</v>
      </c>
      <c r="Y89" s="696" t="s">
        <v>17</v>
      </c>
      <c r="Z89" s="696" t="s">
        <v>17</v>
      </c>
      <c r="AA89" s="678" t="s">
        <v>3110</v>
      </c>
      <c r="AB89" s="696" t="s">
        <v>3542</v>
      </c>
      <c r="AC89" s="679" t="s">
        <v>82</v>
      </c>
      <c r="AD89" s="679" t="s">
        <v>341</v>
      </c>
      <c r="AE89" s="696" t="s">
        <v>996</v>
      </c>
    </row>
    <row r="90" spans="1:31" ht="150" customHeight="1" x14ac:dyDescent="0.2">
      <c r="A90" s="702">
        <v>799047</v>
      </c>
      <c r="B90" s="696" t="s">
        <v>31</v>
      </c>
      <c r="C90" s="702" t="s">
        <v>3543</v>
      </c>
      <c r="D90" s="702" t="s">
        <v>36</v>
      </c>
      <c r="E90" s="738">
        <v>45418</v>
      </c>
      <c r="F90" s="702" t="s">
        <v>3092</v>
      </c>
      <c r="G90" s="696" t="s">
        <v>39</v>
      </c>
      <c r="H90" s="702" t="s">
        <v>3544</v>
      </c>
      <c r="I90" s="702" t="s">
        <v>3545</v>
      </c>
      <c r="J90" s="702" t="s">
        <v>34</v>
      </c>
      <c r="K90" s="696" t="s">
        <v>298</v>
      </c>
      <c r="L90" s="702" t="s">
        <v>3546</v>
      </c>
      <c r="M90" s="739" t="s">
        <v>3547</v>
      </c>
      <c r="N90" s="702" t="s">
        <v>17</v>
      </c>
      <c r="O90" s="740" t="s">
        <v>17</v>
      </c>
      <c r="P90" s="702" t="s">
        <v>17</v>
      </c>
      <c r="Q90" s="702"/>
      <c r="R90" s="702" t="s">
        <v>17</v>
      </c>
      <c r="S90" s="679" t="s">
        <v>68</v>
      </c>
      <c r="T90" s="702" t="s">
        <v>17</v>
      </c>
      <c r="U90" s="702" t="s">
        <v>17</v>
      </c>
      <c r="V90" s="702" t="s">
        <v>17</v>
      </c>
      <c r="W90" s="702" t="s">
        <v>17</v>
      </c>
      <c r="X90" s="702" t="s">
        <v>17</v>
      </c>
      <c r="Y90" s="741" t="s">
        <v>17</v>
      </c>
      <c r="Z90" s="741" t="s">
        <v>17</v>
      </c>
      <c r="AA90" s="678" t="s">
        <v>3110</v>
      </c>
      <c r="AB90" s="702" t="s">
        <v>3548</v>
      </c>
      <c r="AC90" s="679">
        <v>2</v>
      </c>
      <c r="AD90" s="679" t="s">
        <v>3690</v>
      </c>
      <c r="AE90" s="696" t="s">
        <v>3549</v>
      </c>
    </row>
    <row r="91" spans="1:31" ht="150" customHeight="1" x14ac:dyDescent="0.2">
      <c r="A91" s="702">
        <v>770042</v>
      </c>
      <c r="B91" s="696" t="s">
        <v>31</v>
      </c>
      <c r="C91" s="702" t="s">
        <v>3550</v>
      </c>
      <c r="D91" s="702" t="s">
        <v>36</v>
      </c>
      <c r="E91" s="738">
        <v>45212</v>
      </c>
      <c r="F91" s="702" t="s">
        <v>3551</v>
      </c>
      <c r="G91" s="696" t="s">
        <v>39</v>
      </c>
      <c r="H91" s="702" t="s">
        <v>3436</v>
      </c>
      <c r="I91" s="702" t="s">
        <v>3552</v>
      </c>
      <c r="J91" s="702" t="s">
        <v>34</v>
      </c>
      <c r="K91" s="696" t="s">
        <v>298</v>
      </c>
      <c r="L91" s="702" t="s">
        <v>3553</v>
      </c>
      <c r="M91" s="702" t="s">
        <v>3553</v>
      </c>
      <c r="N91" s="702" t="s">
        <v>17</v>
      </c>
      <c r="O91" s="740" t="s">
        <v>17</v>
      </c>
      <c r="P91" s="702" t="s">
        <v>17</v>
      </c>
      <c r="Q91" s="702"/>
      <c r="R91" s="702" t="s">
        <v>17</v>
      </c>
      <c r="S91" s="679" t="s">
        <v>46</v>
      </c>
      <c r="T91" s="702" t="s">
        <v>17</v>
      </c>
      <c r="U91" s="702" t="s">
        <v>17</v>
      </c>
      <c r="V91" s="702" t="s">
        <v>17</v>
      </c>
      <c r="W91" s="702" t="s">
        <v>17</v>
      </c>
      <c r="X91" s="702" t="s">
        <v>17</v>
      </c>
      <c r="Y91" s="741" t="s">
        <v>17</v>
      </c>
      <c r="Z91" s="741" t="s">
        <v>17</v>
      </c>
      <c r="AA91" s="678" t="s">
        <v>3110</v>
      </c>
      <c r="AB91" s="702" t="s">
        <v>3554</v>
      </c>
      <c r="AC91" s="679" t="s">
        <v>22</v>
      </c>
      <c r="AD91" s="679" t="s">
        <v>341</v>
      </c>
      <c r="AE91" s="696" t="s">
        <v>3555</v>
      </c>
    </row>
    <row r="92" spans="1:31" ht="150" customHeight="1" x14ac:dyDescent="0.3">
      <c r="A92" s="702" t="s">
        <v>110</v>
      </c>
      <c r="B92" s="696" t="s">
        <v>31</v>
      </c>
      <c r="C92" s="702" t="s">
        <v>3563</v>
      </c>
      <c r="D92" s="702" t="s">
        <v>36</v>
      </c>
      <c r="E92" s="738">
        <v>45400</v>
      </c>
      <c r="F92" s="702" t="s">
        <v>3299</v>
      </c>
      <c r="G92" s="696" t="s">
        <v>3729</v>
      </c>
      <c r="H92" s="702" t="s">
        <v>3564</v>
      </c>
      <c r="I92" s="702" t="s">
        <v>3565</v>
      </c>
      <c r="J92" s="702" t="s">
        <v>34</v>
      </c>
      <c r="K92" s="696" t="s">
        <v>298</v>
      </c>
      <c r="L92" s="696" t="s">
        <v>2711</v>
      </c>
      <c r="M92" s="743" t="s">
        <v>3481</v>
      </c>
      <c r="N92" s="702" t="s">
        <v>17</v>
      </c>
      <c r="O92" s="740" t="s">
        <v>17</v>
      </c>
      <c r="P92" s="702" t="s">
        <v>17</v>
      </c>
      <c r="Q92" s="679"/>
      <c r="R92" s="702" t="s">
        <v>17</v>
      </c>
      <c r="S92" s="702" t="s">
        <v>41</v>
      </c>
      <c r="T92" s="702" t="s">
        <v>17</v>
      </c>
      <c r="U92" s="702" t="s">
        <v>17</v>
      </c>
      <c r="V92" s="702" t="s">
        <v>17</v>
      </c>
      <c r="W92" s="702" t="s">
        <v>17</v>
      </c>
      <c r="X92" s="702" t="s">
        <v>17</v>
      </c>
      <c r="Y92" s="741" t="s">
        <v>17</v>
      </c>
      <c r="Z92" s="741" t="s">
        <v>17</v>
      </c>
      <c r="AA92" s="678" t="s">
        <v>3110</v>
      </c>
      <c r="AB92" s="744" t="s">
        <v>3567</v>
      </c>
      <c r="AC92" s="679" t="s">
        <v>19</v>
      </c>
      <c r="AD92" s="679" t="s">
        <v>341</v>
      </c>
      <c r="AE92" s="696" t="s">
        <v>3861</v>
      </c>
    </row>
    <row r="93" spans="1:31" ht="150" customHeight="1" x14ac:dyDescent="0.3">
      <c r="A93" s="702">
        <v>355790</v>
      </c>
      <c r="B93" s="696" t="s">
        <v>31</v>
      </c>
      <c r="C93" s="702" t="s">
        <v>3568</v>
      </c>
      <c r="D93" s="702" t="s">
        <v>36</v>
      </c>
      <c r="E93" s="738">
        <v>40715</v>
      </c>
      <c r="F93" s="702" t="s">
        <v>3569</v>
      </c>
      <c r="G93" s="696" t="s">
        <v>3729</v>
      </c>
      <c r="H93" s="702" t="s">
        <v>3570</v>
      </c>
      <c r="I93" s="702" t="s">
        <v>3571</v>
      </c>
      <c r="J93" s="702" t="s">
        <v>34</v>
      </c>
      <c r="K93" s="696" t="s">
        <v>298</v>
      </c>
      <c r="L93" s="696" t="s">
        <v>2711</v>
      </c>
      <c r="M93" s="702" t="s">
        <v>3573</v>
      </c>
      <c r="N93" s="702" t="s">
        <v>17</v>
      </c>
      <c r="O93" s="740" t="s">
        <v>17</v>
      </c>
      <c r="P93" s="702" t="s">
        <v>17</v>
      </c>
      <c r="Q93" s="679"/>
      <c r="R93" s="702" t="s">
        <v>17</v>
      </c>
      <c r="S93" s="679" t="s">
        <v>60</v>
      </c>
      <c r="T93" s="702" t="s">
        <v>17</v>
      </c>
      <c r="U93" s="702" t="s">
        <v>17</v>
      </c>
      <c r="V93" s="702" t="s">
        <v>17</v>
      </c>
      <c r="W93" s="702" t="s">
        <v>17</v>
      </c>
      <c r="X93" s="702" t="s">
        <v>17</v>
      </c>
      <c r="Y93" s="741">
        <v>40942</v>
      </c>
      <c r="Z93" s="741" t="s">
        <v>17</v>
      </c>
      <c r="AA93" s="720"/>
      <c r="AB93" s="744" t="s">
        <v>3574</v>
      </c>
      <c r="AC93" s="679" t="s">
        <v>22</v>
      </c>
      <c r="AD93" s="679" t="s">
        <v>341</v>
      </c>
      <c r="AE93" s="696" t="s">
        <v>600</v>
      </c>
    </row>
    <row r="94" spans="1:31" ht="150" customHeight="1" x14ac:dyDescent="0.3">
      <c r="A94" s="696">
        <v>303777</v>
      </c>
      <c r="B94" s="696" t="s">
        <v>31</v>
      </c>
      <c r="C94" s="745" t="s">
        <v>3862</v>
      </c>
      <c r="D94" s="720" t="s">
        <v>36</v>
      </c>
      <c r="E94" s="721">
        <v>38731</v>
      </c>
      <c r="F94" s="720" t="s">
        <v>3577</v>
      </c>
      <c r="G94" s="696" t="s">
        <v>33</v>
      </c>
      <c r="H94" s="720" t="s">
        <v>3578</v>
      </c>
      <c r="I94" s="720" t="s">
        <v>3579</v>
      </c>
      <c r="J94" s="720" t="s">
        <v>34</v>
      </c>
      <c r="K94" s="696" t="s">
        <v>298</v>
      </c>
      <c r="L94" s="696" t="s">
        <v>2711</v>
      </c>
      <c r="M94" s="720" t="s">
        <v>3580</v>
      </c>
      <c r="N94" s="720" t="s">
        <v>3581</v>
      </c>
      <c r="O94" s="720" t="s">
        <v>17</v>
      </c>
      <c r="P94" s="720" t="s">
        <v>17</v>
      </c>
      <c r="Q94" s="679"/>
      <c r="R94" s="720" t="s">
        <v>89</v>
      </c>
      <c r="S94" s="679" t="s">
        <v>60</v>
      </c>
      <c r="T94" s="720" t="s">
        <v>89</v>
      </c>
      <c r="U94" s="720" t="s">
        <v>17</v>
      </c>
      <c r="V94" s="720" t="s">
        <v>17</v>
      </c>
      <c r="W94" s="720" t="s">
        <v>17</v>
      </c>
      <c r="X94" s="720" t="s">
        <v>17</v>
      </c>
      <c r="Y94" s="720" t="s">
        <v>89</v>
      </c>
      <c r="Z94" s="720" t="s">
        <v>89</v>
      </c>
      <c r="AA94" s="678" t="s">
        <v>3110</v>
      </c>
      <c r="AB94" s="720" t="s">
        <v>3582</v>
      </c>
      <c r="AC94" s="720" t="s">
        <v>19</v>
      </c>
      <c r="AD94" s="679" t="s">
        <v>341</v>
      </c>
      <c r="AE94" s="720" t="s">
        <v>3863</v>
      </c>
    </row>
    <row r="95" spans="1:31" ht="150" customHeight="1" x14ac:dyDescent="0.3">
      <c r="A95" s="696" t="s">
        <v>111</v>
      </c>
      <c r="B95" s="696" t="s">
        <v>31</v>
      </c>
      <c r="C95" s="696" t="s">
        <v>3584</v>
      </c>
      <c r="D95" s="696" t="s">
        <v>36</v>
      </c>
      <c r="E95" s="701">
        <v>45532</v>
      </c>
      <c r="F95" s="696" t="s">
        <v>3586</v>
      </c>
      <c r="G95" s="696" t="s">
        <v>3729</v>
      </c>
      <c r="H95" s="720" t="s">
        <v>3587</v>
      </c>
      <c r="I95" s="720" t="s">
        <v>3588</v>
      </c>
      <c r="J95" s="720" t="s">
        <v>34</v>
      </c>
      <c r="K95" s="696" t="s">
        <v>298</v>
      </c>
      <c r="L95" s="696" t="s">
        <v>2711</v>
      </c>
      <c r="M95" s="720" t="s">
        <v>3589</v>
      </c>
      <c r="N95" s="720" t="s">
        <v>3590</v>
      </c>
      <c r="O95" s="720" t="s">
        <v>17</v>
      </c>
      <c r="P95" s="720" t="s">
        <v>17</v>
      </c>
      <c r="Q95" s="679"/>
      <c r="R95" s="720" t="s">
        <v>3591</v>
      </c>
      <c r="S95" s="679" t="s">
        <v>46</v>
      </c>
      <c r="T95" s="720" t="s">
        <v>89</v>
      </c>
      <c r="U95" s="720" t="s">
        <v>17</v>
      </c>
      <c r="V95" s="720" t="s">
        <v>17</v>
      </c>
      <c r="W95" s="720" t="s">
        <v>17</v>
      </c>
      <c r="X95" s="720" t="s">
        <v>17</v>
      </c>
      <c r="Y95" s="720" t="s">
        <v>17</v>
      </c>
      <c r="Z95" s="720" t="s">
        <v>17</v>
      </c>
      <c r="AA95" s="678" t="s">
        <v>3110</v>
      </c>
      <c r="AB95" s="720" t="s">
        <v>3592</v>
      </c>
      <c r="AC95" s="720" t="s">
        <v>24</v>
      </c>
      <c r="AD95" s="679" t="s">
        <v>341</v>
      </c>
      <c r="AE95" s="696" t="s">
        <v>3861</v>
      </c>
    </row>
    <row r="96" spans="1:31" ht="150" customHeight="1" x14ac:dyDescent="0.3">
      <c r="A96" s="696">
        <v>815956</v>
      </c>
      <c r="B96" s="696" t="s">
        <v>31</v>
      </c>
      <c r="C96" s="696" t="s">
        <v>3594</v>
      </c>
      <c r="D96" s="696" t="s">
        <v>36</v>
      </c>
      <c r="E96" s="701">
        <v>45554</v>
      </c>
      <c r="F96" s="742" t="s">
        <v>3596</v>
      </c>
      <c r="G96" s="696" t="s">
        <v>33</v>
      </c>
      <c r="H96" s="742" t="s">
        <v>3597</v>
      </c>
      <c r="I96" s="720" t="s">
        <v>3598</v>
      </c>
      <c r="J96" s="742" t="s">
        <v>34</v>
      </c>
      <c r="K96" s="696" t="s">
        <v>298</v>
      </c>
      <c r="L96" s="696" t="s">
        <v>2711</v>
      </c>
      <c r="M96" s="742" t="s">
        <v>3599</v>
      </c>
      <c r="N96" s="742" t="s">
        <v>17</v>
      </c>
      <c r="O96" s="742" t="s">
        <v>17</v>
      </c>
      <c r="P96" s="742" t="s">
        <v>17</v>
      </c>
      <c r="Q96" s="679"/>
      <c r="R96" s="696" t="s">
        <v>3600</v>
      </c>
      <c r="S96" s="696" t="s">
        <v>112</v>
      </c>
      <c r="T96" s="696" t="s">
        <v>17</v>
      </c>
      <c r="U96" s="696" t="s">
        <v>17</v>
      </c>
      <c r="V96" s="696" t="s">
        <v>17</v>
      </c>
      <c r="W96" s="696" t="s">
        <v>17</v>
      </c>
      <c r="X96" s="696" t="s">
        <v>17</v>
      </c>
      <c r="Y96" s="696" t="s">
        <v>17</v>
      </c>
      <c r="Z96" s="696" t="s">
        <v>17</v>
      </c>
      <c r="AA96" s="678" t="s">
        <v>3110</v>
      </c>
      <c r="AB96" s="696" t="s">
        <v>3601</v>
      </c>
      <c r="AC96" s="696" t="s">
        <v>24</v>
      </c>
      <c r="AD96" s="679" t="s">
        <v>341</v>
      </c>
      <c r="AE96" s="696" t="s">
        <v>1932</v>
      </c>
    </row>
    <row r="97" spans="1:31" ht="150" customHeight="1" x14ac:dyDescent="0.3">
      <c r="A97" s="702">
        <v>815997</v>
      </c>
      <c r="B97" s="696" t="s">
        <v>31</v>
      </c>
      <c r="C97" s="702" t="s">
        <v>3602</v>
      </c>
      <c r="D97" s="702" t="s">
        <v>36</v>
      </c>
      <c r="E97" s="738">
        <v>45555</v>
      </c>
      <c r="F97" s="702" t="s">
        <v>3604</v>
      </c>
      <c r="G97" s="696" t="s">
        <v>39</v>
      </c>
      <c r="H97" s="702" t="s">
        <v>3605</v>
      </c>
      <c r="I97" s="702" t="s">
        <v>3606</v>
      </c>
      <c r="J97" s="702" t="s">
        <v>34</v>
      </c>
      <c r="K97" s="696" t="s">
        <v>298</v>
      </c>
      <c r="L97" s="702" t="s">
        <v>3607</v>
      </c>
      <c r="M97" s="743" t="s">
        <v>3608</v>
      </c>
      <c r="N97" s="702" t="s">
        <v>17</v>
      </c>
      <c r="O97" s="740" t="s">
        <v>17</v>
      </c>
      <c r="P97" s="702" t="s">
        <v>17</v>
      </c>
      <c r="Q97" s="702"/>
      <c r="R97" s="702" t="s">
        <v>17</v>
      </c>
      <c r="S97" s="702" t="s">
        <v>43</v>
      </c>
      <c r="T97" s="702" t="s">
        <v>17</v>
      </c>
      <c r="U97" s="702" t="s">
        <v>17</v>
      </c>
      <c r="V97" s="702" t="s">
        <v>17</v>
      </c>
      <c r="W97" s="702" t="s">
        <v>17</v>
      </c>
      <c r="X97" s="702" t="s">
        <v>17</v>
      </c>
      <c r="Y97" s="741" t="s">
        <v>17</v>
      </c>
      <c r="Z97" s="741" t="s">
        <v>17</v>
      </c>
      <c r="AA97" s="678" t="s">
        <v>3110</v>
      </c>
      <c r="AB97" s="744" t="s">
        <v>3609</v>
      </c>
      <c r="AC97" s="679" t="s">
        <v>19</v>
      </c>
      <c r="AD97" s="679" t="s">
        <v>17</v>
      </c>
      <c r="AE97" s="696" t="s">
        <v>3562</v>
      </c>
    </row>
    <row r="98" spans="1:31" ht="150" customHeight="1" x14ac:dyDescent="0.2">
      <c r="A98" s="746">
        <v>816895</v>
      </c>
      <c r="B98" s="696" t="s">
        <v>31</v>
      </c>
      <c r="C98" s="845">
        <v>1.10013343062202E+22</v>
      </c>
      <c r="D98" s="679" t="s">
        <v>36</v>
      </c>
      <c r="E98" s="703">
        <v>45561</v>
      </c>
      <c r="F98" s="679" t="s">
        <v>3612</v>
      </c>
      <c r="G98" s="696" t="s">
        <v>39</v>
      </c>
      <c r="H98" s="679" t="s">
        <v>3597</v>
      </c>
      <c r="I98" s="679" t="s">
        <v>3588</v>
      </c>
      <c r="J98" s="679" t="s">
        <v>34</v>
      </c>
      <c r="K98" s="696" t="s">
        <v>298</v>
      </c>
      <c r="L98" s="696" t="s">
        <v>2711</v>
      </c>
      <c r="M98" s="679" t="s">
        <v>3613</v>
      </c>
      <c r="N98" s="679" t="s">
        <v>17</v>
      </c>
      <c r="O98" s="679" t="s">
        <v>17</v>
      </c>
      <c r="P98" s="679" t="s">
        <v>17</v>
      </c>
      <c r="Q98" s="679"/>
      <c r="R98" s="679" t="s">
        <v>3614</v>
      </c>
      <c r="S98" s="679" t="s">
        <v>51</v>
      </c>
      <c r="T98" s="679" t="s">
        <v>89</v>
      </c>
      <c r="U98" s="679" t="s">
        <v>17</v>
      </c>
      <c r="V98" s="679" t="s">
        <v>17</v>
      </c>
      <c r="W98" s="679" t="s">
        <v>17</v>
      </c>
      <c r="X98" s="679" t="s">
        <v>17</v>
      </c>
      <c r="Y98" s="679" t="s">
        <v>17</v>
      </c>
      <c r="Z98" s="679" t="s">
        <v>17</v>
      </c>
      <c r="AA98" s="678" t="s">
        <v>3110</v>
      </c>
      <c r="AB98" s="679" t="s">
        <v>3615</v>
      </c>
      <c r="AC98" s="679" t="s">
        <v>24</v>
      </c>
      <c r="AD98" s="679" t="s">
        <v>341</v>
      </c>
      <c r="AE98" s="696" t="s">
        <v>1932</v>
      </c>
    </row>
    <row r="99" spans="1:31" ht="150" customHeight="1" x14ac:dyDescent="0.2">
      <c r="A99" s="679" t="s">
        <v>113</v>
      </c>
      <c r="B99" s="696" t="s">
        <v>31</v>
      </c>
      <c r="C99" s="747" t="s">
        <v>3617</v>
      </c>
      <c r="D99" s="679" t="s">
        <v>36</v>
      </c>
      <c r="E99" s="703">
        <v>45639</v>
      </c>
      <c r="F99" s="679" t="s">
        <v>3619</v>
      </c>
      <c r="G99" s="696" t="s">
        <v>3729</v>
      </c>
      <c r="H99" s="679" t="s">
        <v>3620</v>
      </c>
      <c r="I99" s="679" t="s">
        <v>3621</v>
      </c>
      <c r="J99" s="679" t="s">
        <v>34</v>
      </c>
      <c r="K99" s="696" t="s">
        <v>2710</v>
      </c>
      <c r="L99" s="679" t="s">
        <v>3622</v>
      </c>
      <c r="M99" s="679" t="s">
        <v>3623</v>
      </c>
      <c r="N99" s="679" t="s">
        <v>3624</v>
      </c>
      <c r="O99" s="679" t="s">
        <v>17</v>
      </c>
      <c r="P99" s="679" t="s">
        <v>17</v>
      </c>
      <c r="Q99" s="679"/>
      <c r="R99" s="696" t="s">
        <v>3625</v>
      </c>
      <c r="S99" s="679" t="s">
        <v>59</v>
      </c>
      <c r="T99" s="679" t="s">
        <v>17</v>
      </c>
      <c r="U99" s="679" t="s">
        <v>17</v>
      </c>
      <c r="V99" s="679" t="s">
        <v>17</v>
      </c>
      <c r="W99" s="679" t="s">
        <v>17</v>
      </c>
      <c r="X99" s="679" t="s">
        <v>17</v>
      </c>
      <c r="Y99" s="679" t="s">
        <v>17</v>
      </c>
      <c r="Z99" s="679" t="s">
        <v>17</v>
      </c>
      <c r="AA99" s="678" t="s">
        <v>3110</v>
      </c>
      <c r="AB99" s="679" t="s">
        <v>3864</v>
      </c>
      <c r="AC99" s="679" t="s">
        <v>24</v>
      </c>
      <c r="AD99" s="679" t="s">
        <v>341</v>
      </c>
      <c r="AE99" s="679" t="s">
        <v>660</v>
      </c>
    </row>
    <row r="100" spans="1:31" ht="150" customHeight="1" x14ac:dyDescent="0.2">
      <c r="A100" s="678">
        <v>827064</v>
      </c>
      <c r="B100" s="696" t="s">
        <v>31</v>
      </c>
      <c r="C100" s="679" t="s">
        <v>3628</v>
      </c>
      <c r="D100" s="679" t="s">
        <v>36</v>
      </c>
      <c r="E100" s="703">
        <v>45577</v>
      </c>
      <c r="F100" s="679" t="s">
        <v>3629</v>
      </c>
      <c r="G100" s="696" t="s">
        <v>33</v>
      </c>
      <c r="H100" s="679" t="s">
        <v>3630</v>
      </c>
      <c r="I100" s="679" t="s">
        <v>3631</v>
      </c>
      <c r="J100" s="679" t="s">
        <v>34</v>
      </c>
      <c r="K100" s="696" t="s">
        <v>2710</v>
      </c>
      <c r="L100" s="696" t="s">
        <v>2711</v>
      </c>
      <c r="M100" s="679" t="s">
        <v>3632</v>
      </c>
      <c r="N100" s="679" t="s">
        <v>3633</v>
      </c>
      <c r="O100" s="679" t="s">
        <v>17</v>
      </c>
      <c r="P100" s="679" t="s">
        <v>17</v>
      </c>
      <c r="Q100" s="679"/>
      <c r="R100" s="679" t="s">
        <v>3634</v>
      </c>
      <c r="S100" s="679" t="s">
        <v>55</v>
      </c>
      <c r="T100" s="679" t="s">
        <v>17</v>
      </c>
      <c r="U100" s="679" t="s">
        <v>17</v>
      </c>
      <c r="V100" s="679" t="s">
        <v>17</v>
      </c>
      <c r="W100" s="679" t="s">
        <v>17</v>
      </c>
      <c r="X100" s="679" t="s">
        <v>17</v>
      </c>
      <c r="Y100" s="679" t="s">
        <v>17</v>
      </c>
      <c r="Z100" s="679" t="s">
        <v>17</v>
      </c>
      <c r="AA100" s="678" t="s">
        <v>3110</v>
      </c>
      <c r="AB100" s="679" t="s">
        <v>3635</v>
      </c>
      <c r="AC100" s="679" t="s">
        <v>24</v>
      </c>
      <c r="AD100" s="679" t="s">
        <v>341</v>
      </c>
      <c r="AE100" s="679" t="s">
        <v>3865</v>
      </c>
    </row>
    <row r="101" spans="1:31" ht="150" customHeight="1" x14ac:dyDescent="0.3">
      <c r="A101" s="678" t="s">
        <v>115</v>
      </c>
      <c r="B101" s="696" t="s">
        <v>31</v>
      </c>
      <c r="C101" s="679" t="s">
        <v>3636</v>
      </c>
      <c r="D101" s="679" t="s">
        <v>36</v>
      </c>
      <c r="E101" s="703">
        <v>45673</v>
      </c>
      <c r="F101" s="679" t="s">
        <v>3638</v>
      </c>
      <c r="G101" s="696" t="s">
        <v>3729</v>
      </c>
      <c r="H101" s="679" t="s">
        <v>3639</v>
      </c>
      <c r="I101" s="679" t="s">
        <v>3640</v>
      </c>
      <c r="J101" s="679" t="s">
        <v>34</v>
      </c>
      <c r="K101" s="696" t="s">
        <v>2710</v>
      </c>
      <c r="L101" s="696" t="s">
        <v>2711</v>
      </c>
      <c r="M101" s="678" t="s">
        <v>3642</v>
      </c>
      <c r="N101" s="679" t="s">
        <v>3643</v>
      </c>
      <c r="O101" s="679" t="s">
        <v>17</v>
      </c>
      <c r="P101" s="679" t="s">
        <v>17</v>
      </c>
      <c r="Q101" s="679"/>
      <c r="R101" s="696">
        <v>1816</v>
      </c>
      <c r="S101" s="679" t="s">
        <v>68</v>
      </c>
      <c r="T101" s="679" t="s">
        <v>17</v>
      </c>
      <c r="U101" s="679" t="s">
        <v>17</v>
      </c>
      <c r="V101" s="679" t="s">
        <v>17</v>
      </c>
      <c r="W101" s="679" t="s">
        <v>17</v>
      </c>
      <c r="X101" s="679" t="s">
        <v>17</v>
      </c>
      <c r="Y101" s="679" t="s">
        <v>17</v>
      </c>
      <c r="Z101" s="679" t="s">
        <v>17</v>
      </c>
      <c r="AA101" s="678" t="s">
        <v>3110</v>
      </c>
      <c r="AB101" s="745" t="s">
        <v>3644</v>
      </c>
      <c r="AC101" s="679" t="s">
        <v>24</v>
      </c>
      <c r="AD101" s="679" t="s">
        <v>341</v>
      </c>
      <c r="AE101" s="696" t="s">
        <v>3861</v>
      </c>
    </row>
    <row r="102" spans="1:31" ht="150" customHeight="1" x14ac:dyDescent="0.2">
      <c r="A102" s="696">
        <v>791193</v>
      </c>
      <c r="B102" s="696" t="s">
        <v>31</v>
      </c>
      <c r="C102" s="696" t="s">
        <v>3645</v>
      </c>
      <c r="D102" s="696" t="s">
        <v>36</v>
      </c>
      <c r="E102" s="701">
        <v>43781</v>
      </c>
      <c r="F102" s="696" t="s">
        <v>3646</v>
      </c>
      <c r="G102" s="696" t="s">
        <v>3729</v>
      </c>
      <c r="H102" s="696" t="s">
        <v>3647</v>
      </c>
      <c r="I102" s="696" t="s">
        <v>3648</v>
      </c>
      <c r="J102" s="696" t="s">
        <v>71</v>
      </c>
      <c r="K102" s="696" t="s">
        <v>327</v>
      </c>
      <c r="L102" s="696" t="s">
        <v>3650</v>
      </c>
      <c r="M102" s="698" t="s">
        <v>3651</v>
      </c>
      <c r="N102" s="696" t="s">
        <v>3652</v>
      </c>
      <c r="O102" s="679" t="s">
        <v>17</v>
      </c>
      <c r="P102" s="679" t="s">
        <v>17</v>
      </c>
      <c r="Q102" s="679"/>
      <c r="R102" s="678" t="s">
        <v>339</v>
      </c>
      <c r="S102" s="679" t="s">
        <v>64</v>
      </c>
      <c r="T102" s="682" t="s">
        <v>17</v>
      </c>
      <c r="U102" s="679" t="s">
        <v>17</v>
      </c>
      <c r="V102" s="723" t="s">
        <v>17</v>
      </c>
      <c r="W102" s="682" t="s">
        <v>17</v>
      </c>
      <c r="X102" s="679" t="s">
        <v>17</v>
      </c>
      <c r="Y102" s="703" t="s">
        <v>17</v>
      </c>
      <c r="Z102" s="703" t="s">
        <v>17</v>
      </c>
      <c r="AA102" s="678" t="s">
        <v>3110</v>
      </c>
      <c r="AB102" s="678" t="s">
        <v>3653</v>
      </c>
      <c r="AC102" s="679" t="s">
        <v>19</v>
      </c>
      <c r="AD102" s="679" t="s">
        <v>439</v>
      </c>
      <c r="AE102" s="696" t="s">
        <v>2333</v>
      </c>
    </row>
    <row r="103" spans="1:31" ht="150" customHeight="1" x14ac:dyDescent="0.2">
      <c r="A103" s="696">
        <v>729523</v>
      </c>
      <c r="B103" s="696" t="s">
        <v>31</v>
      </c>
      <c r="C103" s="696" t="s">
        <v>3405</v>
      </c>
      <c r="D103" s="696" t="s">
        <v>36</v>
      </c>
      <c r="E103" s="701">
        <v>44951</v>
      </c>
      <c r="F103" s="696" t="s">
        <v>3654</v>
      </c>
      <c r="G103" s="696" t="s">
        <v>39</v>
      </c>
      <c r="H103" s="696" t="s">
        <v>904</v>
      </c>
      <c r="I103" s="696" t="s">
        <v>3655</v>
      </c>
      <c r="J103" s="696" t="s">
        <v>116</v>
      </c>
      <c r="K103" s="696" t="s">
        <v>3656</v>
      </c>
      <c r="L103" s="696" t="s">
        <v>35</v>
      </c>
      <c r="M103" s="698" t="s">
        <v>3657</v>
      </c>
      <c r="N103" s="696" t="s">
        <v>3658</v>
      </c>
      <c r="O103" s="696" t="s">
        <v>17</v>
      </c>
      <c r="P103" s="696" t="s">
        <v>17</v>
      </c>
      <c r="Q103" s="696"/>
      <c r="R103" s="678" t="s">
        <v>339</v>
      </c>
      <c r="S103" s="679" t="s">
        <v>51</v>
      </c>
      <c r="T103" s="696" t="s">
        <v>17</v>
      </c>
      <c r="U103" s="696" t="s">
        <v>17</v>
      </c>
      <c r="V103" s="696" t="s">
        <v>17</v>
      </c>
      <c r="W103" s="696" t="s">
        <v>17</v>
      </c>
      <c r="X103" s="696" t="s">
        <v>17</v>
      </c>
      <c r="Y103" s="679" t="s">
        <v>17</v>
      </c>
      <c r="Z103" s="679" t="s">
        <v>17</v>
      </c>
      <c r="AA103" s="678" t="s">
        <v>3110</v>
      </c>
      <c r="AB103" s="696" t="s">
        <v>3659</v>
      </c>
      <c r="AC103" s="696" t="s">
        <v>19</v>
      </c>
      <c r="AD103" s="696" t="s">
        <v>439</v>
      </c>
      <c r="AE103" s="696" t="s">
        <v>2333</v>
      </c>
    </row>
    <row r="104" spans="1:31" ht="150" customHeight="1" x14ac:dyDescent="0.2">
      <c r="A104" s="696">
        <v>271268</v>
      </c>
      <c r="B104" s="696" t="s">
        <v>31</v>
      </c>
      <c r="C104" s="696" t="s">
        <v>2821</v>
      </c>
      <c r="D104" s="696" t="s">
        <v>36</v>
      </c>
      <c r="E104" s="701">
        <v>39902</v>
      </c>
      <c r="F104" s="696" t="s">
        <v>2891</v>
      </c>
      <c r="G104" s="696" t="s">
        <v>39</v>
      </c>
      <c r="H104" s="696" t="s">
        <v>3660</v>
      </c>
      <c r="I104" s="696" t="s">
        <v>3661</v>
      </c>
      <c r="J104" s="696" t="s">
        <v>34</v>
      </c>
      <c r="K104" s="696" t="s">
        <v>298</v>
      </c>
      <c r="L104" s="696" t="s">
        <v>2909</v>
      </c>
      <c r="M104" s="696" t="s">
        <v>3662</v>
      </c>
      <c r="N104" s="679" t="s">
        <v>2827</v>
      </c>
      <c r="O104" s="679" t="s">
        <v>17</v>
      </c>
      <c r="P104" s="679" t="s">
        <v>17</v>
      </c>
      <c r="Q104" s="679"/>
      <c r="R104" s="732" t="s">
        <v>3663</v>
      </c>
      <c r="S104" s="679" t="s">
        <v>41</v>
      </c>
      <c r="T104" s="732" t="s">
        <v>117</v>
      </c>
      <c r="U104" s="679" t="s">
        <v>17</v>
      </c>
      <c r="V104" s="679" t="s">
        <v>17</v>
      </c>
      <c r="W104" s="679" t="s">
        <v>17</v>
      </c>
      <c r="X104" s="679" t="s">
        <v>17</v>
      </c>
      <c r="Y104" s="741">
        <v>43689</v>
      </c>
      <c r="Z104" s="679" t="s">
        <v>3664</v>
      </c>
      <c r="AA104" s="678" t="s">
        <v>3110</v>
      </c>
      <c r="AB104" s="678" t="s">
        <v>3665</v>
      </c>
      <c r="AC104" s="679" t="s">
        <v>19</v>
      </c>
      <c r="AD104" s="679" t="s">
        <v>439</v>
      </c>
      <c r="AE104" s="679" t="s">
        <v>546</v>
      </c>
    </row>
    <row r="105" spans="1:31" ht="150" customHeight="1" x14ac:dyDescent="0.2">
      <c r="A105" s="696">
        <v>707444</v>
      </c>
      <c r="B105" s="696" t="s">
        <v>31</v>
      </c>
      <c r="C105" s="696" t="s">
        <v>3666</v>
      </c>
      <c r="D105" s="696" t="s">
        <v>36</v>
      </c>
      <c r="E105" s="701">
        <v>39902</v>
      </c>
      <c r="F105" s="696" t="s">
        <v>3667</v>
      </c>
      <c r="G105" s="696" t="s">
        <v>3729</v>
      </c>
      <c r="H105" s="696" t="s">
        <v>3668</v>
      </c>
      <c r="I105" s="696" t="s">
        <v>3669</v>
      </c>
      <c r="J105" s="696" t="s">
        <v>34</v>
      </c>
      <c r="K105" s="696" t="s">
        <v>298</v>
      </c>
      <c r="L105" s="696" t="s">
        <v>2909</v>
      </c>
      <c r="M105" s="696" t="s">
        <v>3670</v>
      </c>
      <c r="N105" s="679" t="s">
        <v>3671</v>
      </c>
      <c r="O105" s="679" t="s">
        <v>17</v>
      </c>
      <c r="P105" s="679" t="s">
        <v>17</v>
      </c>
      <c r="Q105" s="679"/>
      <c r="R105" s="732" t="s">
        <v>3332</v>
      </c>
      <c r="S105" s="679" t="s">
        <v>41</v>
      </c>
      <c r="T105" s="682" t="s">
        <v>17</v>
      </c>
      <c r="U105" s="682" t="s">
        <v>17</v>
      </c>
      <c r="V105" s="679" t="s">
        <v>17</v>
      </c>
      <c r="W105" s="679" t="s">
        <v>17</v>
      </c>
      <c r="X105" s="679" t="s">
        <v>17</v>
      </c>
      <c r="Y105" s="732" t="s">
        <v>3672</v>
      </c>
      <c r="Z105" s="679" t="s">
        <v>3673</v>
      </c>
      <c r="AA105" s="678" t="s">
        <v>3110</v>
      </c>
      <c r="AB105" s="678" t="s">
        <v>3665</v>
      </c>
      <c r="AC105" s="679" t="s">
        <v>19</v>
      </c>
      <c r="AD105" s="679" t="s">
        <v>3695</v>
      </c>
      <c r="AE105" s="679" t="s">
        <v>546</v>
      </c>
    </row>
    <row r="106" spans="1:31" ht="150" customHeight="1" x14ac:dyDescent="0.3">
      <c r="A106" s="696">
        <v>543680</v>
      </c>
      <c r="B106" s="696" t="s">
        <v>31</v>
      </c>
      <c r="C106" s="696" t="s">
        <v>332</v>
      </c>
      <c r="D106" s="696" t="s">
        <v>36</v>
      </c>
      <c r="E106" s="701">
        <v>42751</v>
      </c>
      <c r="F106" s="735" t="s">
        <v>333</v>
      </c>
      <c r="G106" s="696" t="s">
        <v>39</v>
      </c>
      <c r="H106" s="696" t="s">
        <v>334</v>
      </c>
      <c r="I106" s="696" t="s">
        <v>335</v>
      </c>
      <c r="J106" s="696" t="s">
        <v>16</v>
      </c>
      <c r="K106" s="696" t="s">
        <v>298</v>
      </c>
      <c r="L106" s="696" t="s">
        <v>2711</v>
      </c>
      <c r="M106" s="748" t="s">
        <v>337</v>
      </c>
      <c r="N106" s="696" t="s">
        <v>17</v>
      </c>
      <c r="O106" s="696" t="s">
        <v>17</v>
      </c>
      <c r="P106" s="696" t="s">
        <v>17</v>
      </c>
      <c r="Q106" s="679"/>
      <c r="R106" s="678" t="s">
        <v>339</v>
      </c>
      <c r="S106" s="696" t="s">
        <v>57</v>
      </c>
      <c r="T106" s="696" t="s">
        <v>17</v>
      </c>
      <c r="U106" s="696" t="s">
        <v>17</v>
      </c>
      <c r="V106" s="696" t="s">
        <v>17</v>
      </c>
      <c r="W106" s="696" t="s">
        <v>17</v>
      </c>
      <c r="X106" s="696" t="s">
        <v>17</v>
      </c>
      <c r="Y106" s="679" t="s">
        <v>17</v>
      </c>
      <c r="Z106" s="679" t="s">
        <v>17</v>
      </c>
      <c r="AA106" s="678" t="s">
        <v>3110</v>
      </c>
      <c r="AB106" s="696" t="s">
        <v>340</v>
      </c>
      <c r="AC106" s="679" t="s">
        <v>22</v>
      </c>
      <c r="AD106" s="679" t="s">
        <v>341</v>
      </c>
      <c r="AE106" s="696" t="s">
        <v>600</v>
      </c>
    </row>
    <row r="107" spans="1:31" ht="150" customHeight="1" x14ac:dyDescent="0.2">
      <c r="A107" s="696">
        <v>563426</v>
      </c>
      <c r="B107" s="696" t="s">
        <v>31</v>
      </c>
      <c r="C107" s="696" t="s">
        <v>431</v>
      </c>
      <c r="D107" s="696" t="s">
        <v>36</v>
      </c>
      <c r="E107" s="701">
        <v>43039</v>
      </c>
      <c r="F107" s="696" t="s">
        <v>432</v>
      </c>
      <c r="G107" s="696" t="s">
        <v>39</v>
      </c>
      <c r="H107" s="696" t="s">
        <v>296</v>
      </c>
      <c r="I107" s="696" t="s">
        <v>433</v>
      </c>
      <c r="J107" s="696" t="s">
        <v>16</v>
      </c>
      <c r="K107" s="696" t="s">
        <v>298</v>
      </c>
      <c r="L107" s="696" t="s">
        <v>2909</v>
      </c>
      <c r="M107" s="698" t="s">
        <v>435</v>
      </c>
      <c r="N107" s="696" t="s">
        <v>436</v>
      </c>
      <c r="O107" s="696" t="s">
        <v>17</v>
      </c>
      <c r="P107" s="696" t="s">
        <v>17</v>
      </c>
      <c r="Q107" s="696"/>
      <c r="R107" s="749" t="s">
        <v>437</v>
      </c>
      <c r="S107" s="696" t="s">
        <v>41</v>
      </c>
      <c r="T107" s="696"/>
      <c r="U107" s="696" t="s">
        <v>17</v>
      </c>
      <c r="V107" s="696" t="s">
        <v>17</v>
      </c>
      <c r="W107" s="696" t="s">
        <v>17</v>
      </c>
      <c r="X107" s="696" t="s">
        <v>17</v>
      </c>
      <c r="Y107" s="696" t="s">
        <v>17</v>
      </c>
      <c r="Z107" s="696" t="s">
        <v>17</v>
      </c>
      <c r="AA107" s="678" t="s">
        <v>3110</v>
      </c>
      <c r="AB107" s="696" t="s">
        <v>438</v>
      </c>
      <c r="AC107" s="679" t="s">
        <v>82</v>
      </c>
      <c r="AD107" s="679" t="s">
        <v>439</v>
      </c>
      <c r="AE107" s="696" t="s">
        <v>440</v>
      </c>
    </row>
    <row r="108" spans="1:31" ht="150" customHeight="1" x14ac:dyDescent="0.2">
      <c r="A108" s="696">
        <v>526574</v>
      </c>
      <c r="B108" s="696" t="s">
        <v>31</v>
      </c>
      <c r="C108" s="696" t="s">
        <v>441</v>
      </c>
      <c r="D108" s="696" t="s">
        <v>36</v>
      </c>
      <c r="E108" s="701">
        <v>42262</v>
      </c>
      <c r="F108" s="696" t="s">
        <v>442</v>
      </c>
      <c r="G108" s="696" t="s">
        <v>33</v>
      </c>
      <c r="H108" s="696" t="s">
        <v>296</v>
      </c>
      <c r="I108" s="696" t="s">
        <v>443</v>
      </c>
      <c r="J108" s="696" t="s">
        <v>16</v>
      </c>
      <c r="K108" s="696" t="s">
        <v>298</v>
      </c>
      <c r="L108" s="696" t="s">
        <v>2909</v>
      </c>
      <c r="M108" s="698" t="s">
        <v>445</v>
      </c>
      <c r="N108" s="696" t="s">
        <v>446</v>
      </c>
      <c r="O108" s="679" t="s">
        <v>23</v>
      </c>
      <c r="P108" s="679" t="s">
        <v>23</v>
      </c>
      <c r="Q108" s="696"/>
      <c r="R108" s="704">
        <v>3205</v>
      </c>
      <c r="S108" s="679" t="s">
        <v>38</v>
      </c>
      <c r="T108" s="682">
        <v>145038.70000000001</v>
      </c>
      <c r="U108" s="679" t="s">
        <v>23</v>
      </c>
      <c r="V108" s="679" t="s">
        <v>23</v>
      </c>
      <c r="W108" s="679" t="s">
        <v>23</v>
      </c>
      <c r="X108" s="679" t="s">
        <v>23</v>
      </c>
      <c r="Y108" s="679" t="s">
        <v>23</v>
      </c>
      <c r="Z108" s="679" t="s">
        <v>23</v>
      </c>
      <c r="AA108" s="678" t="s">
        <v>3110</v>
      </c>
      <c r="AB108" s="704" t="s">
        <v>447</v>
      </c>
      <c r="AC108" s="679" t="s">
        <v>19</v>
      </c>
      <c r="AD108" s="679" t="s">
        <v>439</v>
      </c>
      <c r="AE108" s="679" t="s">
        <v>448</v>
      </c>
    </row>
    <row r="109" spans="1:31" ht="150" customHeight="1" x14ac:dyDescent="0.2">
      <c r="A109" s="696">
        <v>617610</v>
      </c>
      <c r="B109" s="696" t="s">
        <v>31</v>
      </c>
      <c r="C109" s="696" t="s">
        <v>3866</v>
      </c>
      <c r="D109" s="696" t="s">
        <v>78</v>
      </c>
      <c r="E109" s="701">
        <v>43776</v>
      </c>
      <c r="F109" s="696" t="s">
        <v>456</v>
      </c>
      <c r="G109" s="696" t="s">
        <v>15</v>
      </c>
      <c r="H109" s="696" t="s">
        <v>296</v>
      </c>
      <c r="I109" s="696" t="s">
        <v>457</v>
      </c>
      <c r="J109" s="696" t="s">
        <v>16</v>
      </c>
      <c r="K109" s="696" t="s">
        <v>298</v>
      </c>
      <c r="L109" s="696" t="s">
        <v>2909</v>
      </c>
      <c r="M109" s="698" t="s">
        <v>458</v>
      </c>
      <c r="N109" s="696" t="s">
        <v>459</v>
      </c>
      <c r="O109" s="679" t="s">
        <v>17</v>
      </c>
      <c r="P109" s="679" t="s">
        <v>17</v>
      </c>
      <c r="Q109" s="696"/>
      <c r="R109" s="696">
        <v>3616</v>
      </c>
      <c r="S109" s="679" t="s">
        <v>38</v>
      </c>
      <c r="T109" s="749">
        <v>8305</v>
      </c>
      <c r="U109" s="696" t="s">
        <v>460</v>
      </c>
      <c r="V109" s="723" t="s">
        <v>17</v>
      </c>
      <c r="W109" s="723" t="s">
        <v>17</v>
      </c>
      <c r="X109" s="723" t="s">
        <v>17</v>
      </c>
      <c r="Y109" s="723" t="s">
        <v>17</v>
      </c>
      <c r="Z109" s="723" t="s">
        <v>17</v>
      </c>
      <c r="AA109" s="678" t="s">
        <v>3110</v>
      </c>
      <c r="AB109" s="696" t="s">
        <v>461</v>
      </c>
      <c r="AC109" s="679" t="s">
        <v>19</v>
      </c>
      <c r="AD109" s="679"/>
      <c r="AE109" s="696" t="s">
        <v>3867</v>
      </c>
    </row>
    <row r="110" spans="1:31" ht="150" customHeight="1" x14ac:dyDescent="0.2">
      <c r="A110" s="696">
        <v>574069</v>
      </c>
      <c r="B110" s="696" t="s">
        <v>31</v>
      </c>
      <c r="C110" s="696" t="s">
        <v>463</v>
      </c>
      <c r="D110" s="696" t="s">
        <v>36</v>
      </c>
      <c r="E110" s="701">
        <v>43083</v>
      </c>
      <c r="F110" s="696" t="s">
        <v>464</v>
      </c>
      <c r="G110" s="696" t="s">
        <v>39</v>
      </c>
      <c r="H110" s="696" t="s">
        <v>296</v>
      </c>
      <c r="I110" s="696" t="s">
        <v>465</v>
      </c>
      <c r="J110" s="696" t="s">
        <v>16</v>
      </c>
      <c r="K110" s="696" t="s">
        <v>298</v>
      </c>
      <c r="L110" s="696" t="s">
        <v>466</v>
      </c>
      <c r="M110" s="698" t="s">
        <v>467</v>
      </c>
      <c r="N110" s="696" t="s">
        <v>468</v>
      </c>
      <c r="O110" s="696" t="s">
        <v>17</v>
      </c>
      <c r="P110" s="696" t="s">
        <v>17</v>
      </c>
      <c r="Q110" s="696"/>
      <c r="R110" s="696">
        <v>3626</v>
      </c>
      <c r="S110" s="679" t="s">
        <v>64</v>
      </c>
      <c r="T110" s="696">
        <v>33938.199999999997</v>
      </c>
      <c r="U110" s="696" t="s">
        <v>17</v>
      </c>
      <c r="V110" s="696" t="s">
        <v>17</v>
      </c>
      <c r="W110" s="696" t="s">
        <v>17</v>
      </c>
      <c r="X110" s="696" t="s">
        <v>17</v>
      </c>
      <c r="Y110" s="696" t="s">
        <v>17</v>
      </c>
      <c r="Z110" s="696" t="s">
        <v>17</v>
      </c>
      <c r="AA110" s="678" t="s">
        <v>3110</v>
      </c>
      <c r="AB110" s="696" t="s">
        <v>469</v>
      </c>
      <c r="AC110" s="679" t="s">
        <v>19</v>
      </c>
      <c r="AD110" s="679" t="s">
        <v>439</v>
      </c>
      <c r="AE110" s="696" t="s">
        <v>470</v>
      </c>
    </row>
    <row r="111" spans="1:31" ht="150" customHeight="1" x14ac:dyDescent="0.2">
      <c r="A111" s="696">
        <v>617584</v>
      </c>
      <c r="B111" s="696" t="s">
        <v>31</v>
      </c>
      <c r="C111" s="696" t="s">
        <v>499</v>
      </c>
      <c r="D111" s="696" t="s">
        <v>78</v>
      </c>
      <c r="E111" s="701">
        <v>43664</v>
      </c>
      <c r="F111" s="696" t="s">
        <v>500</v>
      </c>
      <c r="G111" s="696" t="s">
        <v>39</v>
      </c>
      <c r="H111" s="696" t="s">
        <v>296</v>
      </c>
      <c r="I111" s="696" t="s">
        <v>501</v>
      </c>
      <c r="J111" s="696" t="s">
        <v>16</v>
      </c>
      <c r="K111" s="696" t="s">
        <v>298</v>
      </c>
      <c r="L111" s="696" t="s">
        <v>2909</v>
      </c>
      <c r="M111" s="698" t="s">
        <v>458</v>
      </c>
      <c r="N111" s="696" t="s">
        <v>502</v>
      </c>
      <c r="O111" s="679" t="s">
        <v>17</v>
      </c>
      <c r="P111" s="679" t="s">
        <v>17</v>
      </c>
      <c r="Q111" s="696"/>
      <c r="R111" s="696">
        <v>3892</v>
      </c>
      <c r="S111" s="696" t="s">
        <v>55</v>
      </c>
      <c r="T111" s="749">
        <v>14900</v>
      </c>
      <c r="U111" s="696" t="s">
        <v>17</v>
      </c>
      <c r="V111" s="723" t="s">
        <v>17</v>
      </c>
      <c r="W111" s="723" t="s">
        <v>17</v>
      </c>
      <c r="X111" s="723" t="s">
        <v>17</v>
      </c>
      <c r="Y111" s="723" t="s">
        <v>17</v>
      </c>
      <c r="Z111" s="723" t="s">
        <v>17</v>
      </c>
      <c r="AA111" s="678" t="s">
        <v>3110</v>
      </c>
      <c r="AB111" s="696" t="s">
        <v>503</v>
      </c>
      <c r="AC111" s="679" t="s">
        <v>19</v>
      </c>
      <c r="AD111" s="679"/>
      <c r="AE111" s="696" t="s">
        <v>504</v>
      </c>
    </row>
    <row r="112" spans="1:31" ht="150" customHeight="1" x14ac:dyDescent="0.2">
      <c r="A112" s="696">
        <v>391844</v>
      </c>
      <c r="B112" s="696" t="s">
        <v>31</v>
      </c>
      <c r="C112" s="696" t="s">
        <v>505</v>
      </c>
      <c r="D112" s="696" t="s">
        <v>36</v>
      </c>
      <c r="E112" s="701">
        <v>41151</v>
      </c>
      <c r="F112" s="696" t="s">
        <v>487</v>
      </c>
      <c r="G112" s="696" t="s">
        <v>39</v>
      </c>
      <c r="H112" s="696" t="s">
        <v>296</v>
      </c>
      <c r="I112" s="696" t="s">
        <v>506</v>
      </c>
      <c r="J112" s="696" t="s">
        <v>16</v>
      </c>
      <c r="K112" s="696" t="s">
        <v>298</v>
      </c>
      <c r="L112" s="696" t="s">
        <v>2909</v>
      </c>
      <c r="M112" s="698" t="s">
        <v>507</v>
      </c>
      <c r="N112" s="696" t="s">
        <v>508</v>
      </c>
      <c r="O112" s="679" t="s">
        <v>23</v>
      </c>
      <c r="P112" s="679" t="s">
        <v>23</v>
      </c>
      <c r="Q112" s="696"/>
      <c r="R112" s="704">
        <v>3977</v>
      </c>
      <c r="S112" s="679" t="s">
        <v>41</v>
      </c>
      <c r="T112" s="682">
        <v>3065</v>
      </c>
      <c r="U112" s="679" t="s">
        <v>23</v>
      </c>
      <c r="V112" s="679" t="s">
        <v>23</v>
      </c>
      <c r="W112" s="679" t="s">
        <v>23</v>
      </c>
      <c r="X112" s="679" t="s">
        <v>23</v>
      </c>
      <c r="Y112" s="703" t="s">
        <v>23</v>
      </c>
      <c r="Z112" s="703" t="s">
        <v>23</v>
      </c>
      <c r="AA112" s="678" t="s">
        <v>3110</v>
      </c>
      <c r="AB112" s="750" t="s">
        <v>509</v>
      </c>
      <c r="AC112" s="679" t="s">
        <v>19</v>
      </c>
      <c r="AD112" s="679" t="s">
        <v>439</v>
      </c>
      <c r="AE112" s="696" t="s">
        <v>510</v>
      </c>
    </row>
    <row r="113" spans="1:31" ht="150" customHeight="1" x14ac:dyDescent="0.2">
      <c r="A113" s="696">
        <v>359396</v>
      </c>
      <c r="B113" s="696" t="s">
        <v>31</v>
      </c>
      <c r="C113" s="696" t="s">
        <v>538</v>
      </c>
      <c r="D113" s="696" t="s">
        <v>36</v>
      </c>
      <c r="E113" s="701">
        <v>40431</v>
      </c>
      <c r="F113" s="696" t="s">
        <v>539</v>
      </c>
      <c r="G113" s="696" t="s">
        <v>33</v>
      </c>
      <c r="H113" s="696" t="s">
        <v>296</v>
      </c>
      <c r="I113" s="696" t="s">
        <v>540</v>
      </c>
      <c r="J113" s="696" t="s">
        <v>16</v>
      </c>
      <c r="K113" s="696" t="s">
        <v>298</v>
      </c>
      <c r="L113" s="696" t="s">
        <v>2909</v>
      </c>
      <c r="M113" s="698" t="s">
        <v>541</v>
      </c>
      <c r="N113" s="696" t="s">
        <v>542</v>
      </c>
      <c r="O113" s="679" t="s">
        <v>23</v>
      </c>
      <c r="P113" s="679" t="s">
        <v>23</v>
      </c>
      <c r="Q113" s="696"/>
      <c r="R113" s="704" t="s">
        <v>543</v>
      </c>
      <c r="S113" s="679" t="s">
        <v>51</v>
      </c>
      <c r="T113" s="682">
        <v>41341</v>
      </c>
      <c r="U113" s="679" t="s">
        <v>23</v>
      </c>
      <c r="V113" s="679" t="s">
        <v>23</v>
      </c>
      <c r="W113" s="679" t="s">
        <v>23</v>
      </c>
      <c r="X113" s="679" t="s">
        <v>23</v>
      </c>
      <c r="Y113" s="703">
        <v>41822</v>
      </c>
      <c r="Z113" s="703">
        <v>41983</v>
      </c>
      <c r="AA113" s="678" t="s">
        <v>3110</v>
      </c>
      <c r="AB113" s="704" t="s">
        <v>545</v>
      </c>
      <c r="AC113" s="679" t="s">
        <v>22</v>
      </c>
      <c r="AD113" s="679" t="s">
        <v>439</v>
      </c>
      <c r="AE113" s="696" t="s">
        <v>546</v>
      </c>
    </row>
    <row r="114" spans="1:31" ht="150" customHeight="1" x14ac:dyDescent="0.2">
      <c r="A114" s="696">
        <v>286585</v>
      </c>
      <c r="B114" s="696" t="s">
        <v>31</v>
      </c>
      <c r="C114" s="696" t="s">
        <v>547</v>
      </c>
      <c r="D114" s="696" t="s">
        <v>36</v>
      </c>
      <c r="E114" s="701">
        <v>40029</v>
      </c>
      <c r="F114" s="696" t="s">
        <v>548</v>
      </c>
      <c r="G114" s="696" t="s">
        <v>39</v>
      </c>
      <c r="H114" s="696" t="s">
        <v>296</v>
      </c>
      <c r="I114" s="696" t="s">
        <v>549</v>
      </c>
      <c r="J114" s="696" t="s">
        <v>16</v>
      </c>
      <c r="K114" s="696" t="s">
        <v>298</v>
      </c>
      <c r="L114" s="696" t="s">
        <v>550</v>
      </c>
      <c r="M114" s="698" t="s">
        <v>551</v>
      </c>
      <c r="N114" s="696" t="s">
        <v>552</v>
      </c>
      <c r="O114" s="679" t="s">
        <v>23</v>
      </c>
      <c r="P114" s="679" t="s">
        <v>23</v>
      </c>
      <c r="Q114" s="696"/>
      <c r="R114" s="704">
        <v>953</v>
      </c>
      <c r="S114" s="679" t="s">
        <v>59</v>
      </c>
      <c r="T114" s="682">
        <v>6804</v>
      </c>
      <c r="U114" s="679" t="s">
        <v>23</v>
      </c>
      <c r="V114" s="679" t="s">
        <v>23</v>
      </c>
      <c r="W114" s="679" t="s">
        <v>23</v>
      </c>
      <c r="X114" s="679" t="s">
        <v>23</v>
      </c>
      <c r="Y114" s="703">
        <v>42888</v>
      </c>
      <c r="Z114" s="703">
        <v>44124</v>
      </c>
      <c r="AA114" s="678" t="s">
        <v>3110</v>
      </c>
      <c r="AB114" s="678" t="s">
        <v>553</v>
      </c>
      <c r="AC114" s="679" t="s">
        <v>22</v>
      </c>
      <c r="AD114" s="679" t="s">
        <v>439</v>
      </c>
      <c r="AE114" s="696" t="s">
        <v>554</v>
      </c>
    </row>
    <row r="115" spans="1:31" ht="150" customHeight="1" x14ac:dyDescent="0.2">
      <c r="A115" s="751">
        <v>672915</v>
      </c>
      <c r="B115" s="696" t="s">
        <v>31</v>
      </c>
      <c r="C115" s="751" t="s">
        <v>555</v>
      </c>
      <c r="D115" s="751" t="s">
        <v>36</v>
      </c>
      <c r="E115" s="752">
        <v>44296</v>
      </c>
      <c r="F115" s="751" t="s">
        <v>556</v>
      </c>
      <c r="G115" s="696" t="s">
        <v>39</v>
      </c>
      <c r="H115" s="751" t="s">
        <v>296</v>
      </c>
      <c r="I115" s="751" t="s">
        <v>557</v>
      </c>
      <c r="J115" s="696" t="s">
        <v>16</v>
      </c>
      <c r="K115" s="696" t="s">
        <v>298</v>
      </c>
      <c r="L115" s="696" t="s">
        <v>2909</v>
      </c>
      <c r="M115" s="753" t="s">
        <v>558</v>
      </c>
      <c r="N115" s="751" t="s">
        <v>559</v>
      </c>
      <c r="O115" s="679" t="s">
        <v>17</v>
      </c>
      <c r="P115" s="679" t="s">
        <v>17</v>
      </c>
      <c r="Q115" s="696"/>
      <c r="R115" s="754" t="s">
        <v>560</v>
      </c>
      <c r="S115" s="755" t="s">
        <v>119</v>
      </c>
      <c r="T115" s="756" t="s">
        <v>120</v>
      </c>
      <c r="U115" s="679" t="s">
        <v>17</v>
      </c>
      <c r="V115" s="679" t="s">
        <v>17</v>
      </c>
      <c r="W115" s="679" t="s">
        <v>17</v>
      </c>
      <c r="X115" s="679" t="s">
        <v>17</v>
      </c>
      <c r="Y115" s="679" t="s">
        <v>17</v>
      </c>
      <c r="Z115" s="679" t="s">
        <v>17</v>
      </c>
      <c r="AA115" s="678" t="s">
        <v>3110</v>
      </c>
      <c r="AB115" s="755" t="s">
        <v>561</v>
      </c>
      <c r="AC115" s="755" t="s">
        <v>19</v>
      </c>
      <c r="AD115" s="755"/>
      <c r="AE115" s="751" t="s">
        <v>562</v>
      </c>
    </row>
    <row r="116" spans="1:31" ht="150" customHeight="1" x14ac:dyDescent="0.2">
      <c r="A116" s="696">
        <v>391750</v>
      </c>
      <c r="B116" s="696" t="s">
        <v>31</v>
      </c>
      <c r="C116" s="696" t="s">
        <v>592</v>
      </c>
      <c r="D116" s="696" t="s">
        <v>36</v>
      </c>
      <c r="E116" s="701">
        <v>40088</v>
      </c>
      <c r="F116" s="696" t="s">
        <v>593</v>
      </c>
      <c r="G116" s="696" t="s">
        <v>39</v>
      </c>
      <c r="H116" s="696" t="s">
        <v>296</v>
      </c>
      <c r="I116" s="696" t="s">
        <v>594</v>
      </c>
      <c r="J116" s="696" t="s">
        <v>16</v>
      </c>
      <c r="K116" s="696" t="s">
        <v>298</v>
      </c>
      <c r="L116" s="696" t="s">
        <v>2909</v>
      </c>
      <c r="M116" s="698" t="s">
        <v>596</v>
      </c>
      <c r="N116" s="696" t="s">
        <v>597</v>
      </c>
      <c r="O116" s="679" t="s">
        <v>23</v>
      </c>
      <c r="P116" s="679" t="s">
        <v>23</v>
      </c>
      <c r="Q116" s="696"/>
      <c r="R116" s="704">
        <v>953</v>
      </c>
      <c r="S116" s="679" t="s">
        <v>59</v>
      </c>
      <c r="T116" s="682">
        <v>56443</v>
      </c>
      <c r="U116" s="679" t="s">
        <v>23</v>
      </c>
      <c r="V116" s="679" t="s">
        <v>23</v>
      </c>
      <c r="W116" s="679" t="s">
        <v>23</v>
      </c>
      <c r="X116" s="679" t="s">
        <v>23</v>
      </c>
      <c r="Y116" s="703">
        <v>41418</v>
      </c>
      <c r="Z116" s="703">
        <v>41548</v>
      </c>
      <c r="AA116" s="679" t="s">
        <v>598</v>
      </c>
      <c r="AB116" s="704" t="s">
        <v>599</v>
      </c>
      <c r="AC116" s="679" t="s">
        <v>22</v>
      </c>
      <c r="AD116" s="679" t="s">
        <v>439</v>
      </c>
      <c r="AE116" s="696" t="s">
        <v>600</v>
      </c>
    </row>
    <row r="117" spans="1:31" ht="150" customHeight="1" x14ac:dyDescent="0.2">
      <c r="A117" s="696">
        <v>563425</v>
      </c>
      <c r="B117" s="696" t="s">
        <v>31</v>
      </c>
      <c r="C117" s="696" t="s">
        <v>654</v>
      </c>
      <c r="D117" s="696" t="s">
        <v>36</v>
      </c>
      <c r="E117" s="701">
        <v>43039</v>
      </c>
      <c r="F117" s="696" t="s">
        <v>655</v>
      </c>
      <c r="G117" s="696" t="s">
        <v>33</v>
      </c>
      <c r="H117" s="696" t="s">
        <v>296</v>
      </c>
      <c r="I117" s="696" t="s">
        <v>656</v>
      </c>
      <c r="J117" s="696" t="s">
        <v>16</v>
      </c>
      <c r="K117" s="696" t="s">
        <v>298</v>
      </c>
      <c r="L117" s="696" t="s">
        <v>2909</v>
      </c>
      <c r="M117" s="698" t="s">
        <v>657</v>
      </c>
      <c r="N117" s="696" t="s">
        <v>658</v>
      </c>
      <c r="O117" s="696" t="s">
        <v>17</v>
      </c>
      <c r="P117" s="696" t="s">
        <v>17</v>
      </c>
      <c r="Q117" s="696"/>
      <c r="R117" s="704">
        <v>1468</v>
      </c>
      <c r="S117" s="696" t="s">
        <v>41</v>
      </c>
      <c r="T117" s="696"/>
      <c r="U117" s="757" t="s">
        <v>87</v>
      </c>
      <c r="V117" s="757" t="s">
        <v>87</v>
      </c>
      <c r="W117" s="696" t="s">
        <v>17</v>
      </c>
      <c r="X117" s="696" t="s">
        <v>17</v>
      </c>
      <c r="Y117" s="696" t="s">
        <v>17</v>
      </c>
      <c r="Z117" s="696" t="s">
        <v>17</v>
      </c>
      <c r="AA117" s="678" t="s">
        <v>3110</v>
      </c>
      <c r="AB117" s="696" t="s">
        <v>659</v>
      </c>
      <c r="AC117" s="679" t="s">
        <v>82</v>
      </c>
      <c r="AD117" s="679" t="s">
        <v>439</v>
      </c>
      <c r="AE117" s="696" t="s">
        <v>660</v>
      </c>
    </row>
    <row r="118" spans="1:31" ht="150" customHeight="1" x14ac:dyDescent="0.2">
      <c r="A118" s="696">
        <v>513957</v>
      </c>
      <c r="B118" s="696" t="s">
        <v>31</v>
      </c>
      <c r="C118" s="696" t="s">
        <v>703</v>
      </c>
      <c r="D118" s="696" t="s">
        <v>36</v>
      </c>
      <c r="E118" s="701">
        <v>42148</v>
      </c>
      <c r="F118" s="696" t="s">
        <v>704</v>
      </c>
      <c r="G118" s="696" t="s">
        <v>39</v>
      </c>
      <c r="H118" s="696" t="s">
        <v>296</v>
      </c>
      <c r="I118" s="696" t="s">
        <v>705</v>
      </c>
      <c r="J118" s="696" t="s">
        <v>16</v>
      </c>
      <c r="K118" s="696" t="s">
        <v>298</v>
      </c>
      <c r="L118" s="696" t="s">
        <v>2909</v>
      </c>
      <c r="M118" s="698" t="s">
        <v>706</v>
      </c>
      <c r="N118" s="696" t="s">
        <v>707</v>
      </c>
      <c r="O118" s="679" t="s">
        <v>23</v>
      </c>
      <c r="P118" s="679" t="s">
        <v>23</v>
      </c>
      <c r="Q118" s="696"/>
      <c r="R118" s="704">
        <v>3346</v>
      </c>
      <c r="S118" s="679" t="s">
        <v>41</v>
      </c>
      <c r="T118" s="682">
        <v>41680</v>
      </c>
      <c r="U118" s="679" t="s">
        <v>23</v>
      </c>
      <c r="V118" s="679" t="s">
        <v>23</v>
      </c>
      <c r="W118" s="679" t="s">
        <v>23</v>
      </c>
      <c r="X118" s="679" t="s">
        <v>23</v>
      </c>
      <c r="Y118" s="703" t="s">
        <v>23</v>
      </c>
      <c r="Z118" s="679" t="s">
        <v>23</v>
      </c>
      <c r="AA118" s="678" t="s">
        <v>3110</v>
      </c>
      <c r="AB118" s="678" t="s">
        <v>708</v>
      </c>
      <c r="AC118" s="679" t="s">
        <v>22</v>
      </c>
      <c r="AD118" s="679" t="s">
        <v>439</v>
      </c>
      <c r="AE118" s="696" t="s">
        <v>709</v>
      </c>
    </row>
    <row r="119" spans="1:31" ht="150" customHeight="1" x14ac:dyDescent="0.2">
      <c r="A119" s="696">
        <v>454983</v>
      </c>
      <c r="B119" s="696" t="s">
        <v>31</v>
      </c>
      <c r="C119" s="696" t="s">
        <v>788</v>
      </c>
      <c r="D119" s="696" t="s">
        <v>36</v>
      </c>
      <c r="E119" s="701">
        <v>41775</v>
      </c>
      <c r="F119" s="696" t="s">
        <v>789</v>
      </c>
      <c r="G119" s="696" t="s">
        <v>39</v>
      </c>
      <c r="H119" s="696" t="s">
        <v>296</v>
      </c>
      <c r="I119" s="696" t="s">
        <v>790</v>
      </c>
      <c r="J119" s="696" t="s">
        <v>16</v>
      </c>
      <c r="K119" s="696" t="s">
        <v>298</v>
      </c>
      <c r="L119" s="696" t="s">
        <v>2909</v>
      </c>
      <c r="M119" s="698" t="s">
        <v>791</v>
      </c>
      <c r="N119" s="696" t="s">
        <v>792</v>
      </c>
      <c r="O119" s="679" t="s">
        <v>65</v>
      </c>
      <c r="P119" s="679" t="s">
        <v>65</v>
      </c>
      <c r="Q119" s="696"/>
      <c r="R119" s="704" t="s">
        <v>793</v>
      </c>
      <c r="S119" s="679" t="s">
        <v>61</v>
      </c>
      <c r="T119" s="682" t="s">
        <v>121</v>
      </c>
      <c r="U119" s="679" t="s">
        <v>65</v>
      </c>
      <c r="V119" s="679" t="s">
        <v>65</v>
      </c>
      <c r="W119" s="679" t="s">
        <v>65</v>
      </c>
      <c r="X119" s="679" t="s">
        <v>65</v>
      </c>
      <c r="Y119" s="679" t="s">
        <v>794</v>
      </c>
      <c r="Z119" s="679" t="s">
        <v>65</v>
      </c>
      <c r="AA119" s="679" t="s">
        <v>795</v>
      </c>
      <c r="AB119" s="678" t="s">
        <v>796</v>
      </c>
      <c r="AC119" s="679" t="s">
        <v>82</v>
      </c>
      <c r="AD119" s="679" t="s">
        <v>439</v>
      </c>
      <c r="AE119" s="696" t="s">
        <v>797</v>
      </c>
    </row>
    <row r="120" spans="1:31" ht="150" customHeight="1" x14ac:dyDescent="0.2">
      <c r="A120" s="696">
        <v>417849</v>
      </c>
      <c r="B120" s="696" t="s">
        <v>31</v>
      </c>
      <c r="C120" s="696" t="s">
        <v>856</v>
      </c>
      <c r="D120" s="696" t="s">
        <v>36</v>
      </c>
      <c r="E120" s="701">
        <v>41477</v>
      </c>
      <c r="F120" s="696" t="s">
        <v>857</v>
      </c>
      <c r="G120" s="696" t="s">
        <v>33</v>
      </c>
      <c r="H120" s="696" t="s">
        <v>296</v>
      </c>
      <c r="I120" s="696" t="s">
        <v>858</v>
      </c>
      <c r="J120" s="696" t="s">
        <v>16</v>
      </c>
      <c r="K120" s="696" t="s">
        <v>298</v>
      </c>
      <c r="L120" s="696" t="s">
        <v>2909</v>
      </c>
      <c r="M120" s="698" t="s">
        <v>859</v>
      </c>
      <c r="N120" s="696" t="s">
        <v>860</v>
      </c>
      <c r="O120" s="679" t="s">
        <v>23</v>
      </c>
      <c r="P120" s="679" t="s">
        <v>23</v>
      </c>
      <c r="Q120" s="696"/>
      <c r="R120" s="704" t="s">
        <v>861</v>
      </c>
      <c r="S120" s="679" t="s">
        <v>59</v>
      </c>
      <c r="T120" s="682">
        <v>3804.46</v>
      </c>
      <c r="U120" s="679" t="s">
        <v>23</v>
      </c>
      <c r="V120" s="679" t="s">
        <v>23</v>
      </c>
      <c r="W120" s="679" t="s">
        <v>23</v>
      </c>
      <c r="X120" s="679" t="s">
        <v>23</v>
      </c>
      <c r="Y120" s="679" t="s">
        <v>862</v>
      </c>
      <c r="Z120" s="679" t="s">
        <v>862</v>
      </c>
      <c r="AA120" s="678" t="s">
        <v>3110</v>
      </c>
      <c r="AB120" s="679" t="s">
        <v>863</v>
      </c>
      <c r="AC120" s="679" t="s">
        <v>19</v>
      </c>
      <c r="AD120" s="679" t="s">
        <v>439</v>
      </c>
      <c r="AE120" s="679" t="s">
        <v>864</v>
      </c>
    </row>
    <row r="121" spans="1:31" ht="150" customHeight="1" x14ac:dyDescent="0.2">
      <c r="A121" s="696">
        <v>288991</v>
      </c>
      <c r="B121" s="696" t="s">
        <v>31</v>
      </c>
      <c r="C121" s="696" t="s">
        <v>911</v>
      </c>
      <c r="D121" s="696" t="s">
        <v>36</v>
      </c>
      <c r="E121" s="701">
        <v>40031</v>
      </c>
      <c r="F121" s="696" t="s">
        <v>912</v>
      </c>
      <c r="G121" s="696" t="s">
        <v>39</v>
      </c>
      <c r="H121" s="696" t="s">
        <v>296</v>
      </c>
      <c r="I121" s="696" t="s">
        <v>913</v>
      </c>
      <c r="J121" s="696" t="s">
        <v>16</v>
      </c>
      <c r="K121" s="696" t="s">
        <v>298</v>
      </c>
      <c r="L121" s="696" t="s">
        <v>2909</v>
      </c>
      <c r="M121" s="698" t="s">
        <v>915</v>
      </c>
      <c r="N121" s="696" t="s">
        <v>916</v>
      </c>
      <c r="O121" s="679" t="s">
        <v>23</v>
      </c>
      <c r="P121" s="679" t="s">
        <v>23</v>
      </c>
      <c r="Q121" s="696"/>
      <c r="R121" s="704">
        <v>3687</v>
      </c>
      <c r="S121" s="679" t="s">
        <v>68</v>
      </c>
      <c r="T121" s="682">
        <v>6804.067</v>
      </c>
      <c r="U121" s="679" t="s">
        <v>23</v>
      </c>
      <c r="V121" s="679" t="s">
        <v>23</v>
      </c>
      <c r="W121" s="679" t="s">
        <v>23</v>
      </c>
      <c r="X121" s="679" t="s">
        <v>23</v>
      </c>
      <c r="Y121" s="703">
        <v>44008</v>
      </c>
      <c r="Z121" s="703" t="s">
        <v>23</v>
      </c>
      <c r="AA121" s="678" t="s">
        <v>3110</v>
      </c>
      <c r="AB121" s="750" t="s">
        <v>917</v>
      </c>
      <c r="AC121" s="679" t="s">
        <v>22</v>
      </c>
      <c r="AD121" s="679" t="s">
        <v>439</v>
      </c>
      <c r="AE121" s="679" t="s">
        <v>918</v>
      </c>
    </row>
    <row r="122" spans="1:31" ht="150" customHeight="1" x14ac:dyDescent="0.2">
      <c r="A122" s="696">
        <v>611632</v>
      </c>
      <c r="B122" s="696" t="s">
        <v>31</v>
      </c>
      <c r="C122" s="696" t="s">
        <v>987</v>
      </c>
      <c r="D122" s="696" t="s">
        <v>36</v>
      </c>
      <c r="E122" s="701">
        <v>42649</v>
      </c>
      <c r="F122" s="696" t="s">
        <v>988</v>
      </c>
      <c r="G122" s="696" t="s">
        <v>33</v>
      </c>
      <c r="H122" s="696" t="s">
        <v>989</v>
      </c>
      <c r="I122" s="696" t="s">
        <v>990</v>
      </c>
      <c r="J122" s="696" t="s">
        <v>16</v>
      </c>
      <c r="K122" s="696" t="s">
        <v>2710</v>
      </c>
      <c r="L122" s="696" t="s">
        <v>991</v>
      </c>
      <c r="M122" s="698" t="s">
        <v>992</v>
      </c>
      <c r="N122" s="696" t="s">
        <v>993</v>
      </c>
      <c r="O122" s="696" t="s">
        <v>17</v>
      </c>
      <c r="P122" s="696" t="s">
        <v>17</v>
      </c>
      <c r="Q122" s="696"/>
      <c r="R122" s="696" t="s">
        <v>994</v>
      </c>
      <c r="S122" s="679" t="s">
        <v>64</v>
      </c>
      <c r="T122" s="696" t="s">
        <v>17</v>
      </c>
      <c r="U122" s="696" t="s">
        <v>17</v>
      </c>
      <c r="V122" s="696" t="s">
        <v>17</v>
      </c>
      <c r="W122" s="696" t="s">
        <v>17</v>
      </c>
      <c r="X122" s="696" t="s">
        <v>17</v>
      </c>
      <c r="Y122" s="696" t="s">
        <v>17</v>
      </c>
      <c r="Z122" s="696" t="s">
        <v>17</v>
      </c>
      <c r="AA122" s="678" t="s">
        <v>3110</v>
      </c>
      <c r="AB122" s="696" t="s">
        <v>995</v>
      </c>
      <c r="AC122" s="696" t="s">
        <v>19</v>
      </c>
      <c r="AD122" s="696" t="s">
        <v>341</v>
      </c>
      <c r="AE122" s="696" t="s">
        <v>996</v>
      </c>
    </row>
    <row r="123" spans="1:31" ht="150" customHeight="1" x14ac:dyDescent="0.2">
      <c r="A123" s="696">
        <v>380929</v>
      </c>
      <c r="B123" s="696" t="s">
        <v>31</v>
      </c>
      <c r="C123" s="696" t="s">
        <v>1160</v>
      </c>
      <c r="D123" s="696" t="s">
        <v>36</v>
      </c>
      <c r="E123" s="701">
        <v>40193</v>
      </c>
      <c r="F123" s="696" t="s">
        <v>1161</v>
      </c>
      <c r="G123" s="696" t="s">
        <v>15</v>
      </c>
      <c r="H123" s="696" t="s">
        <v>296</v>
      </c>
      <c r="I123" s="696" t="s">
        <v>1162</v>
      </c>
      <c r="J123" s="696" t="s">
        <v>16</v>
      </c>
      <c r="K123" s="696" t="s">
        <v>298</v>
      </c>
      <c r="L123" s="696" t="s">
        <v>1163</v>
      </c>
      <c r="M123" s="698" t="s">
        <v>1163</v>
      </c>
      <c r="N123" s="696" t="s">
        <v>1162</v>
      </c>
      <c r="O123" s="679" t="s">
        <v>23</v>
      </c>
      <c r="P123" s="679" t="s">
        <v>23</v>
      </c>
      <c r="Q123" s="696"/>
      <c r="R123" s="704">
        <v>3768</v>
      </c>
      <c r="S123" s="679" t="s">
        <v>64</v>
      </c>
      <c r="T123" s="682">
        <v>9000</v>
      </c>
      <c r="U123" s="679" t="s">
        <v>23</v>
      </c>
      <c r="V123" s="679" t="s">
        <v>23</v>
      </c>
      <c r="W123" s="679" t="s">
        <v>23</v>
      </c>
      <c r="X123" s="679" t="s">
        <v>23</v>
      </c>
      <c r="Y123" s="703">
        <v>42073</v>
      </c>
      <c r="Z123" s="703" t="s">
        <v>23</v>
      </c>
      <c r="AA123" s="678" t="s">
        <v>3110</v>
      </c>
      <c r="AB123" s="678" t="s">
        <v>1165</v>
      </c>
      <c r="AC123" s="679" t="s">
        <v>122</v>
      </c>
      <c r="AD123" s="679" t="s">
        <v>2475</v>
      </c>
      <c r="AE123" s="696" t="s">
        <v>1166</v>
      </c>
    </row>
    <row r="124" spans="1:31" ht="150" customHeight="1" x14ac:dyDescent="0.2">
      <c r="A124" s="698" t="s">
        <v>123</v>
      </c>
      <c r="B124" s="696" t="s">
        <v>31</v>
      </c>
      <c r="C124" s="705" t="s">
        <v>3868</v>
      </c>
      <c r="D124" s="696" t="s">
        <v>36</v>
      </c>
      <c r="E124" s="701">
        <v>44034</v>
      </c>
      <c r="F124" s="696" t="s">
        <v>564</v>
      </c>
      <c r="G124" s="696" t="s">
        <v>15</v>
      </c>
      <c r="H124" s="698" t="s">
        <v>296</v>
      </c>
      <c r="I124" s="698" t="s">
        <v>1179</v>
      </c>
      <c r="J124" s="696" t="s">
        <v>16</v>
      </c>
      <c r="K124" s="696" t="s">
        <v>298</v>
      </c>
      <c r="L124" s="696" t="s">
        <v>1180</v>
      </c>
      <c r="M124" s="753" t="s">
        <v>1181</v>
      </c>
      <c r="N124" s="751" t="s">
        <v>1182</v>
      </c>
      <c r="O124" s="679" t="s">
        <v>17</v>
      </c>
      <c r="P124" s="679" t="s">
        <v>17</v>
      </c>
      <c r="Q124" s="696"/>
      <c r="R124" s="754" t="s">
        <v>1183</v>
      </c>
      <c r="S124" s="679" t="s">
        <v>38</v>
      </c>
      <c r="T124" s="707" t="s">
        <v>124</v>
      </c>
      <c r="U124" s="724" t="s">
        <v>1057</v>
      </c>
      <c r="V124" s="707" t="s">
        <v>17</v>
      </c>
      <c r="W124" s="707" t="s">
        <v>17</v>
      </c>
      <c r="X124" s="707" t="s">
        <v>17</v>
      </c>
      <c r="Y124" s="707" t="s">
        <v>3869</v>
      </c>
      <c r="Z124" s="707" t="s">
        <v>3870</v>
      </c>
      <c r="AA124" s="678" t="s">
        <v>3110</v>
      </c>
      <c r="AB124" s="707" t="s">
        <v>3871</v>
      </c>
      <c r="AC124" s="679" t="s">
        <v>22</v>
      </c>
      <c r="AD124" s="679"/>
      <c r="AE124" s="696" t="s">
        <v>1185</v>
      </c>
    </row>
    <row r="125" spans="1:31" ht="150" customHeight="1" x14ac:dyDescent="0.2">
      <c r="A125" s="696">
        <v>334859</v>
      </c>
      <c r="B125" s="696" t="s">
        <v>31</v>
      </c>
      <c r="C125" s="696" t="s">
        <v>1251</v>
      </c>
      <c r="D125" s="696" t="s">
        <v>36</v>
      </c>
      <c r="E125" s="701">
        <v>40165</v>
      </c>
      <c r="F125" s="696" t="s">
        <v>1252</v>
      </c>
      <c r="G125" s="696" t="s">
        <v>33</v>
      </c>
      <c r="H125" s="696" t="s">
        <v>296</v>
      </c>
      <c r="I125" s="696" t="s">
        <v>1253</v>
      </c>
      <c r="J125" s="696" t="s">
        <v>16</v>
      </c>
      <c r="K125" s="696" t="s">
        <v>298</v>
      </c>
      <c r="L125" s="696" t="s">
        <v>2909</v>
      </c>
      <c r="M125" s="698" t="s">
        <v>1254</v>
      </c>
      <c r="N125" s="696" t="s">
        <v>1255</v>
      </c>
      <c r="O125" s="679" t="s">
        <v>23</v>
      </c>
      <c r="P125" s="679" t="s">
        <v>23</v>
      </c>
      <c r="Q125" s="696"/>
      <c r="R125" s="704">
        <v>3826</v>
      </c>
      <c r="S125" s="679" t="s">
        <v>59</v>
      </c>
      <c r="T125" s="682">
        <v>7030</v>
      </c>
      <c r="U125" s="679" t="s">
        <v>23</v>
      </c>
      <c r="V125" s="679" t="s">
        <v>23</v>
      </c>
      <c r="W125" s="679" t="s">
        <v>23</v>
      </c>
      <c r="X125" s="679" t="s">
        <v>23</v>
      </c>
      <c r="Y125" s="703">
        <v>40704</v>
      </c>
      <c r="Z125" s="703">
        <v>40983</v>
      </c>
      <c r="AA125" s="679" t="s">
        <v>1256</v>
      </c>
      <c r="AB125" s="678" t="s">
        <v>1257</v>
      </c>
      <c r="AC125" s="679" t="s">
        <v>22</v>
      </c>
      <c r="AD125" s="679" t="s">
        <v>3872</v>
      </c>
      <c r="AE125" s="696" t="s">
        <v>546</v>
      </c>
    </row>
    <row r="126" spans="1:31" ht="150" customHeight="1" x14ac:dyDescent="0.2">
      <c r="A126" s="696">
        <v>529997</v>
      </c>
      <c r="B126" s="696" t="s">
        <v>31</v>
      </c>
      <c r="C126" s="696" t="s">
        <v>1267</v>
      </c>
      <c r="D126" s="696" t="s">
        <v>36</v>
      </c>
      <c r="E126" s="701">
        <v>42539</v>
      </c>
      <c r="F126" s="696" t="s">
        <v>1268</v>
      </c>
      <c r="G126" s="696" t="s">
        <v>33</v>
      </c>
      <c r="H126" s="696" t="s">
        <v>296</v>
      </c>
      <c r="I126" s="696" t="s">
        <v>1269</v>
      </c>
      <c r="J126" s="696" t="s">
        <v>16</v>
      </c>
      <c r="K126" s="696" t="s">
        <v>298</v>
      </c>
      <c r="L126" s="696" t="s">
        <v>2909</v>
      </c>
      <c r="M126" s="698" t="s">
        <v>1270</v>
      </c>
      <c r="N126" s="696" t="s">
        <v>1271</v>
      </c>
      <c r="O126" s="679" t="s">
        <v>23</v>
      </c>
      <c r="P126" s="679" t="s">
        <v>23</v>
      </c>
      <c r="Q126" s="696"/>
      <c r="R126" s="704" t="s">
        <v>1272</v>
      </c>
      <c r="S126" s="679" t="s">
        <v>68</v>
      </c>
      <c r="T126" s="682">
        <v>1534</v>
      </c>
      <c r="U126" s="679" t="s">
        <v>23</v>
      </c>
      <c r="V126" s="679" t="s">
        <v>23</v>
      </c>
      <c r="W126" s="679" t="s">
        <v>23</v>
      </c>
      <c r="X126" s="679" t="s">
        <v>23</v>
      </c>
      <c r="Y126" s="703">
        <v>44258</v>
      </c>
      <c r="Z126" s="679" t="s">
        <v>23</v>
      </c>
      <c r="AA126" s="678" t="s">
        <v>3110</v>
      </c>
      <c r="AB126" s="696" t="s">
        <v>1273</v>
      </c>
      <c r="AC126" s="679" t="s">
        <v>22</v>
      </c>
      <c r="AD126" s="679" t="s">
        <v>439</v>
      </c>
      <c r="AE126" s="696" t="s">
        <v>546</v>
      </c>
    </row>
    <row r="127" spans="1:31" ht="150" customHeight="1" x14ac:dyDescent="0.2">
      <c r="A127" s="696">
        <v>362094</v>
      </c>
      <c r="B127" s="696" t="s">
        <v>31</v>
      </c>
      <c r="C127" s="696" t="s">
        <v>1274</v>
      </c>
      <c r="D127" s="696" t="s">
        <v>36</v>
      </c>
      <c r="E127" s="701">
        <v>40707</v>
      </c>
      <c r="F127" s="696" t="s">
        <v>1242</v>
      </c>
      <c r="G127" s="696" t="s">
        <v>39</v>
      </c>
      <c r="H127" s="696" t="s">
        <v>296</v>
      </c>
      <c r="I127" s="696" t="s">
        <v>1275</v>
      </c>
      <c r="J127" s="696" t="s">
        <v>16</v>
      </c>
      <c r="K127" s="696" t="s">
        <v>298</v>
      </c>
      <c r="L127" s="696" t="s">
        <v>2909</v>
      </c>
      <c r="M127" s="698" t="s">
        <v>1277</v>
      </c>
      <c r="N127" s="696" t="s">
        <v>1278</v>
      </c>
      <c r="O127" s="679" t="s">
        <v>1279</v>
      </c>
      <c r="P127" s="679" t="s">
        <v>1279</v>
      </c>
      <c r="Q127" s="696"/>
      <c r="R127" s="704">
        <v>3962</v>
      </c>
      <c r="S127" s="679" t="s">
        <v>61</v>
      </c>
      <c r="T127" s="682" t="s">
        <v>125</v>
      </c>
      <c r="U127" s="679" t="s">
        <v>65</v>
      </c>
      <c r="V127" s="679" t="s">
        <v>65</v>
      </c>
      <c r="W127" s="679" t="s">
        <v>65</v>
      </c>
      <c r="X127" s="679" t="s">
        <v>65</v>
      </c>
      <c r="Y127" s="703">
        <v>42070</v>
      </c>
      <c r="Z127" s="703" t="s">
        <v>23</v>
      </c>
      <c r="AA127" s="679" t="s">
        <v>1280</v>
      </c>
      <c r="AB127" s="679" t="s">
        <v>1281</v>
      </c>
      <c r="AC127" s="679" t="s">
        <v>77</v>
      </c>
      <c r="AD127" s="679" t="s">
        <v>439</v>
      </c>
      <c r="AE127" s="696" t="s">
        <v>322</v>
      </c>
    </row>
    <row r="128" spans="1:31" ht="150" customHeight="1" x14ac:dyDescent="0.2">
      <c r="A128" s="696" t="s">
        <v>17</v>
      </c>
      <c r="B128" s="696" t="s">
        <v>31</v>
      </c>
      <c r="C128" s="696" t="s">
        <v>1305</v>
      </c>
      <c r="D128" s="696" t="s">
        <v>36</v>
      </c>
      <c r="E128" s="701">
        <v>42996</v>
      </c>
      <c r="F128" s="696" t="s">
        <v>1306</v>
      </c>
      <c r="G128" s="696" t="s">
        <v>39</v>
      </c>
      <c r="H128" s="696" t="s">
        <v>1307</v>
      </c>
      <c r="I128" s="696" t="s">
        <v>1308</v>
      </c>
      <c r="J128" s="696" t="s">
        <v>16</v>
      </c>
      <c r="K128" s="696" t="s">
        <v>2710</v>
      </c>
      <c r="L128" s="696" t="s">
        <v>1309</v>
      </c>
      <c r="M128" s="698" t="s">
        <v>1309</v>
      </c>
      <c r="N128" s="696" t="s">
        <v>1310</v>
      </c>
      <c r="O128" s="679" t="s">
        <v>23</v>
      </c>
      <c r="P128" s="679" t="s">
        <v>23</v>
      </c>
      <c r="Q128" s="696"/>
      <c r="R128" s="678" t="s">
        <v>1311</v>
      </c>
      <c r="S128" s="679" t="s">
        <v>38</v>
      </c>
      <c r="T128" s="682" t="s">
        <v>126</v>
      </c>
      <c r="U128" s="679" t="s">
        <v>23</v>
      </c>
      <c r="V128" s="679" t="s">
        <v>23</v>
      </c>
      <c r="W128" s="679" t="s">
        <v>23</v>
      </c>
      <c r="X128" s="679" t="s">
        <v>23</v>
      </c>
      <c r="Y128" s="679" t="s">
        <v>23</v>
      </c>
      <c r="Z128" s="679" t="s">
        <v>23</v>
      </c>
      <c r="AA128" s="678" t="s">
        <v>3110</v>
      </c>
      <c r="AB128" s="678" t="s">
        <v>1312</v>
      </c>
      <c r="AC128" s="679" t="s">
        <v>19</v>
      </c>
      <c r="AD128" s="679" t="s">
        <v>439</v>
      </c>
      <c r="AE128" s="679" t="s">
        <v>448</v>
      </c>
    </row>
    <row r="129" spans="1:31" ht="150" customHeight="1" x14ac:dyDescent="0.2">
      <c r="A129" s="696">
        <v>419901</v>
      </c>
      <c r="B129" s="696" t="s">
        <v>31</v>
      </c>
      <c r="C129" s="696" t="s">
        <v>1337</v>
      </c>
      <c r="D129" s="696" t="s">
        <v>36</v>
      </c>
      <c r="E129" s="701">
        <v>40898</v>
      </c>
      <c r="F129" s="696" t="s">
        <v>1338</v>
      </c>
      <c r="G129" s="696" t="s">
        <v>33</v>
      </c>
      <c r="H129" s="696" t="s">
        <v>296</v>
      </c>
      <c r="I129" s="696" t="s">
        <v>1339</v>
      </c>
      <c r="J129" s="696" t="s">
        <v>16</v>
      </c>
      <c r="K129" s="696" t="s">
        <v>298</v>
      </c>
      <c r="L129" s="696" t="s">
        <v>2909</v>
      </c>
      <c r="M129" s="698" t="s">
        <v>1340</v>
      </c>
      <c r="N129" s="696" t="s">
        <v>1341</v>
      </c>
      <c r="O129" s="679" t="s">
        <v>65</v>
      </c>
      <c r="P129" s="679" t="s">
        <v>65</v>
      </c>
      <c r="Q129" s="696"/>
      <c r="R129" s="704">
        <v>3992</v>
      </c>
      <c r="S129" s="679" t="s">
        <v>61</v>
      </c>
      <c r="T129" s="682" t="s">
        <v>127</v>
      </c>
      <c r="U129" s="679" t="s">
        <v>65</v>
      </c>
      <c r="V129" s="679" t="s">
        <v>65</v>
      </c>
      <c r="W129" s="679" t="s">
        <v>65</v>
      </c>
      <c r="X129" s="679" t="s">
        <v>65</v>
      </c>
      <c r="Y129" s="703">
        <v>43868</v>
      </c>
      <c r="Z129" s="703" t="s">
        <v>23</v>
      </c>
      <c r="AA129" s="678" t="s">
        <v>3110</v>
      </c>
      <c r="AB129" s="704" t="s">
        <v>1342</v>
      </c>
      <c r="AC129" s="679" t="s">
        <v>77</v>
      </c>
      <c r="AD129" s="679" t="s">
        <v>439</v>
      </c>
      <c r="AE129" s="696" t="s">
        <v>1343</v>
      </c>
    </row>
    <row r="130" spans="1:31" ht="150" customHeight="1" x14ac:dyDescent="0.2">
      <c r="A130" s="696">
        <v>741810</v>
      </c>
      <c r="B130" s="696" t="s">
        <v>31</v>
      </c>
      <c r="C130" s="696" t="s">
        <v>1369</v>
      </c>
      <c r="D130" s="696" t="s">
        <v>78</v>
      </c>
      <c r="E130" s="701">
        <v>45174</v>
      </c>
      <c r="F130" s="696" t="s">
        <v>1370</v>
      </c>
      <c r="G130" s="696" t="s">
        <v>33</v>
      </c>
      <c r="H130" s="696" t="s">
        <v>904</v>
      </c>
      <c r="I130" s="696" t="s">
        <v>1371</v>
      </c>
      <c r="J130" s="696" t="s">
        <v>16</v>
      </c>
      <c r="K130" s="696" t="s">
        <v>298</v>
      </c>
      <c r="L130" s="696" t="s">
        <v>2909</v>
      </c>
      <c r="M130" s="698" t="s">
        <v>1373</v>
      </c>
      <c r="N130" s="696" t="s">
        <v>1374</v>
      </c>
      <c r="O130" s="696" t="s">
        <v>17</v>
      </c>
      <c r="P130" s="696" t="s">
        <v>17</v>
      </c>
      <c r="Q130" s="696"/>
      <c r="R130" s="696" t="s">
        <v>1375</v>
      </c>
      <c r="S130" s="696" t="s">
        <v>41</v>
      </c>
      <c r="T130" s="696" t="s">
        <v>128</v>
      </c>
      <c r="U130" s="696" t="s">
        <v>17</v>
      </c>
      <c r="V130" s="696" t="s">
        <v>17</v>
      </c>
      <c r="W130" s="696" t="s">
        <v>17</v>
      </c>
      <c r="X130" s="696" t="s">
        <v>17</v>
      </c>
      <c r="Y130" s="696" t="s">
        <v>23</v>
      </c>
      <c r="Z130" s="696" t="s">
        <v>23</v>
      </c>
      <c r="AA130" s="678" t="s">
        <v>3110</v>
      </c>
      <c r="AB130" s="696" t="s">
        <v>1376</v>
      </c>
      <c r="AC130" s="696" t="s">
        <v>19</v>
      </c>
      <c r="AD130" s="696" t="s">
        <v>439</v>
      </c>
      <c r="AE130" s="696" t="s">
        <v>448</v>
      </c>
    </row>
    <row r="131" spans="1:31" ht="150" customHeight="1" x14ac:dyDescent="0.2">
      <c r="A131" s="696">
        <v>692106</v>
      </c>
      <c r="B131" s="696" t="s">
        <v>31</v>
      </c>
      <c r="C131" s="696" t="s">
        <v>1569</v>
      </c>
      <c r="D131" s="696" t="s">
        <v>36</v>
      </c>
      <c r="E131" s="701">
        <v>44866</v>
      </c>
      <c r="F131" s="696" t="s">
        <v>935</v>
      </c>
      <c r="G131" s="696" t="s">
        <v>33</v>
      </c>
      <c r="H131" s="696" t="s">
        <v>296</v>
      </c>
      <c r="I131" s="696" t="s">
        <v>1570</v>
      </c>
      <c r="J131" s="696" t="s">
        <v>16</v>
      </c>
      <c r="K131" s="696" t="s">
        <v>298</v>
      </c>
      <c r="L131" s="696" t="s">
        <v>2909</v>
      </c>
      <c r="M131" s="698" t="s">
        <v>458</v>
      </c>
      <c r="N131" s="696" t="s">
        <v>1571</v>
      </c>
      <c r="O131" s="679" t="s">
        <v>17</v>
      </c>
      <c r="P131" s="679" t="s">
        <v>17</v>
      </c>
      <c r="Q131" s="696"/>
      <c r="R131" s="678" t="s">
        <v>1572</v>
      </c>
      <c r="S131" s="679" t="s">
        <v>18</v>
      </c>
      <c r="T131" s="682" t="s">
        <v>129</v>
      </c>
      <c r="U131" s="679" t="s">
        <v>460</v>
      </c>
      <c r="V131" s="723" t="s">
        <v>17</v>
      </c>
      <c r="W131" s="682" t="s">
        <v>17</v>
      </c>
      <c r="X131" s="679" t="s">
        <v>17</v>
      </c>
      <c r="Y131" s="703" t="s">
        <v>17</v>
      </c>
      <c r="Z131" s="703" t="s">
        <v>17</v>
      </c>
      <c r="AA131" s="678" t="s">
        <v>3110</v>
      </c>
      <c r="AB131" s="678" t="s">
        <v>1573</v>
      </c>
      <c r="AC131" s="679" t="s">
        <v>19</v>
      </c>
      <c r="AD131" s="679"/>
      <c r="AE131" s="696" t="s">
        <v>440</v>
      </c>
    </row>
    <row r="132" spans="1:31" ht="150" customHeight="1" x14ac:dyDescent="0.2">
      <c r="A132" s="696">
        <v>527527</v>
      </c>
      <c r="B132" s="696" t="s">
        <v>31</v>
      </c>
      <c r="C132" s="696" t="s">
        <v>1579</v>
      </c>
      <c r="D132" s="696" t="s">
        <v>36</v>
      </c>
      <c r="E132" s="701">
        <v>42306</v>
      </c>
      <c r="F132" s="696" t="s">
        <v>1580</v>
      </c>
      <c r="G132" s="696" t="s">
        <v>33</v>
      </c>
      <c r="H132" s="696" t="s">
        <v>296</v>
      </c>
      <c r="I132" s="696" t="s">
        <v>1581</v>
      </c>
      <c r="J132" s="696" t="s">
        <v>16</v>
      </c>
      <c r="K132" s="696" t="s">
        <v>298</v>
      </c>
      <c r="L132" s="696" t="s">
        <v>2909</v>
      </c>
      <c r="M132" s="698" t="s">
        <v>1582</v>
      </c>
      <c r="N132" s="696" t="s">
        <v>1583</v>
      </c>
      <c r="O132" s="679" t="s">
        <v>23</v>
      </c>
      <c r="P132" s="679" t="s">
        <v>23</v>
      </c>
      <c r="Q132" s="696"/>
      <c r="R132" s="704" t="s">
        <v>1584</v>
      </c>
      <c r="S132" s="679" t="s">
        <v>41</v>
      </c>
      <c r="T132" s="682">
        <v>15682</v>
      </c>
      <c r="U132" s="679" t="s">
        <v>23</v>
      </c>
      <c r="V132" s="679" t="s">
        <v>23</v>
      </c>
      <c r="W132" s="679" t="s">
        <v>23</v>
      </c>
      <c r="X132" s="679" t="s">
        <v>23</v>
      </c>
      <c r="Y132" s="679" t="s">
        <v>23</v>
      </c>
      <c r="Z132" s="679" t="s">
        <v>23</v>
      </c>
      <c r="AA132" s="678" t="s">
        <v>3110</v>
      </c>
      <c r="AB132" s="678" t="s">
        <v>3873</v>
      </c>
      <c r="AC132" s="679" t="s">
        <v>19</v>
      </c>
      <c r="AD132" s="679" t="s">
        <v>439</v>
      </c>
      <c r="AE132" s="679" t="s">
        <v>448</v>
      </c>
    </row>
    <row r="133" spans="1:31" ht="150" customHeight="1" x14ac:dyDescent="0.2">
      <c r="A133" s="696">
        <v>537078</v>
      </c>
      <c r="B133" s="696" t="s">
        <v>31</v>
      </c>
      <c r="C133" s="696" t="s">
        <v>1618</v>
      </c>
      <c r="D133" s="696" t="s">
        <v>36</v>
      </c>
      <c r="E133" s="701">
        <v>42286</v>
      </c>
      <c r="F133" s="696" t="s">
        <v>1619</v>
      </c>
      <c r="G133" s="696" t="s">
        <v>33</v>
      </c>
      <c r="H133" s="696" t="s">
        <v>296</v>
      </c>
      <c r="I133" s="696" t="s">
        <v>1620</v>
      </c>
      <c r="J133" s="696" t="s">
        <v>16</v>
      </c>
      <c r="K133" s="696" t="s">
        <v>298</v>
      </c>
      <c r="L133" s="696" t="s">
        <v>2909</v>
      </c>
      <c r="M133" s="698" t="s">
        <v>1621</v>
      </c>
      <c r="N133" s="696" t="s">
        <v>1622</v>
      </c>
      <c r="O133" s="679" t="s">
        <v>23</v>
      </c>
      <c r="P133" s="679" t="s">
        <v>23</v>
      </c>
      <c r="Q133" s="696"/>
      <c r="R133" s="678" t="s">
        <v>1623</v>
      </c>
      <c r="S133" s="679" t="s">
        <v>43</v>
      </c>
      <c r="T133" s="682">
        <v>670</v>
      </c>
      <c r="U133" s="679" t="s">
        <v>23</v>
      </c>
      <c r="V133" s="679" t="s">
        <v>23</v>
      </c>
      <c r="W133" s="679" t="s">
        <v>23</v>
      </c>
      <c r="X133" s="679" t="s">
        <v>23</v>
      </c>
      <c r="Y133" s="679" t="s">
        <v>23</v>
      </c>
      <c r="Z133" s="679" t="s">
        <v>23</v>
      </c>
      <c r="AA133" s="678" t="s">
        <v>3110</v>
      </c>
      <c r="AB133" s="678" t="s">
        <v>1624</v>
      </c>
      <c r="AC133" s="679" t="s">
        <v>19</v>
      </c>
      <c r="AD133" s="679" t="s">
        <v>439</v>
      </c>
      <c r="AE133" s="696" t="s">
        <v>1625</v>
      </c>
    </row>
    <row r="134" spans="1:31" ht="150" customHeight="1" x14ac:dyDescent="0.3">
      <c r="A134" s="696">
        <v>761945</v>
      </c>
      <c r="B134" s="696" t="s">
        <v>31</v>
      </c>
      <c r="C134" s="758" t="s">
        <v>3874</v>
      </c>
      <c r="D134" s="696" t="s">
        <v>36</v>
      </c>
      <c r="E134" s="701">
        <v>44484</v>
      </c>
      <c r="F134" s="696" t="s">
        <v>1708</v>
      </c>
      <c r="G134" s="696" t="s">
        <v>33</v>
      </c>
      <c r="H134" s="696" t="s">
        <v>1709</v>
      </c>
      <c r="I134" s="735" t="s">
        <v>1710</v>
      </c>
      <c r="J134" s="696" t="s">
        <v>16</v>
      </c>
      <c r="K134" s="696" t="s">
        <v>2710</v>
      </c>
      <c r="L134" s="696" t="s">
        <v>1711</v>
      </c>
      <c r="M134" s="759" t="s">
        <v>1712</v>
      </c>
      <c r="N134" s="696" t="s">
        <v>23</v>
      </c>
      <c r="O134" s="696" t="s">
        <v>17</v>
      </c>
      <c r="P134" s="696" t="s">
        <v>17</v>
      </c>
      <c r="Q134" s="696"/>
      <c r="R134" s="696" t="s">
        <v>1713</v>
      </c>
      <c r="S134" s="679" t="s">
        <v>64</v>
      </c>
      <c r="T134" s="696" t="s">
        <v>17</v>
      </c>
      <c r="U134" s="696" t="s">
        <v>17</v>
      </c>
      <c r="V134" s="696" t="s">
        <v>23</v>
      </c>
      <c r="W134" s="696" t="s">
        <v>23</v>
      </c>
      <c r="X134" s="696" t="s">
        <v>23</v>
      </c>
      <c r="Y134" s="696" t="s">
        <v>23</v>
      </c>
      <c r="Z134" s="696" t="s">
        <v>23</v>
      </c>
      <c r="AA134" s="678" t="s">
        <v>3110</v>
      </c>
      <c r="AB134" s="735" t="s">
        <v>1714</v>
      </c>
      <c r="AC134" s="696" t="s">
        <v>19</v>
      </c>
      <c r="AD134" s="696" t="s">
        <v>341</v>
      </c>
      <c r="AE134" s="696" t="s">
        <v>448</v>
      </c>
    </row>
    <row r="135" spans="1:31" ht="150" customHeight="1" x14ac:dyDescent="0.2">
      <c r="A135" s="696">
        <v>745899</v>
      </c>
      <c r="B135" s="696" t="s">
        <v>31</v>
      </c>
      <c r="C135" s="696" t="s">
        <v>1723</v>
      </c>
      <c r="D135" s="696" t="s">
        <v>36</v>
      </c>
      <c r="E135" s="701">
        <v>45243</v>
      </c>
      <c r="F135" s="696" t="s">
        <v>1724</v>
      </c>
      <c r="G135" s="696" t="s">
        <v>33</v>
      </c>
      <c r="H135" s="696" t="s">
        <v>1725</v>
      </c>
      <c r="I135" s="696" t="s">
        <v>1726</v>
      </c>
      <c r="J135" s="696" t="s">
        <v>16</v>
      </c>
      <c r="K135" s="696" t="s">
        <v>298</v>
      </c>
      <c r="L135" s="696" t="s">
        <v>2711</v>
      </c>
      <c r="M135" s="698" t="s">
        <v>1728</v>
      </c>
      <c r="N135" s="742" t="s">
        <v>1720</v>
      </c>
      <c r="O135" s="696" t="s">
        <v>17</v>
      </c>
      <c r="P135" s="696" t="s">
        <v>17</v>
      </c>
      <c r="Q135" s="679"/>
      <c r="R135" s="696" t="s">
        <v>1721</v>
      </c>
      <c r="S135" s="696" t="s">
        <v>41</v>
      </c>
      <c r="T135" s="696">
        <v>3643</v>
      </c>
      <c r="U135" s="696" t="s">
        <v>17</v>
      </c>
      <c r="V135" s="696" t="s">
        <v>17</v>
      </c>
      <c r="W135" s="696" t="s">
        <v>17</v>
      </c>
      <c r="X135" s="696" t="s">
        <v>17</v>
      </c>
      <c r="Y135" s="696" t="s">
        <v>17</v>
      </c>
      <c r="Z135" s="696" t="s">
        <v>17</v>
      </c>
      <c r="AA135" s="678" t="s">
        <v>3110</v>
      </c>
      <c r="AB135" s="696" t="s">
        <v>1729</v>
      </c>
      <c r="AC135" s="696" t="s">
        <v>19</v>
      </c>
      <c r="AD135" s="679" t="s">
        <v>17</v>
      </c>
      <c r="AE135" s="696" t="s">
        <v>1932</v>
      </c>
    </row>
    <row r="136" spans="1:31" ht="150" customHeight="1" x14ac:dyDescent="0.2">
      <c r="A136" s="696" t="s">
        <v>3875</v>
      </c>
      <c r="B136" s="696" t="s">
        <v>31</v>
      </c>
      <c r="C136" s="696" t="s">
        <v>1750</v>
      </c>
      <c r="D136" s="696" t="s">
        <v>36</v>
      </c>
      <c r="E136" s="701">
        <v>40165</v>
      </c>
      <c r="F136" s="696" t="s">
        <v>1525</v>
      </c>
      <c r="G136" s="696" t="s">
        <v>33</v>
      </c>
      <c r="H136" s="696" t="s">
        <v>296</v>
      </c>
      <c r="I136" s="696" t="s">
        <v>1751</v>
      </c>
      <c r="J136" s="696" t="s">
        <v>16</v>
      </c>
      <c r="K136" s="696" t="s">
        <v>298</v>
      </c>
      <c r="L136" s="696" t="s">
        <v>2909</v>
      </c>
      <c r="M136" s="698" t="s">
        <v>1752</v>
      </c>
      <c r="N136" s="696" t="s">
        <v>1753</v>
      </c>
      <c r="O136" s="679" t="s">
        <v>23</v>
      </c>
      <c r="P136" s="679" t="s">
        <v>23</v>
      </c>
      <c r="Q136" s="696"/>
      <c r="R136" s="704" t="s">
        <v>1754</v>
      </c>
      <c r="S136" s="679" t="s">
        <v>41</v>
      </c>
      <c r="T136" s="682">
        <v>19353</v>
      </c>
      <c r="U136" s="679" t="s">
        <v>23</v>
      </c>
      <c r="V136" s="679" t="s">
        <v>23</v>
      </c>
      <c r="W136" s="679" t="s">
        <v>23</v>
      </c>
      <c r="X136" s="679" t="s">
        <v>23</v>
      </c>
      <c r="Y136" s="703">
        <v>42611</v>
      </c>
      <c r="Z136" s="703" t="s">
        <v>23</v>
      </c>
      <c r="AA136" s="679" t="s">
        <v>1755</v>
      </c>
      <c r="AB136" s="678" t="s">
        <v>1756</v>
      </c>
      <c r="AC136" s="679" t="s">
        <v>22</v>
      </c>
      <c r="AD136" s="679" t="s">
        <v>439</v>
      </c>
      <c r="AE136" s="696" t="s">
        <v>546</v>
      </c>
    </row>
    <row r="137" spans="1:31" ht="150" customHeight="1" x14ac:dyDescent="0.2">
      <c r="A137" s="696">
        <v>684272</v>
      </c>
      <c r="B137" s="696" t="s">
        <v>31</v>
      </c>
      <c r="C137" s="696" t="s">
        <v>3876</v>
      </c>
      <c r="D137" s="696" t="s">
        <v>36</v>
      </c>
      <c r="E137" s="701">
        <v>44237</v>
      </c>
      <c r="F137" s="696" t="s">
        <v>1765</v>
      </c>
      <c r="G137" s="696" t="s">
        <v>15</v>
      </c>
      <c r="H137" s="696" t="s">
        <v>1169</v>
      </c>
      <c r="I137" s="696" t="s">
        <v>1766</v>
      </c>
      <c r="J137" s="696" t="s">
        <v>16</v>
      </c>
      <c r="K137" s="696" t="s">
        <v>298</v>
      </c>
      <c r="L137" s="696" t="s">
        <v>2711</v>
      </c>
      <c r="M137" s="698" t="s">
        <v>1768</v>
      </c>
      <c r="N137" s="696" t="s">
        <v>1769</v>
      </c>
      <c r="O137" s="696" t="s">
        <v>17</v>
      </c>
      <c r="P137" s="696" t="s">
        <v>17</v>
      </c>
      <c r="Q137" s="679"/>
      <c r="R137" s="696" t="s">
        <v>1770</v>
      </c>
      <c r="S137" s="679" t="s">
        <v>38</v>
      </c>
      <c r="T137" s="696" t="s">
        <v>130</v>
      </c>
      <c r="U137" s="696" t="s">
        <v>17</v>
      </c>
      <c r="V137" s="696" t="s">
        <v>17</v>
      </c>
      <c r="W137" s="696" t="s">
        <v>17</v>
      </c>
      <c r="X137" s="696" t="s">
        <v>17</v>
      </c>
      <c r="Y137" s="696" t="s">
        <v>3877</v>
      </c>
      <c r="Z137" s="696" t="s">
        <v>3878</v>
      </c>
      <c r="AA137" s="678" t="s">
        <v>3110</v>
      </c>
      <c r="AB137" s="696" t="s">
        <v>3879</v>
      </c>
      <c r="AC137" s="679" t="s">
        <v>22</v>
      </c>
      <c r="AD137" s="679" t="s">
        <v>17</v>
      </c>
      <c r="AE137" s="696" t="s">
        <v>3880</v>
      </c>
    </row>
    <row r="138" spans="1:31" ht="150" customHeight="1" x14ac:dyDescent="0.3">
      <c r="A138" s="696">
        <v>503787</v>
      </c>
      <c r="B138" s="696" t="s">
        <v>31</v>
      </c>
      <c r="C138" s="696" t="s">
        <v>1832</v>
      </c>
      <c r="D138" s="696" t="s">
        <v>36</v>
      </c>
      <c r="E138" s="701">
        <v>42171</v>
      </c>
      <c r="F138" s="696" t="s">
        <v>857</v>
      </c>
      <c r="G138" s="696" t="s">
        <v>33</v>
      </c>
      <c r="H138" s="696" t="s">
        <v>296</v>
      </c>
      <c r="I138" s="696" t="s">
        <v>1833</v>
      </c>
      <c r="J138" s="696" t="s">
        <v>16</v>
      </c>
      <c r="K138" s="696" t="s">
        <v>298</v>
      </c>
      <c r="L138" s="696" t="s">
        <v>2909</v>
      </c>
      <c r="M138" s="698" t="s">
        <v>1834</v>
      </c>
      <c r="N138" s="696" t="s">
        <v>1835</v>
      </c>
      <c r="O138" s="679" t="s">
        <v>23</v>
      </c>
      <c r="P138" s="679" t="s">
        <v>23</v>
      </c>
      <c r="Q138" s="696"/>
      <c r="R138" s="704" t="s">
        <v>1836</v>
      </c>
      <c r="S138" s="679" t="s">
        <v>38</v>
      </c>
      <c r="T138" s="682">
        <v>5188</v>
      </c>
      <c r="U138" s="679" t="s">
        <v>23</v>
      </c>
      <c r="V138" s="679" t="s">
        <v>23</v>
      </c>
      <c r="W138" s="679" t="s">
        <v>23</v>
      </c>
      <c r="X138" s="679" t="s">
        <v>23</v>
      </c>
      <c r="Y138" s="701">
        <v>43682</v>
      </c>
      <c r="Z138" s="679" t="s">
        <v>23</v>
      </c>
      <c r="AA138" s="678" t="s">
        <v>3110</v>
      </c>
      <c r="AB138" s="735" t="s">
        <v>1837</v>
      </c>
      <c r="AC138" s="679" t="s">
        <v>22</v>
      </c>
      <c r="AD138" s="679" t="s">
        <v>439</v>
      </c>
      <c r="AE138" s="696" t="s">
        <v>709</v>
      </c>
    </row>
    <row r="139" spans="1:31" ht="150" customHeight="1" x14ac:dyDescent="0.2">
      <c r="A139" s="696">
        <v>503813</v>
      </c>
      <c r="B139" s="696" t="s">
        <v>31</v>
      </c>
      <c r="C139" s="696" t="s">
        <v>1838</v>
      </c>
      <c r="D139" s="696" t="s">
        <v>36</v>
      </c>
      <c r="E139" s="701">
        <v>42170</v>
      </c>
      <c r="F139" s="696" t="s">
        <v>857</v>
      </c>
      <c r="G139" s="696" t="s">
        <v>39</v>
      </c>
      <c r="H139" s="696" t="s">
        <v>296</v>
      </c>
      <c r="I139" s="696" t="s">
        <v>1839</v>
      </c>
      <c r="J139" s="696" t="s">
        <v>16</v>
      </c>
      <c r="K139" s="696" t="s">
        <v>298</v>
      </c>
      <c r="L139" s="696" t="s">
        <v>2909</v>
      </c>
      <c r="M139" s="698" t="s">
        <v>1840</v>
      </c>
      <c r="N139" s="696" t="s">
        <v>1841</v>
      </c>
      <c r="O139" s="679" t="s">
        <v>23</v>
      </c>
      <c r="P139" s="679" t="s">
        <v>23</v>
      </c>
      <c r="Q139" s="696"/>
      <c r="R139" s="704" t="s">
        <v>1842</v>
      </c>
      <c r="S139" s="679" t="s">
        <v>41</v>
      </c>
      <c r="T139" s="682">
        <v>180274</v>
      </c>
      <c r="U139" s="679" t="s">
        <v>23</v>
      </c>
      <c r="V139" s="679" t="s">
        <v>23</v>
      </c>
      <c r="W139" s="679" t="s">
        <v>23</v>
      </c>
      <c r="X139" s="679" t="s">
        <v>23</v>
      </c>
      <c r="Y139" s="703" t="s">
        <v>23</v>
      </c>
      <c r="Z139" s="679" t="s">
        <v>23</v>
      </c>
      <c r="AA139" s="678" t="s">
        <v>3110</v>
      </c>
      <c r="AB139" s="678" t="s">
        <v>1843</v>
      </c>
      <c r="AC139" s="679" t="s">
        <v>22</v>
      </c>
      <c r="AD139" s="679" t="s">
        <v>1844</v>
      </c>
      <c r="AE139" s="696" t="s">
        <v>877</v>
      </c>
    </row>
    <row r="140" spans="1:31" ht="150" customHeight="1" x14ac:dyDescent="0.2">
      <c r="A140" s="696" t="s">
        <v>17</v>
      </c>
      <c r="B140" s="696" t="s">
        <v>31</v>
      </c>
      <c r="C140" s="696" t="s">
        <v>1919</v>
      </c>
      <c r="D140" s="696" t="s">
        <v>36</v>
      </c>
      <c r="E140" s="701">
        <v>39418</v>
      </c>
      <c r="F140" s="696" t="s">
        <v>487</v>
      </c>
      <c r="G140" s="696" t="s">
        <v>39</v>
      </c>
      <c r="H140" s="696" t="s">
        <v>1920</v>
      </c>
      <c r="I140" s="696" t="s">
        <v>1921</v>
      </c>
      <c r="J140" s="696" t="s">
        <v>16</v>
      </c>
      <c r="K140" s="696" t="s">
        <v>327</v>
      </c>
      <c r="L140" s="696" t="s">
        <v>1922</v>
      </c>
      <c r="M140" s="698" t="s">
        <v>1923</v>
      </c>
      <c r="N140" s="696" t="s">
        <v>17</v>
      </c>
      <c r="O140" s="679" t="s">
        <v>17</v>
      </c>
      <c r="P140" s="679" t="s">
        <v>17</v>
      </c>
      <c r="Q140" s="696"/>
      <c r="R140" s="678" t="s">
        <v>17</v>
      </c>
      <c r="S140" s="679" t="s">
        <v>75</v>
      </c>
      <c r="T140" s="682" t="s">
        <v>17</v>
      </c>
      <c r="U140" s="682" t="s">
        <v>17</v>
      </c>
      <c r="V140" s="682" t="s">
        <v>17</v>
      </c>
      <c r="W140" s="682" t="s">
        <v>17</v>
      </c>
      <c r="X140" s="682" t="s">
        <v>17</v>
      </c>
      <c r="Y140" s="682" t="s">
        <v>17</v>
      </c>
      <c r="Z140" s="682" t="s">
        <v>17</v>
      </c>
      <c r="AA140" s="678" t="s">
        <v>3110</v>
      </c>
      <c r="AB140" s="696" t="s">
        <v>1924</v>
      </c>
      <c r="AC140" s="679" t="s">
        <v>19</v>
      </c>
      <c r="AD140" s="679" t="s">
        <v>17</v>
      </c>
      <c r="AE140" s="696" t="s">
        <v>1925</v>
      </c>
    </row>
    <row r="141" spans="1:31" ht="150" customHeight="1" x14ac:dyDescent="0.2">
      <c r="A141" s="696">
        <v>789093</v>
      </c>
      <c r="B141" s="696" t="s">
        <v>31</v>
      </c>
      <c r="C141" s="696" t="s">
        <v>1926</v>
      </c>
      <c r="D141" s="696" t="s">
        <v>36</v>
      </c>
      <c r="E141" s="701">
        <v>39456</v>
      </c>
      <c r="F141" s="696" t="s">
        <v>1927</v>
      </c>
      <c r="G141" s="696" t="s">
        <v>39</v>
      </c>
      <c r="H141" s="696" t="s">
        <v>1928</v>
      </c>
      <c r="I141" s="696" t="s">
        <v>1929</v>
      </c>
      <c r="J141" s="696" t="s">
        <v>16</v>
      </c>
      <c r="K141" s="696" t="s">
        <v>327</v>
      </c>
      <c r="L141" s="696" t="s">
        <v>2711</v>
      </c>
      <c r="M141" s="696" t="s">
        <v>1930</v>
      </c>
      <c r="N141" s="696" t="s">
        <v>17</v>
      </c>
      <c r="O141" s="679" t="s">
        <v>17</v>
      </c>
      <c r="P141" s="679" t="s">
        <v>17</v>
      </c>
      <c r="Q141" s="679"/>
      <c r="R141" s="678" t="s">
        <v>17</v>
      </c>
      <c r="S141" s="679" t="s">
        <v>21</v>
      </c>
      <c r="T141" s="682" t="s">
        <v>17</v>
      </c>
      <c r="U141" s="679" t="s">
        <v>23</v>
      </c>
      <c r="V141" s="679" t="s">
        <v>23</v>
      </c>
      <c r="W141" s="679" t="s">
        <v>23</v>
      </c>
      <c r="X141" s="679" t="s">
        <v>23</v>
      </c>
      <c r="Y141" s="679" t="s">
        <v>23</v>
      </c>
      <c r="Z141" s="679" t="s">
        <v>23</v>
      </c>
      <c r="AA141" s="678" t="s">
        <v>3110</v>
      </c>
      <c r="AB141" s="679" t="s">
        <v>1931</v>
      </c>
      <c r="AC141" s="679" t="s">
        <v>19</v>
      </c>
      <c r="AD141" s="679" t="s">
        <v>341</v>
      </c>
      <c r="AE141" s="696" t="s">
        <v>1932</v>
      </c>
    </row>
    <row r="142" spans="1:31" ht="150" customHeight="1" x14ac:dyDescent="0.2">
      <c r="A142" s="696">
        <v>744430</v>
      </c>
      <c r="B142" s="696" t="s">
        <v>31</v>
      </c>
      <c r="C142" s="696" t="s">
        <v>2162</v>
      </c>
      <c r="D142" s="696" t="s">
        <v>36</v>
      </c>
      <c r="E142" s="701">
        <v>45062</v>
      </c>
      <c r="F142" s="696" t="s">
        <v>2163</v>
      </c>
      <c r="G142" s="696" t="s">
        <v>33</v>
      </c>
      <c r="H142" s="696" t="s">
        <v>904</v>
      </c>
      <c r="I142" s="696" t="s">
        <v>1839</v>
      </c>
      <c r="J142" s="696" t="s">
        <v>16</v>
      </c>
      <c r="K142" s="696" t="s">
        <v>298</v>
      </c>
      <c r="L142" s="696" t="s">
        <v>2909</v>
      </c>
      <c r="M142" s="698" t="s">
        <v>2165</v>
      </c>
      <c r="N142" s="696" t="s">
        <v>2166</v>
      </c>
      <c r="O142" s="696" t="s">
        <v>17</v>
      </c>
      <c r="P142" s="696" t="s">
        <v>17</v>
      </c>
      <c r="Q142" s="696"/>
      <c r="R142" s="696" t="s">
        <v>17</v>
      </c>
      <c r="S142" s="696" t="s">
        <v>41</v>
      </c>
      <c r="T142" s="696" t="s">
        <v>131</v>
      </c>
      <c r="U142" s="696" t="s">
        <v>17</v>
      </c>
      <c r="V142" s="696" t="s">
        <v>17</v>
      </c>
      <c r="W142" s="696" t="s">
        <v>17</v>
      </c>
      <c r="X142" s="696" t="s">
        <v>17</v>
      </c>
      <c r="Y142" s="696" t="s">
        <v>23</v>
      </c>
      <c r="Z142" s="696" t="s">
        <v>23</v>
      </c>
      <c r="AA142" s="678" t="s">
        <v>3110</v>
      </c>
      <c r="AB142" s="696" t="s">
        <v>3881</v>
      </c>
      <c r="AC142" s="696" t="s">
        <v>19</v>
      </c>
      <c r="AD142" s="696" t="s">
        <v>439</v>
      </c>
      <c r="AE142" s="696" t="s">
        <v>3882</v>
      </c>
    </row>
    <row r="143" spans="1:31" ht="150" customHeight="1" x14ac:dyDescent="0.2">
      <c r="A143" s="696">
        <v>325214</v>
      </c>
      <c r="B143" s="696" t="s">
        <v>31</v>
      </c>
      <c r="C143" s="870" t="s">
        <v>2196</v>
      </c>
      <c r="D143" s="696" t="s">
        <v>36</v>
      </c>
      <c r="E143" s="701">
        <v>40112</v>
      </c>
      <c r="F143" s="696" t="s">
        <v>1242</v>
      </c>
      <c r="G143" s="696" t="s">
        <v>33</v>
      </c>
      <c r="H143" s="696" t="s">
        <v>296</v>
      </c>
      <c r="I143" s="696" t="s">
        <v>2197</v>
      </c>
      <c r="J143" s="696" t="s">
        <v>16</v>
      </c>
      <c r="K143" s="696" t="s">
        <v>298</v>
      </c>
      <c r="L143" s="696" t="s">
        <v>2909</v>
      </c>
      <c r="M143" s="698" t="s">
        <v>2198</v>
      </c>
      <c r="N143" s="696" t="s">
        <v>1424</v>
      </c>
      <c r="O143" s="679" t="s">
        <v>862</v>
      </c>
      <c r="P143" s="679" t="s">
        <v>862</v>
      </c>
      <c r="Q143" s="696"/>
      <c r="R143" s="696">
        <v>1306</v>
      </c>
      <c r="S143" s="679" t="s">
        <v>59</v>
      </c>
      <c r="T143" s="682">
        <v>91676</v>
      </c>
      <c r="U143" s="679" t="s">
        <v>23</v>
      </c>
      <c r="V143" s="679" t="s">
        <v>23</v>
      </c>
      <c r="W143" s="679" t="s">
        <v>23</v>
      </c>
      <c r="X143" s="679" t="s">
        <v>23</v>
      </c>
      <c r="Y143" s="703">
        <v>41451</v>
      </c>
      <c r="Z143" s="703">
        <v>41675</v>
      </c>
      <c r="AA143" s="679" t="s">
        <v>1755</v>
      </c>
      <c r="AB143" s="678" t="s">
        <v>2199</v>
      </c>
      <c r="AC143" s="679" t="s">
        <v>22</v>
      </c>
      <c r="AD143" s="679" t="s">
        <v>439</v>
      </c>
      <c r="AE143" s="696" t="s">
        <v>546</v>
      </c>
    </row>
    <row r="144" spans="1:31" ht="150" customHeight="1" x14ac:dyDescent="0.2">
      <c r="A144" s="696">
        <v>531612</v>
      </c>
      <c r="B144" s="696" t="s">
        <v>31</v>
      </c>
      <c r="C144" s="696" t="s">
        <v>2219</v>
      </c>
      <c r="D144" s="696" t="s">
        <v>36</v>
      </c>
      <c r="E144" s="701">
        <v>42435</v>
      </c>
      <c r="F144" s="696" t="s">
        <v>2220</v>
      </c>
      <c r="G144" s="696" t="s">
        <v>39</v>
      </c>
      <c r="H144" s="696" t="s">
        <v>296</v>
      </c>
      <c r="I144" s="696" t="s">
        <v>2221</v>
      </c>
      <c r="J144" s="696" t="s">
        <v>16</v>
      </c>
      <c r="K144" s="696" t="s">
        <v>298</v>
      </c>
      <c r="L144" s="696" t="s">
        <v>2222</v>
      </c>
      <c r="M144" s="698" t="s">
        <v>2223</v>
      </c>
      <c r="N144" s="696" t="s">
        <v>2222</v>
      </c>
      <c r="O144" s="679" t="s">
        <v>65</v>
      </c>
      <c r="P144" s="679" t="s">
        <v>65</v>
      </c>
      <c r="Q144" s="696"/>
      <c r="R144" s="704" t="s">
        <v>23</v>
      </c>
      <c r="S144" s="679" t="s">
        <v>43</v>
      </c>
      <c r="T144" s="682" t="s">
        <v>132</v>
      </c>
      <c r="U144" s="679" t="s">
        <v>65</v>
      </c>
      <c r="V144" s="679" t="s">
        <v>65</v>
      </c>
      <c r="W144" s="679" t="s">
        <v>65</v>
      </c>
      <c r="X144" s="679" t="s">
        <v>65</v>
      </c>
      <c r="Y144" s="703" t="s">
        <v>2224</v>
      </c>
      <c r="Z144" s="679" t="s">
        <v>65</v>
      </c>
      <c r="AA144" s="678" t="s">
        <v>3110</v>
      </c>
      <c r="AB144" s="679" t="s">
        <v>2225</v>
      </c>
      <c r="AC144" s="679" t="s">
        <v>82</v>
      </c>
      <c r="AD144" s="679" t="s">
        <v>439</v>
      </c>
      <c r="AE144" s="679" t="s">
        <v>2226</v>
      </c>
    </row>
    <row r="145" spans="1:31" ht="150" customHeight="1" x14ac:dyDescent="0.2">
      <c r="A145" s="696">
        <v>750851</v>
      </c>
      <c r="B145" s="696" t="s">
        <v>31</v>
      </c>
      <c r="C145" s="696" t="s">
        <v>2238</v>
      </c>
      <c r="D145" s="696" t="s">
        <v>36</v>
      </c>
      <c r="E145" s="701">
        <v>45128</v>
      </c>
      <c r="F145" s="696" t="s">
        <v>2239</v>
      </c>
      <c r="G145" s="696" t="s">
        <v>33</v>
      </c>
      <c r="H145" s="696" t="s">
        <v>296</v>
      </c>
      <c r="I145" s="696" t="s">
        <v>2240</v>
      </c>
      <c r="J145" s="696" t="s">
        <v>16</v>
      </c>
      <c r="K145" s="696" t="s">
        <v>298</v>
      </c>
      <c r="L145" s="696" t="s">
        <v>2909</v>
      </c>
      <c r="M145" s="698" t="s">
        <v>2241</v>
      </c>
      <c r="N145" s="696" t="s">
        <v>2242</v>
      </c>
      <c r="O145" s="696" t="s">
        <v>17</v>
      </c>
      <c r="P145" s="696" t="s">
        <v>17</v>
      </c>
      <c r="Q145" s="696"/>
      <c r="R145" s="696" t="s">
        <v>2243</v>
      </c>
      <c r="S145" s="679" t="s">
        <v>68</v>
      </c>
      <c r="T145" s="696" t="s">
        <v>133</v>
      </c>
      <c r="U145" s="696" t="s">
        <v>17</v>
      </c>
      <c r="V145" s="696" t="s">
        <v>17</v>
      </c>
      <c r="W145" s="696" t="s">
        <v>17</v>
      </c>
      <c r="X145" s="696" t="s">
        <v>17</v>
      </c>
      <c r="Y145" s="696" t="s">
        <v>23</v>
      </c>
      <c r="Z145" s="696" t="s">
        <v>23</v>
      </c>
      <c r="AA145" s="678" t="s">
        <v>3110</v>
      </c>
      <c r="AB145" s="696" t="s">
        <v>2244</v>
      </c>
      <c r="AC145" s="696" t="s">
        <v>19</v>
      </c>
      <c r="AD145" s="696" t="s">
        <v>439</v>
      </c>
      <c r="AE145" s="696" t="s">
        <v>660</v>
      </c>
    </row>
    <row r="146" spans="1:31" ht="150" customHeight="1" x14ac:dyDescent="0.2">
      <c r="A146" s="705">
        <v>765396</v>
      </c>
      <c r="B146" s="696" t="s">
        <v>31</v>
      </c>
      <c r="C146" s="870" t="s">
        <v>2262</v>
      </c>
      <c r="D146" s="696" t="s">
        <v>36</v>
      </c>
      <c r="E146" s="701">
        <v>45168</v>
      </c>
      <c r="F146" s="696" t="s">
        <v>2263</v>
      </c>
      <c r="G146" s="696" t="s">
        <v>33</v>
      </c>
      <c r="H146" s="696" t="s">
        <v>2264</v>
      </c>
      <c r="I146" s="696" t="s">
        <v>2265</v>
      </c>
      <c r="J146" s="696" t="s">
        <v>16</v>
      </c>
      <c r="K146" s="696" t="s">
        <v>2710</v>
      </c>
      <c r="L146" s="696" t="s">
        <v>2711</v>
      </c>
      <c r="M146" s="726" t="s">
        <v>2266</v>
      </c>
      <c r="N146" s="696" t="s">
        <v>2267</v>
      </c>
      <c r="O146" s="696" t="s">
        <v>17</v>
      </c>
      <c r="P146" s="696" t="s">
        <v>17</v>
      </c>
      <c r="Q146" s="679"/>
      <c r="R146" s="696" t="s">
        <v>2268</v>
      </c>
      <c r="S146" s="696" t="s">
        <v>41</v>
      </c>
      <c r="T146" s="696" t="s">
        <v>17</v>
      </c>
      <c r="U146" s="696" t="s">
        <v>17</v>
      </c>
      <c r="V146" s="696" t="s">
        <v>17</v>
      </c>
      <c r="W146" s="696" t="s">
        <v>17</v>
      </c>
      <c r="X146" s="696" t="s">
        <v>17</v>
      </c>
      <c r="Y146" s="696" t="s">
        <v>17</v>
      </c>
      <c r="Z146" s="696" t="s">
        <v>17</v>
      </c>
      <c r="AA146" s="678" t="s">
        <v>3110</v>
      </c>
      <c r="AB146" s="698" t="s">
        <v>2269</v>
      </c>
      <c r="AC146" s="696" t="s">
        <v>19</v>
      </c>
      <c r="AD146" s="696" t="s">
        <v>439</v>
      </c>
      <c r="AE146" s="696" t="s">
        <v>1932</v>
      </c>
    </row>
    <row r="147" spans="1:31" ht="150" customHeight="1" x14ac:dyDescent="0.2">
      <c r="A147" s="696">
        <v>716943</v>
      </c>
      <c r="B147" s="696" t="s">
        <v>31</v>
      </c>
      <c r="C147" s="696" t="s">
        <v>2327</v>
      </c>
      <c r="D147" s="696" t="s">
        <v>36</v>
      </c>
      <c r="E147" s="701">
        <v>44818</v>
      </c>
      <c r="F147" s="696" t="s">
        <v>2328</v>
      </c>
      <c r="G147" s="696" t="s">
        <v>33</v>
      </c>
      <c r="H147" s="696" t="s">
        <v>296</v>
      </c>
      <c r="I147" s="696" t="s">
        <v>2329</v>
      </c>
      <c r="J147" s="696" t="s">
        <v>16</v>
      </c>
      <c r="K147" s="696" t="s">
        <v>298</v>
      </c>
      <c r="L147" s="696" t="s">
        <v>2909</v>
      </c>
      <c r="M147" s="698" t="s">
        <v>2330</v>
      </c>
      <c r="N147" s="696" t="s">
        <v>2331</v>
      </c>
      <c r="O147" s="696" t="s">
        <v>17</v>
      </c>
      <c r="P147" s="696" t="s">
        <v>17</v>
      </c>
      <c r="Q147" s="696"/>
      <c r="R147" s="696">
        <v>1293</v>
      </c>
      <c r="S147" s="679" t="s">
        <v>38</v>
      </c>
      <c r="T147" s="696" t="s">
        <v>17</v>
      </c>
      <c r="U147" s="696" t="s">
        <v>17</v>
      </c>
      <c r="V147" s="696" t="s">
        <v>17</v>
      </c>
      <c r="W147" s="696" t="s">
        <v>17</v>
      </c>
      <c r="X147" s="696" t="s">
        <v>17</v>
      </c>
      <c r="Y147" s="696" t="s">
        <v>17</v>
      </c>
      <c r="Z147" s="696" t="s">
        <v>17</v>
      </c>
      <c r="AA147" s="678" t="s">
        <v>3110</v>
      </c>
      <c r="AB147" s="696" t="s">
        <v>2332</v>
      </c>
      <c r="AC147" s="696" t="s">
        <v>19</v>
      </c>
      <c r="AD147" s="696" t="s">
        <v>439</v>
      </c>
      <c r="AE147" s="696" t="s">
        <v>2333</v>
      </c>
    </row>
    <row r="148" spans="1:31" ht="150" customHeight="1" x14ac:dyDescent="0.2">
      <c r="A148" s="696" t="s">
        <v>134</v>
      </c>
      <c r="B148" s="696" t="s">
        <v>31</v>
      </c>
      <c r="C148" s="696" t="s">
        <v>2667</v>
      </c>
      <c r="D148" s="696" t="s">
        <v>36</v>
      </c>
      <c r="E148" s="701">
        <v>45554</v>
      </c>
      <c r="F148" s="696" t="s">
        <v>2668</v>
      </c>
      <c r="G148" s="696" t="s">
        <v>33</v>
      </c>
      <c r="H148" s="696" t="s">
        <v>296</v>
      </c>
      <c r="I148" s="696" t="s">
        <v>2669</v>
      </c>
      <c r="J148" s="696" t="s">
        <v>16</v>
      </c>
      <c r="K148" s="696" t="s">
        <v>298</v>
      </c>
      <c r="L148" s="696" t="s">
        <v>2909</v>
      </c>
      <c r="M148" s="696" t="s">
        <v>2670</v>
      </c>
      <c r="N148" s="696" t="s">
        <v>2671</v>
      </c>
      <c r="O148" s="696" t="s">
        <v>17</v>
      </c>
      <c r="P148" s="696" t="s">
        <v>17</v>
      </c>
      <c r="Q148" s="696"/>
      <c r="R148" s="696" t="s">
        <v>2672</v>
      </c>
      <c r="S148" s="696" t="s">
        <v>135</v>
      </c>
      <c r="T148" s="696">
        <v>4058.57</v>
      </c>
      <c r="U148" s="696" t="s">
        <v>17</v>
      </c>
      <c r="V148" s="696" t="s">
        <v>17</v>
      </c>
      <c r="W148" s="696" t="s">
        <v>17</v>
      </c>
      <c r="X148" s="696" t="s">
        <v>17</v>
      </c>
      <c r="Y148" s="696" t="s">
        <v>17</v>
      </c>
      <c r="Z148" s="696" t="s">
        <v>17</v>
      </c>
      <c r="AA148" s="678" t="s">
        <v>3110</v>
      </c>
      <c r="AB148" s="696" t="s">
        <v>2673</v>
      </c>
      <c r="AC148" s="696" t="s">
        <v>24</v>
      </c>
      <c r="AD148" s="696" t="s">
        <v>439</v>
      </c>
      <c r="AE148" s="696" t="s">
        <v>2674</v>
      </c>
    </row>
    <row r="149" spans="1:31" s="843" customFormat="1" ht="150" customHeight="1" x14ac:dyDescent="0.2">
      <c r="A149" s="730">
        <v>835605</v>
      </c>
      <c r="B149" s="742" t="s">
        <v>31</v>
      </c>
      <c r="C149" s="696" t="s">
        <v>3883</v>
      </c>
      <c r="D149" s="742" t="s">
        <v>36</v>
      </c>
      <c r="E149" s="742" t="s">
        <v>3884</v>
      </c>
      <c r="F149" s="742" t="s">
        <v>3885</v>
      </c>
      <c r="G149" s="742" t="s">
        <v>33</v>
      </c>
      <c r="H149" s="742" t="s">
        <v>3886</v>
      </c>
      <c r="I149" s="742" t="s">
        <v>3887</v>
      </c>
      <c r="J149" s="742" t="s">
        <v>34</v>
      </c>
      <c r="K149" s="742" t="s">
        <v>298</v>
      </c>
      <c r="L149" s="742" t="s">
        <v>3888</v>
      </c>
      <c r="M149" s="742" t="s">
        <v>3889</v>
      </c>
      <c r="N149" s="742" t="s">
        <v>3890</v>
      </c>
      <c r="O149" s="742" t="s">
        <v>140</v>
      </c>
      <c r="P149" s="742" t="s">
        <v>140</v>
      </c>
      <c r="Q149" s="742" t="s">
        <v>140</v>
      </c>
      <c r="R149" s="742" t="s">
        <v>3891</v>
      </c>
      <c r="S149" s="742" t="s">
        <v>3749</v>
      </c>
      <c r="T149" s="742" t="s">
        <v>3892</v>
      </c>
      <c r="U149" s="742" t="s">
        <v>140</v>
      </c>
      <c r="V149" s="742" t="s">
        <v>140</v>
      </c>
      <c r="W149" s="742" t="s">
        <v>140</v>
      </c>
      <c r="X149" s="742" t="s">
        <v>140</v>
      </c>
      <c r="Y149" s="742" t="s">
        <v>140</v>
      </c>
      <c r="Z149" s="742" t="s">
        <v>140</v>
      </c>
      <c r="AA149" s="742" t="s">
        <v>140</v>
      </c>
      <c r="AB149" s="742" t="s">
        <v>3893</v>
      </c>
      <c r="AC149" s="742" t="s">
        <v>19</v>
      </c>
      <c r="AD149" s="742" t="s">
        <v>439</v>
      </c>
      <c r="AE149" s="742" t="s">
        <v>2333</v>
      </c>
    </row>
    <row r="150" spans="1:31" ht="150" customHeight="1" x14ac:dyDescent="0.2">
      <c r="A150" s="696">
        <v>828227</v>
      </c>
      <c r="B150" s="696" t="s">
        <v>31</v>
      </c>
      <c r="C150" s="698" t="s">
        <v>3894</v>
      </c>
      <c r="D150" s="696" t="s">
        <v>3895</v>
      </c>
      <c r="E150" s="838">
        <v>45547</v>
      </c>
      <c r="F150" s="696" t="s">
        <v>3896</v>
      </c>
      <c r="G150" s="696" t="s">
        <v>29</v>
      </c>
      <c r="H150" s="696" t="s">
        <v>3897</v>
      </c>
      <c r="I150" s="696" t="s">
        <v>296</v>
      </c>
      <c r="J150" s="696" t="s">
        <v>3720</v>
      </c>
      <c r="K150" s="696" t="s">
        <v>298</v>
      </c>
      <c r="L150" s="696" t="s">
        <v>3898</v>
      </c>
      <c r="M150" s="696" t="s">
        <v>3898</v>
      </c>
      <c r="N150" s="696" t="s">
        <v>17</v>
      </c>
      <c r="O150" s="696" t="s">
        <v>17</v>
      </c>
      <c r="P150" s="696" t="s">
        <v>17</v>
      </c>
      <c r="Q150" s="696" t="s">
        <v>163</v>
      </c>
      <c r="R150" s="696" t="s">
        <v>17</v>
      </c>
      <c r="S150" s="696" t="s">
        <v>3765</v>
      </c>
      <c r="T150" s="696" t="s">
        <v>3899</v>
      </c>
      <c r="U150" s="696" t="s">
        <v>17</v>
      </c>
      <c r="V150" s="696" t="s">
        <v>17</v>
      </c>
      <c r="W150" s="696" t="s">
        <v>17</v>
      </c>
      <c r="X150" s="696" t="s">
        <v>17</v>
      </c>
      <c r="Y150" s="696" t="s">
        <v>17</v>
      </c>
      <c r="Z150" s="696" t="s">
        <v>17</v>
      </c>
      <c r="AA150" s="844" t="s">
        <v>17</v>
      </c>
      <c r="AB150" s="696" t="s">
        <v>3900</v>
      </c>
      <c r="AC150" s="696" t="s">
        <v>19</v>
      </c>
      <c r="AD150" s="696" t="s">
        <v>2475</v>
      </c>
      <c r="AE150" s="696" t="s">
        <v>3901</v>
      </c>
    </row>
  </sheetData>
  <pageMargins left="0.7" right="0.7" top="0.75" bottom="0.75" header="0.3" footer="0.3"/>
  <pageSetup paperSize="5" fitToHeight="0" orientation="landscape"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1085A094-72A0-4B7B-8A2A-5234E42E8708}">
          <x14:formula1>
            <xm:f>Tablas!$N$15:$N$18</xm:f>
          </x14:formula1>
          <xm:sqref>G1 G151:G1048576</xm:sqref>
        </x14:dataValidation>
        <x14:dataValidation type="list" allowBlank="1" showInputMessage="1" showErrorMessage="1" xr:uid="{8C1D52D7-4417-448F-BDDA-8CDBE31F640E}">
          <x14:formula1>
            <xm:f>Tablas!$O$42:$O$44</xm:f>
          </x14:formula1>
          <xm:sqref>Q150:Q1048576 Q1:Q148</xm:sqref>
        </x14:dataValidation>
        <x14:dataValidation type="list" allowBlank="1" showInputMessage="1" showErrorMessage="1" xr:uid="{0CC08B76-2C47-48BF-9CC4-4115AFADD8E5}">
          <x14:formula1>
            <xm:f>Tablas!$N$15:$N$19</xm:f>
          </x14:formula1>
          <xm:sqref>G2:G10 G12:G149</xm:sqref>
        </x14:dataValidation>
        <x14:dataValidation type="list" allowBlank="1" showInputMessage="1" showErrorMessage="1" xr:uid="{A3B3BFD5-3BAD-4121-A22F-491ABC5131CE}">
          <x14:formula1>
            <xm:f>Tablas!$N$3:$N$10</xm:f>
          </x14:formula1>
          <xm:sqref>G11 G150</xm:sqref>
        </x14:dataValidation>
        <x14:dataValidation type="list" allowBlank="1" showInputMessage="1" showErrorMessage="1" xr:uid="{88BA80EB-A744-41B5-8799-CB0A5B709A6A}">
          <x14:formula1>
            <xm:f>Tablas!$Q$9:$Q$10</xm:f>
          </x14:formula1>
          <xm:sqref>J1:J1048576</xm:sqref>
        </x14:dataValidation>
        <x14:dataValidation type="list" allowBlank="1" showInputMessage="1" showErrorMessage="1" xr:uid="{BE1AE669-CD41-4CCA-AFE2-C58FC3AB28A8}">
          <x14:formula1>
            <xm:f>Tablas!$Q$13:$Q$17</xm:f>
          </x14:formula1>
          <xm:sqref>K1:K1048576</xm:sqref>
        </x14:dataValidation>
        <x14:dataValidation type="list" allowBlank="1" showInputMessage="1" showErrorMessage="1" xr:uid="{37E7986C-EDA3-428C-B4B2-EF9FA021DA6D}">
          <x14:formula1>
            <xm:f>Tablas!$Q$19:$Q$38</xm:f>
          </x14:formula1>
          <xm:sqref>S1:S1048576</xm:sqref>
        </x14:dataValidation>
        <x14:dataValidation type="list" allowBlank="1" showInputMessage="1" showErrorMessage="1" xr:uid="{852599D9-8C34-41B3-9EAF-B31D153C37D5}">
          <x14:formula1>
            <xm:f>Tablas!$Q$41:$Q$42</xm:f>
          </x14:formula1>
          <xm:sqref>AC1:AC1048576</xm:sqref>
        </x14:dataValidation>
        <x14:dataValidation type="list" allowBlank="1" showInputMessage="1" showErrorMessage="1" xr:uid="{9E9F8135-C6A9-45FB-8AD6-E79CD6A24AE3}">
          <x14:formula1>
            <xm:f>Tablas!$Q$45:$Q$47</xm:f>
          </x14:formula1>
          <xm:sqref>AD1:AD1048576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EFF92-6C5C-BA4B-8338-3EF079010E5A}">
  <sheetPr codeName="Hoja11"/>
  <dimension ref="A1:AE80"/>
  <sheetViews>
    <sheetView zoomScale="70" zoomScaleNormal="70" zoomScaleSheetLayoutView="50" workbookViewId="0">
      <pane ySplit="1" topLeftCell="A79" activePane="bottomLeft" state="frozen"/>
      <selection pane="bottomLeft" sqref="A1:XFD1"/>
    </sheetView>
  </sheetViews>
  <sheetFormatPr baseColWidth="10" defaultColWidth="30.7109375" defaultRowHeight="150" customHeight="1" x14ac:dyDescent="0.2"/>
  <cols>
    <col min="1" max="16384" width="30.7109375" style="669"/>
  </cols>
  <sheetData>
    <row r="1" spans="1:31" ht="75" x14ac:dyDescent="0.2">
      <c r="A1" s="709" t="s">
        <v>261</v>
      </c>
      <c r="B1" s="709" t="s">
        <v>262</v>
      </c>
      <c r="C1" s="709" t="s">
        <v>263</v>
      </c>
      <c r="D1" s="709" t="s">
        <v>264</v>
      </c>
      <c r="E1" s="709" t="s">
        <v>265</v>
      </c>
      <c r="F1" s="709" t="s">
        <v>266</v>
      </c>
      <c r="G1" s="709" t="s">
        <v>267</v>
      </c>
      <c r="H1" s="709" t="s">
        <v>268</v>
      </c>
      <c r="I1" s="709" t="s">
        <v>269</v>
      </c>
      <c r="J1" s="709" t="s">
        <v>270</v>
      </c>
      <c r="K1" s="709" t="s">
        <v>271</v>
      </c>
      <c r="L1" s="709" t="s">
        <v>272</v>
      </c>
      <c r="M1" s="813" t="s">
        <v>274</v>
      </c>
      <c r="N1" s="709" t="s">
        <v>275</v>
      </c>
      <c r="O1" s="711" t="s">
        <v>276</v>
      </c>
      <c r="P1" s="711" t="s">
        <v>277</v>
      </c>
      <c r="Q1" s="711" t="s">
        <v>278</v>
      </c>
      <c r="R1" s="712" t="s">
        <v>279</v>
      </c>
      <c r="S1" s="711" t="s">
        <v>280</v>
      </c>
      <c r="T1" s="713" t="s">
        <v>281</v>
      </c>
      <c r="U1" s="711" t="s">
        <v>282</v>
      </c>
      <c r="V1" s="714" t="s">
        <v>283</v>
      </c>
      <c r="W1" s="713" t="s">
        <v>284</v>
      </c>
      <c r="X1" s="711" t="s">
        <v>285</v>
      </c>
      <c r="Y1" s="715" t="s">
        <v>286</v>
      </c>
      <c r="Z1" s="715" t="s">
        <v>287</v>
      </c>
      <c r="AA1" s="711" t="s">
        <v>288</v>
      </c>
      <c r="AB1" s="711" t="s">
        <v>289</v>
      </c>
      <c r="AC1" s="711" t="s">
        <v>290</v>
      </c>
      <c r="AD1" s="711" t="s">
        <v>291</v>
      </c>
      <c r="AE1" s="709" t="s">
        <v>292</v>
      </c>
    </row>
    <row r="2" spans="1:31" ht="150" customHeight="1" x14ac:dyDescent="0.2">
      <c r="A2" s="696" t="s">
        <v>240</v>
      </c>
      <c r="B2" s="696" t="s">
        <v>137</v>
      </c>
      <c r="C2" s="696" t="s">
        <v>294</v>
      </c>
      <c r="D2" s="696" t="s">
        <v>139</v>
      </c>
      <c r="E2" s="697">
        <v>41598</v>
      </c>
      <c r="F2" s="696" t="s">
        <v>295</v>
      </c>
      <c r="G2" s="696" t="s">
        <v>29</v>
      </c>
      <c r="H2" s="696" t="s">
        <v>296</v>
      </c>
      <c r="I2" s="696" t="s">
        <v>297</v>
      </c>
      <c r="J2" s="696" t="s">
        <v>16</v>
      </c>
      <c r="K2" s="696" t="s">
        <v>298</v>
      </c>
      <c r="L2" s="696" t="s">
        <v>299</v>
      </c>
      <c r="M2" s="698" t="s">
        <v>299</v>
      </c>
      <c r="N2" s="696" t="s">
        <v>300</v>
      </c>
      <c r="O2" s="696" t="s">
        <v>23</v>
      </c>
      <c r="P2" s="696" t="s">
        <v>23</v>
      </c>
      <c r="Q2" s="696" t="s">
        <v>47</v>
      </c>
      <c r="R2" s="704">
        <v>381</v>
      </c>
      <c r="S2" s="679" t="s">
        <v>3737</v>
      </c>
      <c r="T2" s="682">
        <v>1850</v>
      </c>
      <c r="U2" s="696" t="s">
        <v>23</v>
      </c>
      <c r="V2" s="696" t="s">
        <v>23</v>
      </c>
      <c r="W2" s="682" t="s">
        <v>23</v>
      </c>
      <c r="X2" s="679" t="s">
        <v>23</v>
      </c>
      <c r="Y2" s="703" t="s">
        <v>23</v>
      </c>
      <c r="Z2" s="679" t="s">
        <v>23</v>
      </c>
      <c r="AA2" s="679" t="s">
        <v>23</v>
      </c>
      <c r="AB2" s="679" t="s">
        <v>301</v>
      </c>
      <c r="AC2" s="679" t="s">
        <v>19</v>
      </c>
      <c r="AD2" s="679"/>
      <c r="AE2" s="696" t="s">
        <v>302</v>
      </c>
    </row>
    <row r="3" spans="1:31" ht="150" customHeight="1" x14ac:dyDescent="0.2">
      <c r="A3" s="696">
        <v>416638</v>
      </c>
      <c r="B3" s="696" t="s">
        <v>137</v>
      </c>
      <c r="C3" s="696" t="s">
        <v>355</v>
      </c>
      <c r="D3" s="696" t="s">
        <v>139</v>
      </c>
      <c r="E3" s="697">
        <v>41438</v>
      </c>
      <c r="F3" s="696" t="s">
        <v>295</v>
      </c>
      <c r="G3" s="696" t="s">
        <v>29</v>
      </c>
      <c r="H3" s="696" t="s">
        <v>356</v>
      </c>
      <c r="I3" s="696" t="s">
        <v>357</v>
      </c>
      <c r="J3" s="696" t="s">
        <v>16</v>
      </c>
      <c r="K3" s="696" t="s">
        <v>298</v>
      </c>
      <c r="L3" s="696" t="s">
        <v>358</v>
      </c>
      <c r="M3" s="698" t="s">
        <v>358</v>
      </c>
      <c r="N3" s="696" t="s">
        <v>359</v>
      </c>
      <c r="O3" s="679" t="s">
        <v>23</v>
      </c>
      <c r="P3" s="679" t="s">
        <v>23</v>
      </c>
      <c r="Q3" s="696" t="s">
        <v>47</v>
      </c>
      <c r="R3" s="704">
        <v>1481</v>
      </c>
      <c r="S3" s="679" t="s">
        <v>43</v>
      </c>
      <c r="T3" s="682" t="s">
        <v>23</v>
      </c>
      <c r="U3" s="679" t="s">
        <v>23</v>
      </c>
      <c r="V3" s="679" t="s">
        <v>23</v>
      </c>
      <c r="W3" s="682">
        <v>26985</v>
      </c>
      <c r="X3" s="679" t="s">
        <v>23</v>
      </c>
      <c r="Y3" s="703">
        <v>42754</v>
      </c>
      <c r="Z3" s="703" t="s">
        <v>23</v>
      </c>
      <c r="AA3" s="679" t="s">
        <v>23</v>
      </c>
      <c r="AB3" s="679" t="s">
        <v>360</v>
      </c>
      <c r="AC3" s="679" t="s">
        <v>19</v>
      </c>
      <c r="AD3" s="679"/>
      <c r="AE3" s="679" t="s">
        <v>302</v>
      </c>
    </row>
    <row r="4" spans="1:31" ht="150" customHeight="1" x14ac:dyDescent="0.2">
      <c r="A4" s="696">
        <v>164016</v>
      </c>
      <c r="B4" s="696" t="s">
        <v>137</v>
      </c>
      <c r="C4" s="696" t="s">
        <v>409</v>
      </c>
      <c r="D4" s="696" t="s">
        <v>151</v>
      </c>
      <c r="E4" s="697">
        <v>38580</v>
      </c>
      <c r="F4" s="696" t="s">
        <v>410</v>
      </c>
      <c r="G4" s="696" t="s">
        <v>147</v>
      </c>
      <c r="H4" s="696" t="s">
        <v>296</v>
      </c>
      <c r="I4" s="696" t="s">
        <v>411</v>
      </c>
      <c r="J4" s="696" t="s">
        <v>16</v>
      </c>
      <c r="K4" s="696" t="s">
        <v>298</v>
      </c>
      <c r="L4" s="696" t="s">
        <v>412</v>
      </c>
      <c r="M4" s="698" t="s">
        <v>412</v>
      </c>
      <c r="N4" s="696" t="s">
        <v>23</v>
      </c>
      <c r="O4" s="679">
        <v>24676716</v>
      </c>
      <c r="P4" s="679" t="s">
        <v>23</v>
      </c>
      <c r="Q4" s="679" t="s">
        <v>163</v>
      </c>
      <c r="R4" s="679" t="s">
        <v>23</v>
      </c>
      <c r="S4" s="679" t="s">
        <v>57</v>
      </c>
      <c r="T4" s="682" t="s">
        <v>23</v>
      </c>
      <c r="U4" s="679" t="s">
        <v>23</v>
      </c>
      <c r="V4" s="679" t="s">
        <v>23</v>
      </c>
      <c r="W4" s="679" t="s">
        <v>23</v>
      </c>
      <c r="X4" s="679" t="s">
        <v>23</v>
      </c>
      <c r="Y4" s="703">
        <v>40855</v>
      </c>
      <c r="Z4" s="679" t="s">
        <v>23</v>
      </c>
      <c r="AA4" s="679" t="s">
        <v>23</v>
      </c>
      <c r="AB4" s="679" t="s">
        <v>413</v>
      </c>
      <c r="AC4" s="679" t="s">
        <v>19</v>
      </c>
      <c r="AD4" s="679"/>
      <c r="AE4" s="696" t="s">
        <v>414</v>
      </c>
    </row>
    <row r="5" spans="1:31" ht="150" customHeight="1" x14ac:dyDescent="0.2">
      <c r="A5" s="696">
        <v>163864</v>
      </c>
      <c r="B5" s="696" t="s">
        <v>137</v>
      </c>
      <c r="C5" s="696" t="s">
        <v>424</v>
      </c>
      <c r="D5" s="696" t="s">
        <v>151</v>
      </c>
      <c r="E5" s="697">
        <v>38502</v>
      </c>
      <c r="F5" s="696" t="s">
        <v>425</v>
      </c>
      <c r="G5" s="696" t="s">
        <v>145</v>
      </c>
      <c r="H5" s="696" t="s">
        <v>296</v>
      </c>
      <c r="I5" s="696" t="s">
        <v>426</v>
      </c>
      <c r="J5" s="696" t="s">
        <v>16</v>
      </c>
      <c r="K5" s="696" t="s">
        <v>298</v>
      </c>
      <c r="L5" s="696" t="s">
        <v>427</v>
      </c>
      <c r="M5" s="698" t="s">
        <v>427</v>
      </c>
      <c r="N5" s="696" t="s">
        <v>23</v>
      </c>
      <c r="O5" s="679">
        <v>26976535</v>
      </c>
      <c r="P5" s="679" t="s">
        <v>23</v>
      </c>
      <c r="Q5" s="696" t="s">
        <v>148</v>
      </c>
      <c r="R5" s="679" t="s">
        <v>428</v>
      </c>
      <c r="S5" s="679" t="s">
        <v>3739</v>
      </c>
      <c r="T5" s="682" t="s">
        <v>23</v>
      </c>
      <c r="U5" s="679" t="s">
        <v>23</v>
      </c>
      <c r="V5" s="679" t="s">
        <v>23</v>
      </c>
      <c r="W5" s="679" t="s">
        <v>23</v>
      </c>
      <c r="X5" s="679" t="s">
        <v>23</v>
      </c>
      <c r="Y5" s="703">
        <v>38827</v>
      </c>
      <c r="Z5" s="679" t="s">
        <v>23</v>
      </c>
      <c r="AA5" s="679" t="s">
        <v>23</v>
      </c>
      <c r="AB5" s="696" t="s">
        <v>429</v>
      </c>
      <c r="AC5" s="679" t="s">
        <v>22</v>
      </c>
      <c r="AD5" s="679"/>
      <c r="AE5" s="696" t="s">
        <v>430</v>
      </c>
    </row>
    <row r="6" spans="1:31" ht="150" customHeight="1" x14ac:dyDescent="0.2">
      <c r="A6" s="696">
        <v>255193</v>
      </c>
      <c r="B6" s="696" t="s">
        <v>137</v>
      </c>
      <c r="C6" s="696" t="s">
        <v>449</v>
      </c>
      <c r="D6" s="696" t="s">
        <v>151</v>
      </c>
      <c r="E6" s="697">
        <v>38985</v>
      </c>
      <c r="F6" s="696" t="s">
        <v>450</v>
      </c>
      <c r="G6" s="696" t="s">
        <v>15</v>
      </c>
      <c r="H6" s="696" t="s">
        <v>296</v>
      </c>
      <c r="I6" s="696" t="s">
        <v>451</v>
      </c>
      <c r="J6" s="696" t="s">
        <v>16</v>
      </c>
      <c r="K6" s="696" t="s">
        <v>298</v>
      </c>
      <c r="L6" s="696" t="s">
        <v>452</v>
      </c>
      <c r="M6" s="698" t="s">
        <v>452</v>
      </c>
      <c r="N6" s="696" t="s">
        <v>23</v>
      </c>
      <c r="O6" s="679">
        <v>75357472</v>
      </c>
      <c r="P6" s="679" t="s">
        <v>23</v>
      </c>
      <c r="Q6" s="696" t="s">
        <v>148</v>
      </c>
      <c r="R6" s="679" t="s">
        <v>428</v>
      </c>
      <c r="S6" s="679" t="s">
        <v>3739</v>
      </c>
      <c r="T6" s="682" t="s">
        <v>23</v>
      </c>
      <c r="U6" s="679" t="s">
        <v>23</v>
      </c>
      <c r="V6" s="679" t="s">
        <v>23</v>
      </c>
      <c r="W6" s="679" t="s">
        <v>23</v>
      </c>
      <c r="X6" s="679" t="s">
        <v>23</v>
      </c>
      <c r="Y6" s="703">
        <v>40305</v>
      </c>
      <c r="Z6" s="679" t="s">
        <v>23</v>
      </c>
      <c r="AA6" s="679" t="s">
        <v>23</v>
      </c>
      <c r="AB6" s="678" t="s">
        <v>453</v>
      </c>
      <c r="AC6" s="679" t="s">
        <v>22</v>
      </c>
      <c r="AD6" s="679"/>
      <c r="AE6" s="696" t="s">
        <v>454</v>
      </c>
    </row>
    <row r="7" spans="1:31" ht="150" customHeight="1" x14ac:dyDescent="0.2">
      <c r="A7" s="696">
        <v>255007</v>
      </c>
      <c r="B7" s="696" t="s">
        <v>137</v>
      </c>
      <c r="C7" s="696" t="s">
        <v>471</v>
      </c>
      <c r="D7" s="696" t="s">
        <v>151</v>
      </c>
      <c r="E7" s="697">
        <v>39028</v>
      </c>
      <c r="F7" s="696" t="s">
        <v>472</v>
      </c>
      <c r="G7" s="696" t="s">
        <v>15</v>
      </c>
      <c r="H7" s="696" t="s">
        <v>296</v>
      </c>
      <c r="I7" s="696" t="s">
        <v>473</v>
      </c>
      <c r="J7" s="696" t="s">
        <v>16</v>
      </c>
      <c r="K7" s="696" t="s">
        <v>298</v>
      </c>
      <c r="L7" s="696" t="s">
        <v>474</v>
      </c>
      <c r="M7" s="698" t="s">
        <v>474</v>
      </c>
      <c r="N7" s="696" t="s">
        <v>23</v>
      </c>
      <c r="O7" s="679">
        <v>26979466</v>
      </c>
      <c r="P7" s="679" t="s">
        <v>23</v>
      </c>
      <c r="Q7" s="696" t="s">
        <v>148</v>
      </c>
      <c r="R7" s="679" t="s">
        <v>428</v>
      </c>
      <c r="S7" s="679" t="s">
        <v>3739</v>
      </c>
      <c r="T7" s="682" t="s">
        <v>23</v>
      </c>
      <c r="U7" s="679" t="s">
        <v>23</v>
      </c>
      <c r="V7" s="679" t="s">
        <v>23</v>
      </c>
      <c r="W7" s="679" t="s">
        <v>23</v>
      </c>
      <c r="X7" s="679" t="s">
        <v>23</v>
      </c>
      <c r="Y7" s="703">
        <v>40622</v>
      </c>
      <c r="Z7" s="679" t="s">
        <v>23</v>
      </c>
      <c r="AA7" s="679" t="s">
        <v>23</v>
      </c>
      <c r="AB7" s="678" t="s">
        <v>475</v>
      </c>
      <c r="AC7" s="679" t="s">
        <v>22</v>
      </c>
      <c r="AD7" s="679"/>
      <c r="AE7" s="696" t="s">
        <v>476</v>
      </c>
    </row>
    <row r="8" spans="1:31" ht="150" customHeight="1" x14ac:dyDescent="0.2">
      <c r="A8" s="696" t="s">
        <v>241</v>
      </c>
      <c r="B8" s="696" t="s">
        <v>137</v>
      </c>
      <c r="C8" s="696" t="s">
        <v>494</v>
      </c>
      <c r="D8" s="696" t="s">
        <v>151</v>
      </c>
      <c r="E8" s="697">
        <v>38580</v>
      </c>
      <c r="F8" s="696" t="s">
        <v>495</v>
      </c>
      <c r="G8" s="696" t="s">
        <v>147</v>
      </c>
      <c r="H8" s="696" t="s">
        <v>296</v>
      </c>
      <c r="I8" s="696" t="s">
        <v>496</v>
      </c>
      <c r="J8" s="696" t="s">
        <v>16</v>
      </c>
      <c r="K8" s="696" t="s">
        <v>298</v>
      </c>
      <c r="L8" s="696" t="s">
        <v>497</v>
      </c>
      <c r="M8" s="698" t="s">
        <v>497</v>
      </c>
      <c r="N8" s="696" t="s">
        <v>23</v>
      </c>
      <c r="O8" s="679">
        <v>51941169</v>
      </c>
      <c r="P8" s="679" t="s">
        <v>23</v>
      </c>
      <c r="Q8" s="696" t="s">
        <v>148</v>
      </c>
      <c r="R8" s="679" t="s">
        <v>428</v>
      </c>
      <c r="S8" s="679" t="s">
        <v>3739</v>
      </c>
      <c r="T8" s="682" t="s">
        <v>23</v>
      </c>
      <c r="U8" s="679" t="s">
        <v>23</v>
      </c>
      <c r="V8" s="679" t="s">
        <v>23</v>
      </c>
      <c r="W8" s="679" t="s">
        <v>23</v>
      </c>
      <c r="X8" s="679" t="s">
        <v>23</v>
      </c>
      <c r="Y8" s="703">
        <v>40415</v>
      </c>
      <c r="Z8" s="679" t="s">
        <v>23</v>
      </c>
      <c r="AA8" s="679" t="s">
        <v>23</v>
      </c>
      <c r="AB8" s="679" t="s">
        <v>413</v>
      </c>
      <c r="AC8" s="679" t="s">
        <v>19</v>
      </c>
      <c r="AD8" s="679"/>
      <c r="AE8" s="696" t="s">
        <v>498</v>
      </c>
    </row>
    <row r="9" spans="1:31" ht="150" customHeight="1" x14ac:dyDescent="0.2">
      <c r="A9" s="696">
        <v>558364</v>
      </c>
      <c r="B9" s="696" t="s">
        <v>137</v>
      </c>
      <c r="C9" s="696" t="s">
        <v>519</v>
      </c>
      <c r="D9" s="702" t="s">
        <v>242</v>
      </c>
      <c r="E9" s="697">
        <v>42970</v>
      </c>
      <c r="F9" s="696" t="s">
        <v>520</v>
      </c>
      <c r="G9" s="696" t="s">
        <v>29</v>
      </c>
      <c r="H9" s="696" t="s">
        <v>521</v>
      </c>
      <c r="I9" s="696" t="s">
        <v>522</v>
      </c>
      <c r="J9" s="696" t="s">
        <v>16</v>
      </c>
      <c r="K9" s="696" t="s">
        <v>298</v>
      </c>
      <c r="L9" s="696" t="s">
        <v>523</v>
      </c>
      <c r="M9" s="698" t="s">
        <v>523</v>
      </c>
      <c r="N9" s="696" t="s">
        <v>17</v>
      </c>
      <c r="O9" s="679" t="s">
        <v>17</v>
      </c>
      <c r="P9" s="679" t="s">
        <v>23</v>
      </c>
      <c r="Q9" s="696" t="s">
        <v>47</v>
      </c>
      <c r="R9" s="696">
        <v>110223</v>
      </c>
      <c r="S9" s="696" t="s">
        <v>3734</v>
      </c>
      <c r="T9" s="818">
        <v>472.82</v>
      </c>
      <c r="U9" s="679" t="s">
        <v>23</v>
      </c>
      <c r="V9" s="679" t="s">
        <v>23</v>
      </c>
      <c r="W9" s="818">
        <v>472.82</v>
      </c>
      <c r="X9" s="679" t="s">
        <v>524</v>
      </c>
      <c r="Y9" s="679" t="s">
        <v>525</v>
      </c>
      <c r="Z9" s="679" t="s">
        <v>23</v>
      </c>
      <c r="AA9" s="679" t="s">
        <v>23</v>
      </c>
      <c r="AB9" s="696" t="s">
        <v>526</v>
      </c>
      <c r="AC9" s="679" t="s">
        <v>24</v>
      </c>
      <c r="AD9" s="679"/>
      <c r="AE9" s="696" t="s">
        <v>527</v>
      </c>
    </row>
    <row r="10" spans="1:31" ht="150" customHeight="1" x14ac:dyDescent="0.2">
      <c r="A10" s="696">
        <v>407780</v>
      </c>
      <c r="B10" s="696" t="s">
        <v>137</v>
      </c>
      <c r="C10" s="696" t="s">
        <v>601</v>
      </c>
      <c r="D10" s="696" t="s">
        <v>243</v>
      </c>
      <c r="E10" s="697">
        <v>41399</v>
      </c>
      <c r="F10" s="696" t="s">
        <v>295</v>
      </c>
      <c r="G10" s="696" t="s">
        <v>29</v>
      </c>
      <c r="H10" s="696" t="s">
        <v>602</v>
      </c>
      <c r="I10" s="696" t="s">
        <v>603</v>
      </c>
      <c r="J10" s="696" t="s">
        <v>16</v>
      </c>
      <c r="K10" s="696" t="s">
        <v>298</v>
      </c>
      <c r="L10" s="696" t="s">
        <v>604</v>
      </c>
      <c r="M10" s="698" t="s">
        <v>604</v>
      </c>
      <c r="N10" s="696" t="s">
        <v>605</v>
      </c>
      <c r="O10" s="679" t="s">
        <v>23</v>
      </c>
      <c r="P10" s="679" t="s">
        <v>23</v>
      </c>
      <c r="Q10" s="679"/>
      <c r="R10" s="679" t="s">
        <v>606</v>
      </c>
      <c r="S10" s="679" t="s">
        <v>68</v>
      </c>
      <c r="T10" s="682" t="s">
        <v>23</v>
      </c>
      <c r="U10" s="679" t="s">
        <v>23</v>
      </c>
      <c r="V10" s="679" t="s">
        <v>23</v>
      </c>
      <c r="W10" s="682">
        <v>2789.44</v>
      </c>
      <c r="X10" s="679">
        <v>224193767</v>
      </c>
      <c r="Y10" s="703">
        <v>41548</v>
      </c>
      <c r="Z10" s="703" t="s">
        <v>23</v>
      </c>
      <c r="AA10" s="679" t="s">
        <v>23</v>
      </c>
      <c r="AB10" s="679" t="s">
        <v>607</v>
      </c>
      <c r="AC10" s="679" t="s">
        <v>19</v>
      </c>
      <c r="AD10" s="679"/>
      <c r="AE10" s="679" t="s">
        <v>302</v>
      </c>
    </row>
    <row r="11" spans="1:31" ht="150" customHeight="1" x14ac:dyDescent="0.2">
      <c r="A11" s="696">
        <v>163873</v>
      </c>
      <c r="B11" s="696" t="s">
        <v>137</v>
      </c>
      <c r="C11" s="696" t="s">
        <v>615</v>
      </c>
      <c r="D11" s="696" t="s">
        <v>151</v>
      </c>
      <c r="E11" s="697">
        <v>38502</v>
      </c>
      <c r="F11" s="696" t="s">
        <v>616</v>
      </c>
      <c r="G11" s="696" t="s">
        <v>147</v>
      </c>
      <c r="H11" s="696" t="s">
        <v>296</v>
      </c>
      <c r="I11" s="696" t="s">
        <v>617</v>
      </c>
      <c r="J11" s="696" t="s">
        <v>16</v>
      </c>
      <c r="K11" s="696" t="s">
        <v>298</v>
      </c>
      <c r="L11" s="696" t="s">
        <v>618</v>
      </c>
      <c r="M11" s="698" t="s">
        <v>618</v>
      </c>
      <c r="N11" s="696" t="s">
        <v>23</v>
      </c>
      <c r="O11" s="679">
        <v>22819121</v>
      </c>
      <c r="P11" s="679" t="s">
        <v>23</v>
      </c>
      <c r="Q11" s="696" t="s">
        <v>148</v>
      </c>
      <c r="R11" s="679" t="s">
        <v>428</v>
      </c>
      <c r="S11" s="679" t="s">
        <v>3739</v>
      </c>
      <c r="T11" s="682" t="s">
        <v>23</v>
      </c>
      <c r="U11" s="679" t="s">
        <v>23</v>
      </c>
      <c r="V11" s="679" t="s">
        <v>23</v>
      </c>
      <c r="W11" s="679" t="s">
        <v>23</v>
      </c>
      <c r="X11" s="679" t="s">
        <v>23</v>
      </c>
      <c r="Y11" s="703">
        <v>39112</v>
      </c>
      <c r="Z11" s="679" t="s">
        <v>23</v>
      </c>
      <c r="AA11" s="679" t="s">
        <v>23</v>
      </c>
      <c r="AB11" s="679" t="s">
        <v>619</v>
      </c>
      <c r="AC11" s="679" t="s">
        <v>19</v>
      </c>
      <c r="AD11" s="679"/>
      <c r="AE11" s="696" t="s">
        <v>620</v>
      </c>
    </row>
    <row r="12" spans="1:31" ht="150" customHeight="1" x14ac:dyDescent="0.2">
      <c r="A12" s="696">
        <v>541723</v>
      </c>
      <c r="B12" s="696" t="s">
        <v>137</v>
      </c>
      <c r="C12" s="696" t="s">
        <v>667</v>
      </c>
      <c r="D12" s="696" t="s">
        <v>139</v>
      </c>
      <c r="E12" s="697">
        <v>43133</v>
      </c>
      <c r="F12" s="696" t="s">
        <v>668</v>
      </c>
      <c r="G12" s="696" t="s">
        <v>29</v>
      </c>
      <c r="H12" s="696" t="s">
        <v>296</v>
      </c>
      <c r="I12" s="696" t="s">
        <v>669</v>
      </c>
      <c r="J12" s="696" t="s">
        <v>16</v>
      </c>
      <c r="K12" s="731" t="s">
        <v>670</v>
      </c>
      <c r="L12" s="696" t="s">
        <v>671</v>
      </c>
      <c r="M12" s="698" t="s">
        <v>672</v>
      </c>
      <c r="N12" s="696" t="s">
        <v>374</v>
      </c>
      <c r="O12" s="696" t="s">
        <v>17</v>
      </c>
      <c r="P12" s="696" t="s">
        <v>17</v>
      </c>
      <c r="Q12" s="696" t="s">
        <v>47</v>
      </c>
      <c r="R12" s="696" t="s">
        <v>673</v>
      </c>
      <c r="S12" s="679" t="s">
        <v>38</v>
      </c>
      <c r="T12" s="696" t="s">
        <v>245</v>
      </c>
      <c r="U12" s="696" t="s">
        <v>17</v>
      </c>
      <c r="V12" s="696" t="s">
        <v>17</v>
      </c>
      <c r="W12" s="696" t="s">
        <v>17</v>
      </c>
      <c r="X12" s="696" t="s">
        <v>17</v>
      </c>
      <c r="Y12" s="696" t="s">
        <v>674</v>
      </c>
      <c r="Z12" s="696" t="s">
        <v>17</v>
      </c>
      <c r="AA12" s="696" t="s">
        <v>17</v>
      </c>
      <c r="AB12" s="696" t="s">
        <v>675</v>
      </c>
      <c r="AC12" s="679" t="s">
        <v>24</v>
      </c>
      <c r="AD12" s="679"/>
      <c r="AE12" s="696" t="s">
        <v>676</v>
      </c>
    </row>
    <row r="13" spans="1:31" ht="150" customHeight="1" x14ac:dyDescent="0.2">
      <c r="A13" s="696">
        <v>390260</v>
      </c>
      <c r="B13" s="696" t="s">
        <v>137</v>
      </c>
      <c r="C13" s="696" t="s">
        <v>710</v>
      </c>
      <c r="D13" s="702" t="s">
        <v>242</v>
      </c>
      <c r="E13" s="697">
        <v>41172</v>
      </c>
      <c r="F13" s="696" t="s">
        <v>711</v>
      </c>
      <c r="G13" s="696" t="s">
        <v>29</v>
      </c>
      <c r="H13" s="696" t="s">
        <v>712</v>
      </c>
      <c r="I13" s="696" t="s">
        <v>713</v>
      </c>
      <c r="J13" s="696" t="s">
        <v>16</v>
      </c>
      <c r="K13" s="696" t="s">
        <v>298</v>
      </c>
      <c r="L13" s="696" t="s">
        <v>714</v>
      </c>
      <c r="M13" s="698" t="s">
        <v>23</v>
      </c>
      <c r="N13" s="696" t="s">
        <v>715</v>
      </c>
      <c r="O13" s="679" t="s">
        <v>23</v>
      </c>
      <c r="P13" s="679" t="s">
        <v>23</v>
      </c>
      <c r="Q13" s="696" t="s">
        <v>47</v>
      </c>
      <c r="R13" s="679" t="s">
        <v>716</v>
      </c>
      <c r="S13" s="679" t="s">
        <v>212</v>
      </c>
      <c r="T13" s="682" t="s">
        <v>23</v>
      </c>
      <c r="U13" s="679" t="s">
        <v>23</v>
      </c>
      <c r="V13" s="679" t="s">
        <v>23</v>
      </c>
      <c r="W13" s="682" t="s">
        <v>23</v>
      </c>
      <c r="X13" s="679">
        <v>166998817</v>
      </c>
      <c r="Y13" s="703" t="s">
        <v>717</v>
      </c>
      <c r="Z13" s="703" t="s">
        <v>23</v>
      </c>
      <c r="AA13" s="679" t="s">
        <v>23</v>
      </c>
      <c r="AB13" s="703" t="s">
        <v>718</v>
      </c>
      <c r="AC13" s="679" t="s">
        <v>22</v>
      </c>
      <c r="AD13" s="679"/>
      <c r="AE13" s="679" t="s">
        <v>719</v>
      </c>
    </row>
    <row r="14" spans="1:31" ht="150" customHeight="1" x14ac:dyDescent="0.2">
      <c r="A14" s="696">
        <v>255133</v>
      </c>
      <c r="B14" s="696" t="s">
        <v>137</v>
      </c>
      <c r="C14" s="696" t="s">
        <v>720</v>
      </c>
      <c r="D14" s="696" t="s">
        <v>151</v>
      </c>
      <c r="E14" s="697">
        <v>39204</v>
      </c>
      <c r="F14" s="696" t="s">
        <v>721</v>
      </c>
      <c r="G14" s="696" t="s">
        <v>147</v>
      </c>
      <c r="H14" s="696" t="s">
        <v>296</v>
      </c>
      <c r="I14" s="696" t="s">
        <v>722</v>
      </c>
      <c r="J14" s="696" t="s">
        <v>16</v>
      </c>
      <c r="K14" s="696" t="s">
        <v>298</v>
      </c>
      <c r="L14" s="696" t="s">
        <v>723</v>
      </c>
      <c r="M14" s="698" t="s">
        <v>723</v>
      </c>
      <c r="N14" s="696" t="s">
        <v>23</v>
      </c>
      <c r="O14" s="679">
        <v>49479714</v>
      </c>
      <c r="P14" s="679" t="s">
        <v>23</v>
      </c>
      <c r="Q14" s="696" t="s">
        <v>148</v>
      </c>
      <c r="R14" s="679" t="s">
        <v>428</v>
      </c>
      <c r="S14" s="679" t="s">
        <v>3739</v>
      </c>
      <c r="T14" s="682" t="s">
        <v>23</v>
      </c>
      <c r="U14" s="679" t="s">
        <v>23</v>
      </c>
      <c r="V14" s="679" t="s">
        <v>23</v>
      </c>
      <c r="W14" s="679" t="s">
        <v>23</v>
      </c>
      <c r="X14" s="679" t="s">
        <v>23</v>
      </c>
      <c r="Y14" s="703">
        <v>40193</v>
      </c>
      <c r="Z14" s="679" t="s">
        <v>23</v>
      </c>
      <c r="AA14" s="679" t="s">
        <v>23</v>
      </c>
      <c r="AB14" s="679" t="s">
        <v>413</v>
      </c>
      <c r="AC14" s="679" t="s">
        <v>19</v>
      </c>
      <c r="AD14" s="679"/>
      <c r="AE14" s="696" t="s">
        <v>724</v>
      </c>
    </row>
    <row r="15" spans="1:31" ht="150" customHeight="1" x14ac:dyDescent="0.2">
      <c r="A15" s="696">
        <v>514409</v>
      </c>
      <c r="B15" s="696" t="s">
        <v>137</v>
      </c>
      <c r="C15" s="696" t="s">
        <v>725</v>
      </c>
      <c r="D15" s="702" t="s">
        <v>242</v>
      </c>
      <c r="E15" s="697">
        <v>42240</v>
      </c>
      <c r="F15" s="696" t="s">
        <v>726</v>
      </c>
      <c r="G15" s="696" t="s">
        <v>29</v>
      </c>
      <c r="H15" s="696" t="s">
        <v>727</v>
      </c>
      <c r="I15" s="696" t="s">
        <v>728</v>
      </c>
      <c r="J15" s="696" t="s">
        <v>16</v>
      </c>
      <c r="K15" s="696" t="s">
        <v>298</v>
      </c>
      <c r="L15" s="696" t="s">
        <v>729</v>
      </c>
      <c r="M15" s="698" t="s">
        <v>729</v>
      </c>
      <c r="N15" s="696" t="s">
        <v>23</v>
      </c>
      <c r="O15" s="679" t="s">
        <v>23</v>
      </c>
      <c r="P15" s="679" t="s">
        <v>23</v>
      </c>
      <c r="Q15" s="679"/>
      <c r="R15" s="679" t="s">
        <v>730</v>
      </c>
      <c r="S15" s="679" t="s">
        <v>43</v>
      </c>
      <c r="T15" s="682" t="s">
        <v>23</v>
      </c>
      <c r="U15" s="678" t="s">
        <v>23</v>
      </c>
      <c r="V15" s="678" t="s">
        <v>23</v>
      </c>
      <c r="W15" s="682">
        <v>159.80000000000001</v>
      </c>
      <c r="X15" s="679">
        <v>344727500</v>
      </c>
      <c r="Y15" s="703">
        <v>42949</v>
      </c>
      <c r="Z15" s="679" t="s">
        <v>731</v>
      </c>
      <c r="AA15" s="679" t="s">
        <v>23</v>
      </c>
      <c r="AB15" s="678" t="s">
        <v>732</v>
      </c>
      <c r="AC15" s="679" t="s">
        <v>22</v>
      </c>
      <c r="AD15" s="679"/>
      <c r="AE15" s="679" t="s">
        <v>733</v>
      </c>
    </row>
    <row r="16" spans="1:31" ht="150" customHeight="1" x14ac:dyDescent="0.2">
      <c r="A16" s="696">
        <v>516361</v>
      </c>
      <c r="B16" s="696" t="s">
        <v>137</v>
      </c>
      <c r="C16" s="696" t="s">
        <v>3902</v>
      </c>
      <c r="D16" s="696" t="s">
        <v>146</v>
      </c>
      <c r="E16" s="697">
        <v>42284</v>
      </c>
      <c r="F16" s="696" t="s">
        <v>752</v>
      </c>
      <c r="G16" s="696" t="s">
        <v>15</v>
      </c>
      <c r="H16" s="696" t="s">
        <v>296</v>
      </c>
      <c r="I16" s="696" t="s">
        <v>753</v>
      </c>
      <c r="J16" s="696" t="s">
        <v>16</v>
      </c>
      <c r="K16" s="696" t="s">
        <v>298</v>
      </c>
      <c r="L16" s="696" t="s">
        <v>754</v>
      </c>
      <c r="M16" s="698" t="s">
        <v>754</v>
      </c>
      <c r="N16" s="696" t="s">
        <v>755</v>
      </c>
      <c r="O16" s="679" t="s">
        <v>23</v>
      </c>
      <c r="P16" s="679" t="s">
        <v>23</v>
      </c>
      <c r="Q16" s="696" t="s">
        <v>47</v>
      </c>
      <c r="R16" s="679" t="s">
        <v>756</v>
      </c>
      <c r="S16" s="679" t="s">
        <v>3739</v>
      </c>
      <c r="T16" s="682">
        <v>410.16</v>
      </c>
      <c r="U16" s="679" t="s">
        <v>23</v>
      </c>
      <c r="V16" s="679" t="s">
        <v>23</v>
      </c>
      <c r="W16" s="682" t="s">
        <v>23</v>
      </c>
      <c r="X16" s="679" t="s">
        <v>23</v>
      </c>
      <c r="Y16" s="703">
        <v>45602</v>
      </c>
      <c r="Z16" s="679" t="s">
        <v>23</v>
      </c>
      <c r="AA16" s="679" t="s">
        <v>23</v>
      </c>
      <c r="AB16" s="679" t="s">
        <v>3903</v>
      </c>
      <c r="AC16" s="679" t="s">
        <v>22</v>
      </c>
      <c r="AD16" s="679"/>
      <c r="AE16" s="679" t="s">
        <v>758</v>
      </c>
    </row>
    <row r="17" spans="1:31" ht="150" customHeight="1" x14ac:dyDescent="0.2">
      <c r="A17" s="702">
        <v>617718</v>
      </c>
      <c r="B17" s="696" t="s">
        <v>137</v>
      </c>
      <c r="C17" s="702" t="s">
        <v>777</v>
      </c>
      <c r="D17" s="702" t="s">
        <v>139</v>
      </c>
      <c r="E17" s="819">
        <v>43687</v>
      </c>
      <c r="F17" s="702" t="s">
        <v>778</v>
      </c>
      <c r="G17" s="696" t="s">
        <v>29</v>
      </c>
      <c r="H17" s="702" t="s">
        <v>779</v>
      </c>
      <c r="I17" s="700" t="s">
        <v>780</v>
      </c>
      <c r="J17" s="696" t="s">
        <v>16</v>
      </c>
      <c r="K17" s="700" t="s">
        <v>781</v>
      </c>
      <c r="L17" s="702" t="s">
        <v>782</v>
      </c>
      <c r="M17" s="739" t="s">
        <v>783</v>
      </c>
      <c r="N17" s="702" t="s">
        <v>784</v>
      </c>
      <c r="O17" s="820" t="s">
        <v>17</v>
      </c>
      <c r="P17" s="700" t="s">
        <v>17</v>
      </c>
      <c r="Q17" s="696"/>
      <c r="R17" s="702" t="s">
        <v>785</v>
      </c>
      <c r="S17" s="700"/>
      <c r="T17" s="700" t="s">
        <v>17</v>
      </c>
      <c r="U17" s="700" t="s">
        <v>17</v>
      </c>
      <c r="V17" s="700" t="s">
        <v>17</v>
      </c>
      <c r="W17" s="700" t="s">
        <v>17</v>
      </c>
      <c r="X17" s="700" t="s">
        <v>17</v>
      </c>
      <c r="Y17" s="821" t="s">
        <v>17</v>
      </c>
      <c r="Z17" s="821" t="s">
        <v>17</v>
      </c>
      <c r="AA17" s="822" t="s">
        <v>87</v>
      </c>
      <c r="AB17" s="702" t="s">
        <v>786</v>
      </c>
      <c r="AC17" s="679" t="s">
        <v>82</v>
      </c>
      <c r="AD17" s="679"/>
      <c r="AE17" s="696" t="s">
        <v>787</v>
      </c>
    </row>
    <row r="18" spans="1:31" ht="150" customHeight="1" x14ac:dyDescent="0.3">
      <c r="A18" s="705">
        <v>768030</v>
      </c>
      <c r="B18" s="696" t="s">
        <v>137</v>
      </c>
      <c r="C18" s="696" t="s">
        <v>846</v>
      </c>
      <c r="D18" s="696" t="s">
        <v>248</v>
      </c>
      <c r="E18" s="697">
        <v>45187</v>
      </c>
      <c r="F18" s="696" t="s">
        <v>847</v>
      </c>
      <c r="G18" s="696" t="s">
        <v>29</v>
      </c>
      <c r="H18" s="705" t="s">
        <v>296</v>
      </c>
      <c r="I18" s="696" t="s">
        <v>848</v>
      </c>
      <c r="J18" s="696" t="s">
        <v>16</v>
      </c>
      <c r="K18" s="696" t="s">
        <v>298</v>
      </c>
      <c r="L18" s="696" t="s">
        <v>849</v>
      </c>
      <c r="M18" s="823" t="s">
        <v>850</v>
      </c>
      <c r="N18" s="696" t="s">
        <v>851</v>
      </c>
      <c r="O18" s="814" t="s">
        <v>17</v>
      </c>
      <c r="P18" s="814" t="s">
        <v>17</v>
      </c>
      <c r="Q18" s="696" t="s">
        <v>148</v>
      </c>
      <c r="R18" s="824" t="s">
        <v>852</v>
      </c>
      <c r="S18" s="679" t="s">
        <v>38</v>
      </c>
      <c r="T18" s="814" t="s">
        <v>155</v>
      </c>
      <c r="U18" s="814" t="s">
        <v>17</v>
      </c>
      <c r="V18" s="814" t="s">
        <v>17</v>
      </c>
      <c r="W18" s="814" t="s">
        <v>17</v>
      </c>
      <c r="X18" s="814" t="s">
        <v>17</v>
      </c>
      <c r="Y18" s="814" t="s">
        <v>853</v>
      </c>
      <c r="Z18" s="814" t="s">
        <v>853</v>
      </c>
      <c r="AA18" s="814" t="s">
        <v>853</v>
      </c>
      <c r="AB18" s="696" t="s">
        <v>854</v>
      </c>
      <c r="AC18" s="814" t="s">
        <v>19</v>
      </c>
      <c r="AD18" s="814" t="s">
        <v>439</v>
      </c>
      <c r="AE18" s="726" t="s">
        <v>855</v>
      </c>
    </row>
    <row r="19" spans="1:31" ht="150" customHeight="1" x14ac:dyDescent="0.2">
      <c r="A19" s="696">
        <v>429265</v>
      </c>
      <c r="B19" s="696" t="s">
        <v>137</v>
      </c>
      <c r="C19" s="696" t="s">
        <v>873</v>
      </c>
      <c r="D19" s="696" t="s">
        <v>243</v>
      </c>
      <c r="E19" s="697">
        <v>41540</v>
      </c>
      <c r="F19" s="696" t="s">
        <v>295</v>
      </c>
      <c r="G19" s="696" t="s">
        <v>29</v>
      </c>
      <c r="H19" s="696" t="s">
        <v>874</v>
      </c>
      <c r="I19" s="696" t="s">
        <v>875</v>
      </c>
      <c r="J19" s="696" t="s">
        <v>16</v>
      </c>
      <c r="K19" s="696" t="s">
        <v>327</v>
      </c>
      <c r="L19" s="696" t="s">
        <v>876</v>
      </c>
      <c r="M19" s="698" t="s">
        <v>876</v>
      </c>
      <c r="N19" s="696" t="s">
        <v>860</v>
      </c>
      <c r="O19" s="696" t="s">
        <v>23</v>
      </c>
      <c r="P19" s="696" t="s">
        <v>23</v>
      </c>
      <c r="Q19" s="696" t="s">
        <v>47</v>
      </c>
      <c r="R19" s="679" t="s">
        <v>870</v>
      </c>
      <c r="S19" s="679" t="s">
        <v>59</v>
      </c>
      <c r="T19" s="682" t="s">
        <v>23</v>
      </c>
      <c r="U19" s="696" t="s">
        <v>23</v>
      </c>
      <c r="V19" s="696" t="s">
        <v>23</v>
      </c>
      <c r="W19" s="682">
        <v>1836.93</v>
      </c>
      <c r="X19" s="679">
        <v>287885975</v>
      </c>
      <c r="Y19" s="703">
        <v>43103</v>
      </c>
      <c r="Z19" s="679" t="s">
        <v>23</v>
      </c>
      <c r="AA19" s="679" t="s">
        <v>23</v>
      </c>
      <c r="AB19" s="679" t="s">
        <v>877</v>
      </c>
      <c r="AC19" s="679" t="s">
        <v>19</v>
      </c>
      <c r="AD19" s="679"/>
      <c r="AE19" s="679" t="s">
        <v>302</v>
      </c>
    </row>
    <row r="20" spans="1:31" ht="150" customHeight="1" x14ac:dyDescent="0.2">
      <c r="A20" s="705">
        <v>637125</v>
      </c>
      <c r="B20" s="696" t="s">
        <v>137</v>
      </c>
      <c r="C20" s="696" t="s">
        <v>3904</v>
      </c>
      <c r="D20" s="696" t="s">
        <v>248</v>
      </c>
      <c r="E20" s="697">
        <v>44152</v>
      </c>
      <c r="F20" s="701" t="s">
        <v>1153</v>
      </c>
      <c r="G20" s="696" t="s">
        <v>15</v>
      </c>
      <c r="H20" s="696" t="s">
        <v>296</v>
      </c>
      <c r="I20" s="696" t="s">
        <v>1154</v>
      </c>
      <c r="J20" s="696" t="s">
        <v>16</v>
      </c>
      <c r="K20" s="696" t="s">
        <v>298</v>
      </c>
      <c r="L20" s="696" t="s">
        <v>1155</v>
      </c>
      <c r="M20" s="698" t="s">
        <v>1156</v>
      </c>
      <c r="N20" s="696" t="s">
        <v>17</v>
      </c>
      <c r="O20" s="679" t="s">
        <v>17</v>
      </c>
      <c r="P20" s="679" t="s">
        <v>17</v>
      </c>
      <c r="Q20" s="696" t="s">
        <v>148</v>
      </c>
      <c r="R20" s="707" t="s">
        <v>1157</v>
      </c>
      <c r="S20" s="707" t="s">
        <v>3763</v>
      </c>
      <c r="T20" s="707" t="s">
        <v>249</v>
      </c>
      <c r="U20" s="724" t="s">
        <v>17</v>
      </c>
      <c r="V20" s="679" t="s">
        <v>17</v>
      </c>
      <c r="W20" s="679" t="s">
        <v>17</v>
      </c>
      <c r="X20" s="679" t="s">
        <v>17</v>
      </c>
      <c r="Y20" s="679" t="s">
        <v>17</v>
      </c>
      <c r="Z20" s="679" t="s">
        <v>17</v>
      </c>
      <c r="AA20" s="679" t="s">
        <v>17</v>
      </c>
      <c r="AB20" s="679" t="s">
        <v>1158</v>
      </c>
      <c r="AC20" s="679" t="s">
        <v>19</v>
      </c>
      <c r="AD20" s="679"/>
      <c r="AE20" s="696" t="s">
        <v>3905</v>
      </c>
    </row>
    <row r="21" spans="1:31" ht="150" customHeight="1" x14ac:dyDescent="0.3">
      <c r="A21" s="696">
        <v>762247</v>
      </c>
      <c r="B21" s="696" t="s">
        <v>137</v>
      </c>
      <c r="C21" s="696" t="s">
        <v>3906</v>
      </c>
      <c r="D21" s="696" t="s">
        <v>242</v>
      </c>
      <c r="E21" s="697">
        <v>44911</v>
      </c>
      <c r="F21" s="696" t="s">
        <v>847</v>
      </c>
      <c r="G21" s="696" t="s">
        <v>15</v>
      </c>
      <c r="H21" s="814" t="s">
        <v>513</v>
      </c>
      <c r="I21" s="696" t="s">
        <v>904</v>
      </c>
      <c r="J21" s="696" t="s">
        <v>16</v>
      </c>
      <c r="K21" s="696" t="s">
        <v>298</v>
      </c>
      <c r="L21" s="696" t="s">
        <v>35</v>
      </c>
      <c r="M21" s="698" t="s">
        <v>1194</v>
      </c>
      <c r="N21" s="814" t="s">
        <v>516</v>
      </c>
      <c r="O21" s="696" t="s">
        <v>17</v>
      </c>
      <c r="P21" s="696" t="s">
        <v>17</v>
      </c>
      <c r="Q21" s="696" t="s">
        <v>47</v>
      </c>
      <c r="R21" s="696" t="s">
        <v>1191</v>
      </c>
      <c r="S21" s="679" t="s">
        <v>38</v>
      </c>
      <c r="T21" s="696" t="s">
        <v>206</v>
      </c>
      <c r="U21" s="696" t="s">
        <v>17</v>
      </c>
      <c r="V21" s="696" t="s">
        <v>17</v>
      </c>
      <c r="W21" s="696" t="s">
        <v>17</v>
      </c>
      <c r="X21" s="696" t="s">
        <v>17</v>
      </c>
      <c r="Y21" s="696" t="s">
        <v>17</v>
      </c>
      <c r="Z21" s="696" t="s">
        <v>17</v>
      </c>
      <c r="AA21" s="696" t="s">
        <v>17</v>
      </c>
      <c r="AB21" s="696" t="s">
        <v>1195</v>
      </c>
      <c r="AC21" s="696" t="s">
        <v>19</v>
      </c>
      <c r="AD21" s="817"/>
      <c r="AE21" s="696" t="s">
        <v>3907</v>
      </c>
    </row>
    <row r="22" spans="1:31" ht="150" customHeight="1" x14ac:dyDescent="0.2">
      <c r="A22" s="814">
        <v>742619</v>
      </c>
      <c r="B22" s="696" t="s">
        <v>137</v>
      </c>
      <c r="C22" s="696" t="s">
        <v>1203</v>
      </c>
      <c r="D22" s="814" t="s">
        <v>139</v>
      </c>
      <c r="E22" s="697">
        <v>44936</v>
      </c>
      <c r="F22" s="696" t="s">
        <v>1204</v>
      </c>
      <c r="G22" s="696" t="s">
        <v>29</v>
      </c>
      <c r="H22" s="814" t="s">
        <v>1205</v>
      </c>
      <c r="I22" s="696" t="s">
        <v>1206</v>
      </c>
      <c r="J22" s="696" t="s">
        <v>16</v>
      </c>
      <c r="K22" s="696" t="s">
        <v>298</v>
      </c>
      <c r="L22" s="696" t="s">
        <v>1207</v>
      </c>
      <c r="M22" s="698" t="s">
        <v>1208</v>
      </c>
      <c r="N22" s="696" t="s">
        <v>1209</v>
      </c>
      <c r="O22" s="679" t="s">
        <v>17</v>
      </c>
      <c r="P22" s="679" t="s">
        <v>17</v>
      </c>
      <c r="Q22" s="696" t="s">
        <v>47</v>
      </c>
      <c r="R22" s="678" t="s">
        <v>1210</v>
      </c>
      <c r="S22" s="679" t="s">
        <v>85</v>
      </c>
      <c r="T22" s="682" t="s">
        <v>250</v>
      </c>
      <c r="U22" s="679" t="s">
        <v>17</v>
      </c>
      <c r="V22" s="723" t="s">
        <v>17</v>
      </c>
      <c r="W22" s="682" t="s">
        <v>17</v>
      </c>
      <c r="X22" s="679" t="s">
        <v>17</v>
      </c>
      <c r="Y22" s="703" t="s">
        <v>17</v>
      </c>
      <c r="Z22" s="703" t="s">
        <v>17</v>
      </c>
      <c r="AA22" s="679" t="s">
        <v>17</v>
      </c>
      <c r="AB22" s="679" t="s">
        <v>1211</v>
      </c>
      <c r="AC22" s="679" t="s">
        <v>19</v>
      </c>
      <c r="AD22" s="679"/>
      <c r="AE22" s="679" t="s">
        <v>1212</v>
      </c>
    </row>
    <row r="23" spans="1:31" ht="150" customHeight="1" x14ac:dyDescent="0.2">
      <c r="A23" s="702">
        <v>660248</v>
      </c>
      <c r="B23" s="696" t="s">
        <v>137</v>
      </c>
      <c r="C23" s="739" t="s">
        <v>3908</v>
      </c>
      <c r="D23" s="702" t="s">
        <v>242</v>
      </c>
      <c r="E23" s="819">
        <v>44125</v>
      </c>
      <c r="F23" s="702" t="s">
        <v>1223</v>
      </c>
      <c r="G23" s="696" t="s">
        <v>29</v>
      </c>
      <c r="H23" s="702" t="s">
        <v>1224</v>
      </c>
      <c r="I23" s="702" t="s">
        <v>1225</v>
      </c>
      <c r="J23" s="696" t="s">
        <v>16</v>
      </c>
      <c r="K23" s="696" t="s">
        <v>298</v>
      </c>
      <c r="L23" s="702" t="s">
        <v>1226</v>
      </c>
      <c r="M23" s="739" t="s">
        <v>1227</v>
      </c>
      <c r="N23" s="700" t="s">
        <v>17</v>
      </c>
      <c r="O23" s="820" t="s">
        <v>1228</v>
      </c>
      <c r="P23" s="700" t="s">
        <v>17</v>
      </c>
      <c r="Q23" s="696"/>
      <c r="R23" s="702" t="s">
        <v>1229</v>
      </c>
      <c r="S23" s="700"/>
      <c r="T23" s="700" t="s">
        <v>17</v>
      </c>
      <c r="U23" s="700" t="s">
        <v>17</v>
      </c>
      <c r="V23" s="700" t="s">
        <v>17</v>
      </c>
      <c r="W23" s="700" t="s">
        <v>17</v>
      </c>
      <c r="X23" s="700" t="s">
        <v>1228</v>
      </c>
      <c r="Y23" s="821" t="s">
        <v>1230</v>
      </c>
      <c r="Z23" s="821" t="s">
        <v>17</v>
      </c>
      <c r="AA23" s="822" t="s">
        <v>87</v>
      </c>
      <c r="AB23" s="702" t="s">
        <v>1231</v>
      </c>
      <c r="AC23" s="700" t="s">
        <v>24</v>
      </c>
      <c r="AD23" s="700"/>
      <c r="AE23" s="700" t="s">
        <v>1232</v>
      </c>
    </row>
    <row r="24" spans="1:31" ht="150" customHeight="1" x14ac:dyDescent="0.2">
      <c r="A24" s="751" t="s">
        <v>251</v>
      </c>
      <c r="B24" s="696" t="s">
        <v>137</v>
      </c>
      <c r="C24" s="698" t="s">
        <v>3909</v>
      </c>
      <c r="D24" s="696" t="s">
        <v>248</v>
      </c>
      <c r="E24" s="697">
        <v>44036</v>
      </c>
      <c r="F24" s="698" t="s">
        <v>1234</v>
      </c>
      <c r="G24" s="696" t="s">
        <v>15</v>
      </c>
      <c r="H24" s="698" t="s">
        <v>296</v>
      </c>
      <c r="I24" s="698" t="s">
        <v>1235</v>
      </c>
      <c r="J24" s="696" t="s">
        <v>16</v>
      </c>
      <c r="K24" s="696" t="s">
        <v>298</v>
      </c>
      <c r="L24" s="696" t="s">
        <v>1236</v>
      </c>
      <c r="M24" s="753" t="s">
        <v>1237</v>
      </c>
      <c r="N24" s="751" t="s">
        <v>46</v>
      </c>
      <c r="O24" s="679" t="s">
        <v>17</v>
      </c>
      <c r="P24" s="679" t="s">
        <v>17</v>
      </c>
      <c r="Q24" s="696" t="s">
        <v>148</v>
      </c>
      <c r="R24" s="754" t="s">
        <v>1238</v>
      </c>
      <c r="S24" s="679" t="s">
        <v>3739</v>
      </c>
      <c r="T24" s="707" t="s">
        <v>253</v>
      </c>
      <c r="U24" s="724" t="s">
        <v>17</v>
      </c>
      <c r="V24" s="707" t="s">
        <v>17</v>
      </c>
      <c r="W24" s="707" t="s">
        <v>17</v>
      </c>
      <c r="X24" s="707" t="s">
        <v>17</v>
      </c>
      <c r="Y24" s="707" t="s">
        <v>17</v>
      </c>
      <c r="Z24" s="707" t="s">
        <v>17</v>
      </c>
      <c r="AA24" s="707" t="s">
        <v>17</v>
      </c>
      <c r="AB24" s="707" t="s">
        <v>1239</v>
      </c>
      <c r="AC24" s="679" t="s">
        <v>19</v>
      </c>
      <c r="AD24" s="679"/>
      <c r="AE24" s="696" t="s">
        <v>3910</v>
      </c>
    </row>
    <row r="25" spans="1:31" ht="150" customHeight="1" x14ac:dyDescent="0.2">
      <c r="A25" s="696">
        <v>521954</v>
      </c>
      <c r="B25" s="696" t="s">
        <v>137</v>
      </c>
      <c r="C25" s="696" t="s">
        <v>3911</v>
      </c>
      <c r="D25" s="696" t="s">
        <v>151</v>
      </c>
      <c r="E25" s="697">
        <v>42235</v>
      </c>
      <c r="F25" s="696" t="s">
        <v>1293</v>
      </c>
      <c r="G25" s="696" t="s">
        <v>15</v>
      </c>
      <c r="H25" s="696" t="s">
        <v>296</v>
      </c>
      <c r="I25" s="696" t="s">
        <v>1294</v>
      </c>
      <c r="J25" s="696" t="s">
        <v>16</v>
      </c>
      <c r="K25" s="696" t="s">
        <v>298</v>
      </c>
      <c r="L25" s="696" t="s">
        <v>1295</v>
      </c>
      <c r="M25" s="698" t="s">
        <v>1295</v>
      </c>
      <c r="N25" s="696" t="s">
        <v>23</v>
      </c>
      <c r="O25" s="679">
        <v>31471732</v>
      </c>
      <c r="P25" s="679" t="s">
        <v>23</v>
      </c>
      <c r="Q25" s="696" t="s">
        <v>148</v>
      </c>
      <c r="R25" s="679" t="s">
        <v>428</v>
      </c>
      <c r="S25" s="679" t="s">
        <v>3739</v>
      </c>
      <c r="T25" s="682" t="s">
        <v>23</v>
      </c>
      <c r="U25" s="679" t="s">
        <v>23</v>
      </c>
      <c r="V25" s="679" t="s">
        <v>23</v>
      </c>
      <c r="W25" s="679" t="s">
        <v>23</v>
      </c>
      <c r="X25" s="679" t="s">
        <v>23</v>
      </c>
      <c r="Y25" s="703" t="s">
        <v>23</v>
      </c>
      <c r="Z25" s="679" t="s">
        <v>23</v>
      </c>
      <c r="AA25" s="679" t="s">
        <v>23</v>
      </c>
      <c r="AB25" s="825" t="s">
        <v>1296</v>
      </c>
      <c r="AC25" s="679" t="s">
        <v>19</v>
      </c>
      <c r="AD25" s="679"/>
      <c r="AE25" s="679" t="s">
        <v>1297</v>
      </c>
    </row>
    <row r="26" spans="1:31" ht="150" customHeight="1" x14ac:dyDescent="0.2">
      <c r="A26" s="696">
        <v>591951</v>
      </c>
      <c r="B26" s="696" t="s">
        <v>137</v>
      </c>
      <c r="C26" s="696" t="s">
        <v>1298</v>
      </c>
      <c r="D26" s="696" t="s">
        <v>248</v>
      </c>
      <c r="E26" s="697">
        <v>43497</v>
      </c>
      <c r="F26" s="696" t="s">
        <v>1299</v>
      </c>
      <c r="G26" s="696" t="s">
        <v>29</v>
      </c>
      <c r="H26" s="696" t="s">
        <v>296</v>
      </c>
      <c r="I26" s="696" t="s">
        <v>1300</v>
      </c>
      <c r="J26" s="696" t="s">
        <v>16</v>
      </c>
      <c r="K26" s="696" t="s">
        <v>298</v>
      </c>
      <c r="L26" s="696" t="s">
        <v>1301</v>
      </c>
      <c r="M26" s="698" t="s">
        <v>1302</v>
      </c>
      <c r="N26" s="696" t="s">
        <v>17</v>
      </c>
      <c r="O26" s="679" t="s">
        <v>17</v>
      </c>
      <c r="P26" s="679" t="s">
        <v>17</v>
      </c>
      <c r="Q26" s="696" t="s">
        <v>148</v>
      </c>
      <c r="R26" s="679" t="s">
        <v>1303</v>
      </c>
      <c r="S26" s="679" t="s">
        <v>68</v>
      </c>
      <c r="T26" s="679" t="s">
        <v>17</v>
      </c>
      <c r="U26" s="679" t="s">
        <v>17</v>
      </c>
      <c r="V26" s="679" t="s">
        <v>17</v>
      </c>
      <c r="W26" s="679" t="s">
        <v>17</v>
      </c>
      <c r="X26" s="679" t="s">
        <v>17</v>
      </c>
      <c r="Y26" s="679" t="s">
        <v>17</v>
      </c>
      <c r="Z26" s="679" t="s">
        <v>17</v>
      </c>
      <c r="AA26" s="679" t="s">
        <v>17</v>
      </c>
      <c r="AB26" s="679" t="s">
        <v>1304</v>
      </c>
      <c r="AC26" s="679" t="s">
        <v>19</v>
      </c>
      <c r="AD26" s="679"/>
      <c r="AE26" s="696" t="s">
        <v>787</v>
      </c>
    </row>
    <row r="27" spans="1:31" ht="150" customHeight="1" x14ac:dyDescent="0.2">
      <c r="A27" s="696">
        <v>644896</v>
      </c>
      <c r="B27" s="696" t="s">
        <v>137</v>
      </c>
      <c r="C27" s="696" t="s">
        <v>1351</v>
      </c>
      <c r="D27" s="696" t="s">
        <v>248</v>
      </c>
      <c r="E27" s="697">
        <v>43861</v>
      </c>
      <c r="F27" s="696" t="s">
        <v>711</v>
      </c>
      <c r="G27" s="696" t="s">
        <v>29</v>
      </c>
      <c r="H27" s="696" t="s">
        <v>1352</v>
      </c>
      <c r="I27" s="696" t="s">
        <v>296</v>
      </c>
      <c r="J27" s="696" t="s">
        <v>16</v>
      </c>
      <c r="K27" s="696" t="s">
        <v>298</v>
      </c>
      <c r="L27" s="696" t="s">
        <v>1353</v>
      </c>
      <c r="M27" s="698" t="s">
        <v>1354</v>
      </c>
      <c r="N27" s="696" t="s">
        <v>17</v>
      </c>
      <c r="O27" s="679" t="s">
        <v>17</v>
      </c>
      <c r="P27" s="679" t="s">
        <v>17</v>
      </c>
      <c r="Q27" s="679"/>
      <c r="R27" s="678" t="s">
        <v>1355</v>
      </c>
      <c r="S27" s="679" t="s">
        <v>3737</v>
      </c>
      <c r="T27" s="682" t="s">
        <v>23</v>
      </c>
      <c r="U27" s="679" t="s">
        <v>17</v>
      </c>
      <c r="V27" s="723" t="s">
        <v>17</v>
      </c>
      <c r="W27" s="682" t="s">
        <v>17</v>
      </c>
      <c r="X27" s="679">
        <v>0</v>
      </c>
      <c r="Y27" s="703" t="s">
        <v>1356</v>
      </c>
      <c r="Z27" s="703" t="s">
        <v>1357</v>
      </c>
      <c r="AA27" s="679" t="s">
        <v>17</v>
      </c>
      <c r="AB27" s="679" t="s">
        <v>1358</v>
      </c>
      <c r="AC27" s="679" t="s">
        <v>22</v>
      </c>
      <c r="AD27" s="679"/>
      <c r="AE27" s="696" t="s">
        <v>1359</v>
      </c>
    </row>
    <row r="28" spans="1:31" ht="150" customHeight="1" x14ac:dyDescent="0.2">
      <c r="A28" s="696">
        <v>579260</v>
      </c>
      <c r="B28" s="696" t="s">
        <v>137</v>
      </c>
      <c r="C28" s="696" t="s">
        <v>1400</v>
      </c>
      <c r="D28" s="696" t="s">
        <v>243</v>
      </c>
      <c r="E28" s="697">
        <v>43312</v>
      </c>
      <c r="F28" s="696" t="s">
        <v>1401</v>
      </c>
      <c r="G28" s="696" t="s">
        <v>29</v>
      </c>
      <c r="H28" s="696" t="s">
        <v>1402</v>
      </c>
      <c r="I28" s="696" t="s">
        <v>1403</v>
      </c>
      <c r="J28" s="696" t="s">
        <v>16</v>
      </c>
      <c r="K28" s="696" t="s">
        <v>298</v>
      </c>
      <c r="L28" s="696" t="s">
        <v>1404</v>
      </c>
      <c r="M28" s="698" t="s">
        <v>1405</v>
      </c>
      <c r="N28" s="696" t="s">
        <v>1406</v>
      </c>
      <c r="O28" s="679" t="s">
        <v>1407</v>
      </c>
      <c r="P28" s="679" t="s">
        <v>17</v>
      </c>
      <c r="Q28" s="696" t="s">
        <v>47</v>
      </c>
      <c r="R28" s="678" t="s">
        <v>1408</v>
      </c>
      <c r="S28" s="696" t="s">
        <v>3734</v>
      </c>
      <c r="T28" s="682" t="s">
        <v>17</v>
      </c>
      <c r="U28" s="682" t="s">
        <v>23</v>
      </c>
      <c r="V28" s="682" t="s">
        <v>23</v>
      </c>
      <c r="W28" s="682" t="s">
        <v>23</v>
      </c>
      <c r="X28" s="682" t="s">
        <v>23</v>
      </c>
      <c r="Y28" s="682" t="s">
        <v>1409</v>
      </c>
      <c r="Z28" s="682" t="s">
        <v>17</v>
      </c>
      <c r="AA28" s="682" t="s">
        <v>17</v>
      </c>
      <c r="AB28" s="678" t="s">
        <v>1410</v>
      </c>
      <c r="AC28" s="679" t="s">
        <v>19</v>
      </c>
      <c r="AD28" s="679"/>
      <c r="AE28" s="696" t="s">
        <v>302</v>
      </c>
    </row>
    <row r="29" spans="1:31" ht="150" customHeight="1" x14ac:dyDescent="0.2">
      <c r="A29" s="696">
        <v>164144</v>
      </c>
      <c r="B29" s="696" t="s">
        <v>137</v>
      </c>
      <c r="C29" s="696" t="s">
        <v>1428</v>
      </c>
      <c r="D29" s="696" t="s">
        <v>151</v>
      </c>
      <c r="E29" s="697">
        <v>38625</v>
      </c>
      <c r="F29" s="696" t="s">
        <v>616</v>
      </c>
      <c r="G29" s="696" t="s">
        <v>145</v>
      </c>
      <c r="H29" s="696" t="s">
        <v>296</v>
      </c>
      <c r="I29" s="696" t="s">
        <v>1429</v>
      </c>
      <c r="J29" s="696" t="s">
        <v>16</v>
      </c>
      <c r="K29" s="696" t="s">
        <v>298</v>
      </c>
      <c r="L29" s="696" t="s">
        <v>1430</v>
      </c>
      <c r="M29" s="698" t="s">
        <v>1430</v>
      </c>
      <c r="N29" s="696" t="s">
        <v>23</v>
      </c>
      <c r="O29" s="679">
        <v>25818291</v>
      </c>
      <c r="P29" s="679" t="s">
        <v>23</v>
      </c>
      <c r="Q29" s="696" t="s">
        <v>148</v>
      </c>
      <c r="R29" s="679" t="s">
        <v>1431</v>
      </c>
      <c r="S29" s="679" t="s">
        <v>3757</v>
      </c>
      <c r="T29" s="682" t="s">
        <v>23</v>
      </c>
      <c r="U29" s="679" t="s">
        <v>23</v>
      </c>
      <c r="V29" s="679" t="s">
        <v>23</v>
      </c>
      <c r="W29" s="679" t="s">
        <v>23</v>
      </c>
      <c r="X29" s="679" t="s">
        <v>23</v>
      </c>
      <c r="Y29" s="703">
        <v>40647</v>
      </c>
      <c r="Z29" s="679" t="s">
        <v>23</v>
      </c>
      <c r="AA29" s="679" t="s">
        <v>23</v>
      </c>
      <c r="AB29" s="696" t="s">
        <v>1432</v>
      </c>
      <c r="AC29" s="679" t="s">
        <v>19</v>
      </c>
      <c r="AD29" s="679"/>
      <c r="AE29" s="696" t="s">
        <v>1433</v>
      </c>
    </row>
    <row r="30" spans="1:31" ht="150" customHeight="1" x14ac:dyDescent="0.2">
      <c r="A30" s="696">
        <v>262704</v>
      </c>
      <c r="B30" s="696" t="s">
        <v>137</v>
      </c>
      <c r="C30" s="696" t="s">
        <v>3912</v>
      </c>
      <c r="D30" s="696" t="s">
        <v>151</v>
      </c>
      <c r="E30" s="697">
        <v>38849</v>
      </c>
      <c r="F30" s="696" t="s">
        <v>410</v>
      </c>
      <c r="G30" s="696" t="s">
        <v>15</v>
      </c>
      <c r="H30" s="696" t="s">
        <v>296</v>
      </c>
      <c r="I30" s="696" t="s">
        <v>1496</v>
      </c>
      <c r="J30" s="696" t="s">
        <v>16</v>
      </c>
      <c r="K30" s="696" t="s">
        <v>298</v>
      </c>
      <c r="L30" s="696" t="s">
        <v>1497</v>
      </c>
      <c r="M30" s="698" t="s">
        <v>1497</v>
      </c>
      <c r="N30" s="696" t="s">
        <v>23</v>
      </c>
      <c r="O30" s="679">
        <v>42753250</v>
      </c>
      <c r="P30" s="679" t="s">
        <v>23</v>
      </c>
      <c r="Q30" s="679" t="s">
        <v>163</v>
      </c>
      <c r="R30" s="679" t="s">
        <v>1498</v>
      </c>
      <c r="S30" s="679" t="s">
        <v>38</v>
      </c>
      <c r="T30" s="682" t="s">
        <v>23</v>
      </c>
      <c r="U30" s="679" t="s">
        <v>23</v>
      </c>
      <c r="V30" s="679" t="s">
        <v>23</v>
      </c>
      <c r="W30" s="679" t="s">
        <v>23</v>
      </c>
      <c r="X30" s="679" t="s">
        <v>23</v>
      </c>
      <c r="Y30" s="703">
        <v>40812</v>
      </c>
      <c r="Z30" s="679" t="s">
        <v>23</v>
      </c>
      <c r="AA30" s="679" t="s">
        <v>23</v>
      </c>
      <c r="AB30" s="679" t="s">
        <v>1499</v>
      </c>
      <c r="AC30" s="679" t="s">
        <v>22</v>
      </c>
      <c r="AD30" s="679"/>
      <c r="AE30" s="679" t="s">
        <v>1500</v>
      </c>
    </row>
    <row r="31" spans="1:31" ht="150" customHeight="1" x14ac:dyDescent="0.2">
      <c r="A31" s="696">
        <v>663854</v>
      </c>
      <c r="B31" s="696" t="s">
        <v>137</v>
      </c>
      <c r="C31" s="696" t="s">
        <v>1539</v>
      </c>
      <c r="D31" s="696" t="s">
        <v>243</v>
      </c>
      <c r="E31" s="697">
        <v>43328</v>
      </c>
      <c r="F31" s="696" t="s">
        <v>847</v>
      </c>
      <c r="G31" s="696" t="s">
        <v>29</v>
      </c>
      <c r="H31" s="696" t="s">
        <v>1540</v>
      </c>
      <c r="I31" s="696" t="s">
        <v>1541</v>
      </c>
      <c r="J31" s="696" t="s">
        <v>16</v>
      </c>
      <c r="K31" s="814" t="s">
        <v>781</v>
      </c>
      <c r="L31" s="696" t="s">
        <v>243</v>
      </c>
      <c r="M31" s="698" t="s">
        <v>1542</v>
      </c>
      <c r="N31" s="696" t="s">
        <v>1543</v>
      </c>
      <c r="O31" s="679" t="s">
        <v>460</v>
      </c>
      <c r="P31" s="679" t="s">
        <v>460</v>
      </c>
      <c r="Q31" s="696" t="s">
        <v>47</v>
      </c>
      <c r="R31" s="678" t="s">
        <v>1544</v>
      </c>
      <c r="S31" s="679" t="s">
        <v>41</v>
      </c>
      <c r="T31" s="682" t="s">
        <v>255</v>
      </c>
      <c r="U31" s="679" t="s">
        <v>460</v>
      </c>
      <c r="V31" s="723" t="s">
        <v>460</v>
      </c>
      <c r="W31" s="682" t="s">
        <v>460</v>
      </c>
      <c r="X31" s="679" t="s">
        <v>460</v>
      </c>
      <c r="Y31" s="703" t="s">
        <v>19</v>
      </c>
      <c r="Z31" s="703" t="s">
        <v>460</v>
      </c>
      <c r="AA31" s="679" t="s">
        <v>460</v>
      </c>
      <c r="AB31" s="679" t="s">
        <v>1545</v>
      </c>
      <c r="AC31" s="679" t="s">
        <v>19</v>
      </c>
      <c r="AD31" s="679"/>
      <c r="AE31" s="696" t="s">
        <v>1546</v>
      </c>
    </row>
    <row r="32" spans="1:31" ht="150" customHeight="1" x14ac:dyDescent="0.2">
      <c r="A32" s="696">
        <v>648160</v>
      </c>
      <c r="B32" s="696" t="s">
        <v>137</v>
      </c>
      <c r="C32" s="696" t="s">
        <v>1601</v>
      </c>
      <c r="D32" s="696" t="s">
        <v>248</v>
      </c>
      <c r="E32" s="697">
        <v>41568</v>
      </c>
      <c r="F32" s="696" t="s">
        <v>1602</v>
      </c>
      <c r="G32" s="696" t="s">
        <v>29</v>
      </c>
      <c r="H32" s="696" t="s">
        <v>1603</v>
      </c>
      <c r="I32" s="696" t="s">
        <v>357</v>
      </c>
      <c r="J32" s="696" t="s">
        <v>16</v>
      </c>
      <c r="K32" s="696" t="s">
        <v>298</v>
      </c>
      <c r="L32" s="696" t="s">
        <v>1604</v>
      </c>
      <c r="M32" s="698" t="s">
        <v>1605</v>
      </c>
      <c r="N32" s="696" t="s">
        <v>17</v>
      </c>
      <c r="O32" s="679" t="s">
        <v>23</v>
      </c>
      <c r="P32" s="679" t="s">
        <v>17</v>
      </c>
      <c r="Q32" s="679"/>
      <c r="R32" s="678" t="s">
        <v>1606</v>
      </c>
      <c r="S32" s="679" t="s">
        <v>3757</v>
      </c>
      <c r="T32" s="682" t="s">
        <v>23</v>
      </c>
      <c r="U32" s="679" t="s">
        <v>17</v>
      </c>
      <c r="V32" s="723" t="s">
        <v>17</v>
      </c>
      <c r="W32" s="682" t="s">
        <v>23</v>
      </c>
      <c r="X32" s="679" t="s">
        <v>23</v>
      </c>
      <c r="Y32" s="703" t="s">
        <v>1607</v>
      </c>
      <c r="Z32" s="703" t="s">
        <v>17</v>
      </c>
      <c r="AA32" s="679" t="s">
        <v>17</v>
      </c>
      <c r="AB32" s="679" t="s">
        <v>1608</v>
      </c>
      <c r="AC32" s="679" t="s">
        <v>19</v>
      </c>
      <c r="AD32" s="679"/>
      <c r="AE32" s="696" t="s">
        <v>1609</v>
      </c>
    </row>
    <row r="33" spans="1:31" ht="150" customHeight="1" x14ac:dyDescent="0.2">
      <c r="A33" s="696">
        <v>580422</v>
      </c>
      <c r="B33" s="696" t="s">
        <v>137</v>
      </c>
      <c r="C33" s="696" t="s">
        <v>1657</v>
      </c>
      <c r="D33" s="702" t="s">
        <v>242</v>
      </c>
      <c r="E33" s="697">
        <v>43328</v>
      </c>
      <c r="F33" s="696" t="s">
        <v>1658</v>
      </c>
      <c r="G33" s="696" t="s">
        <v>29</v>
      </c>
      <c r="H33" s="696" t="s">
        <v>1659</v>
      </c>
      <c r="I33" s="696" t="s">
        <v>1660</v>
      </c>
      <c r="J33" s="696" t="s">
        <v>16</v>
      </c>
      <c r="K33" s="696" t="s">
        <v>298</v>
      </c>
      <c r="L33" s="696" t="s">
        <v>374</v>
      </c>
      <c r="M33" s="698" t="s">
        <v>1661</v>
      </c>
      <c r="N33" s="696" t="s">
        <v>374</v>
      </c>
      <c r="O33" s="679" t="s">
        <v>17</v>
      </c>
      <c r="P33" s="679" t="s">
        <v>17</v>
      </c>
      <c r="Q33" s="679" t="s">
        <v>163</v>
      </c>
      <c r="R33" s="704" t="s">
        <v>1662</v>
      </c>
      <c r="S33" s="679" t="s">
        <v>38</v>
      </c>
      <c r="T33" s="682">
        <v>1311</v>
      </c>
      <c r="U33" s="679" t="s">
        <v>23</v>
      </c>
      <c r="V33" s="679" t="s">
        <v>23</v>
      </c>
      <c r="W33" s="679" t="s">
        <v>23</v>
      </c>
      <c r="X33" s="679" t="s">
        <v>23</v>
      </c>
      <c r="Y33" s="703" t="s">
        <v>1663</v>
      </c>
      <c r="Z33" s="703" t="s">
        <v>23</v>
      </c>
      <c r="AA33" s="679" t="s">
        <v>23</v>
      </c>
      <c r="AB33" s="678" t="s">
        <v>877</v>
      </c>
      <c r="AC33" s="679" t="s">
        <v>19</v>
      </c>
      <c r="AD33" s="679"/>
      <c r="AE33" s="696" t="s">
        <v>1664</v>
      </c>
    </row>
    <row r="34" spans="1:31" ht="150" customHeight="1" x14ac:dyDescent="0.2">
      <c r="A34" s="696">
        <v>347321</v>
      </c>
      <c r="B34" s="696" t="s">
        <v>137</v>
      </c>
      <c r="C34" s="696" t="s">
        <v>1691</v>
      </c>
      <c r="D34" s="696" t="s">
        <v>243</v>
      </c>
      <c r="E34" s="697">
        <v>40360</v>
      </c>
      <c r="F34" s="696" t="s">
        <v>1692</v>
      </c>
      <c r="G34" s="696" t="s">
        <v>29</v>
      </c>
      <c r="H34" s="696" t="s">
        <v>1693</v>
      </c>
      <c r="I34" s="696" t="s">
        <v>1694</v>
      </c>
      <c r="J34" s="696" t="s">
        <v>16</v>
      </c>
      <c r="K34" s="696" t="s">
        <v>298</v>
      </c>
      <c r="L34" s="696" t="s">
        <v>1695</v>
      </c>
      <c r="M34" s="698" t="s">
        <v>1695</v>
      </c>
      <c r="N34" s="696" t="s">
        <v>23</v>
      </c>
      <c r="O34" s="679" t="s">
        <v>23</v>
      </c>
      <c r="P34" s="679" t="s">
        <v>23</v>
      </c>
      <c r="Q34" s="696" t="s">
        <v>47</v>
      </c>
      <c r="R34" s="679" t="s">
        <v>1696</v>
      </c>
      <c r="S34" s="679" t="s">
        <v>51</v>
      </c>
      <c r="T34" s="682" t="s">
        <v>23</v>
      </c>
      <c r="U34" s="679" t="s">
        <v>23</v>
      </c>
      <c r="V34" s="679" t="s">
        <v>23</v>
      </c>
      <c r="W34" s="682">
        <v>72537.94</v>
      </c>
      <c r="X34" s="679">
        <v>61627899339</v>
      </c>
      <c r="Y34" s="703">
        <v>43328</v>
      </c>
      <c r="Z34" s="703" t="s">
        <v>23</v>
      </c>
      <c r="AA34" s="679" t="s">
        <v>23</v>
      </c>
      <c r="AB34" s="678" t="s">
        <v>1231</v>
      </c>
      <c r="AC34" s="679" t="s">
        <v>19</v>
      </c>
      <c r="AD34" s="679"/>
      <c r="AE34" s="696" t="s">
        <v>1697</v>
      </c>
    </row>
    <row r="35" spans="1:31" ht="150" customHeight="1" x14ac:dyDescent="0.2">
      <c r="A35" s="696">
        <v>630438</v>
      </c>
      <c r="B35" s="696" t="s">
        <v>137</v>
      </c>
      <c r="C35" s="696" t="s">
        <v>1782</v>
      </c>
      <c r="D35" s="696" t="s">
        <v>248</v>
      </c>
      <c r="E35" s="697">
        <v>43864</v>
      </c>
      <c r="F35" s="696" t="s">
        <v>711</v>
      </c>
      <c r="G35" s="696" t="s">
        <v>29</v>
      </c>
      <c r="H35" s="696" t="s">
        <v>1783</v>
      </c>
      <c r="I35" s="696" t="s">
        <v>296</v>
      </c>
      <c r="J35" s="696" t="s">
        <v>16</v>
      </c>
      <c r="K35" s="696" t="s">
        <v>298</v>
      </c>
      <c r="L35" s="696" t="s">
        <v>1784</v>
      </c>
      <c r="M35" s="826" t="s">
        <v>1785</v>
      </c>
      <c r="N35" s="696" t="s">
        <v>1786</v>
      </c>
      <c r="O35" s="679" t="s">
        <v>1787</v>
      </c>
      <c r="P35" s="679" t="s">
        <v>87</v>
      </c>
      <c r="Q35" s="679"/>
      <c r="R35" s="678" t="s">
        <v>1788</v>
      </c>
      <c r="S35" s="679" t="s">
        <v>61</v>
      </c>
      <c r="T35" s="679" t="s">
        <v>87</v>
      </c>
      <c r="U35" s="679" t="s">
        <v>87</v>
      </c>
      <c r="V35" s="723" t="s">
        <v>17</v>
      </c>
      <c r="W35" s="682" t="s">
        <v>87</v>
      </c>
      <c r="X35" s="679" t="s">
        <v>1787</v>
      </c>
      <c r="Y35" s="703" t="s">
        <v>1789</v>
      </c>
      <c r="Z35" s="703" t="s">
        <v>17</v>
      </c>
      <c r="AA35" s="679" t="s">
        <v>87</v>
      </c>
      <c r="AB35" s="679" t="s">
        <v>1790</v>
      </c>
      <c r="AC35" s="679" t="s">
        <v>257</v>
      </c>
      <c r="AD35" s="679"/>
      <c r="AE35" s="696" t="s">
        <v>1791</v>
      </c>
    </row>
    <row r="36" spans="1:31" ht="150" customHeight="1" x14ac:dyDescent="0.2">
      <c r="A36" s="696">
        <v>583326</v>
      </c>
      <c r="B36" s="696" t="s">
        <v>137</v>
      </c>
      <c r="C36" s="696" t="s">
        <v>1845</v>
      </c>
      <c r="D36" s="696" t="s">
        <v>243</v>
      </c>
      <c r="E36" s="697">
        <v>43369</v>
      </c>
      <c r="F36" s="696" t="s">
        <v>1401</v>
      </c>
      <c r="G36" s="696" t="s">
        <v>29</v>
      </c>
      <c r="H36" s="696" t="s">
        <v>296</v>
      </c>
      <c r="I36" s="696" t="s">
        <v>1846</v>
      </c>
      <c r="J36" s="696" t="s">
        <v>16</v>
      </c>
      <c r="K36" s="696" t="s">
        <v>298</v>
      </c>
      <c r="L36" s="696" t="s">
        <v>1847</v>
      </c>
      <c r="M36" s="698" t="s">
        <v>1848</v>
      </c>
      <c r="N36" s="696" t="s">
        <v>1849</v>
      </c>
      <c r="O36" s="679" t="s">
        <v>17</v>
      </c>
      <c r="P36" s="679" t="s">
        <v>17</v>
      </c>
      <c r="Q36" s="679" t="s">
        <v>163</v>
      </c>
      <c r="R36" s="722" t="s">
        <v>1850</v>
      </c>
      <c r="S36" s="679" t="s">
        <v>57</v>
      </c>
      <c r="T36" s="704" t="s">
        <v>17</v>
      </c>
      <c r="U36" s="679" t="s">
        <v>17</v>
      </c>
      <c r="V36" s="679" t="s">
        <v>17</v>
      </c>
      <c r="W36" s="679" t="s">
        <v>17</v>
      </c>
      <c r="X36" s="679" t="s">
        <v>17</v>
      </c>
      <c r="Y36" s="679" t="s">
        <v>1851</v>
      </c>
      <c r="Z36" s="679" t="s">
        <v>17</v>
      </c>
      <c r="AA36" s="679" t="s">
        <v>17</v>
      </c>
      <c r="AB36" s="682" t="s">
        <v>1852</v>
      </c>
      <c r="AC36" s="679" t="s">
        <v>19</v>
      </c>
      <c r="AD36" s="679"/>
      <c r="AE36" s="696" t="s">
        <v>1853</v>
      </c>
    </row>
    <row r="37" spans="1:31" ht="150" customHeight="1" x14ac:dyDescent="0.2">
      <c r="A37" s="696">
        <v>700533</v>
      </c>
      <c r="B37" s="696" t="s">
        <v>137</v>
      </c>
      <c r="C37" s="696" t="s">
        <v>3913</v>
      </c>
      <c r="D37" s="696" t="s">
        <v>243</v>
      </c>
      <c r="E37" s="697">
        <v>44625</v>
      </c>
      <c r="F37" s="696" t="s">
        <v>1855</v>
      </c>
      <c r="G37" s="696" t="s">
        <v>15</v>
      </c>
      <c r="H37" s="696" t="s">
        <v>296</v>
      </c>
      <c r="I37" s="696" t="s">
        <v>1856</v>
      </c>
      <c r="J37" s="696" t="s">
        <v>16</v>
      </c>
      <c r="K37" s="696" t="s">
        <v>298</v>
      </c>
      <c r="L37" s="696" t="s">
        <v>1857</v>
      </c>
      <c r="M37" s="698" t="s">
        <v>1858</v>
      </c>
      <c r="N37" s="696" t="s">
        <v>23</v>
      </c>
      <c r="O37" s="679" t="s">
        <v>1859</v>
      </c>
      <c r="P37" s="679" t="s">
        <v>23</v>
      </c>
      <c r="Q37" s="696"/>
      <c r="R37" s="679" t="s">
        <v>1850</v>
      </c>
      <c r="S37" s="700"/>
      <c r="T37" s="682" t="s">
        <v>23</v>
      </c>
      <c r="U37" s="679" t="s">
        <v>23</v>
      </c>
      <c r="V37" s="679" t="s">
        <v>23</v>
      </c>
      <c r="W37" s="682" t="s">
        <v>23</v>
      </c>
      <c r="X37" s="827" t="s">
        <v>1860</v>
      </c>
      <c r="Y37" s="703" t="s">
        <v>460</v>
      </c>
      <c r="Z37" s="703" t="s">
        <v>23</v>
      </c>
      <c r="AA37" s="679" t="s">
        <v>23</v>
      </c>
      <c r="AB37" s="679" t="s">
        <v>1861</v>
      </c>
      <c r="AC37" s="679" t="s">
        <v>19</v>
      </c>
      <c r="AD37" s="679"/>
      <c r="AE37" s="696" t="s">
        <v>3914</v>
      </c>
    </row>
    <row r="38" spans="1:31" ht="150" customHeight="1" x14ac:dyDescent="0.2">
      <c r="A38" s="696">
        <v>705100</v>
      </c>
      <c r="B38" s="696" t="s">
        <v>137</v>
      </c>
      <c r="C38" s="696" t="s">
        <v>3915</v>
      </c>
      <c r="D38" s="696" t="s">
        <v>258</v>
      </c>
      <c r="E38" s="697">
        <v>44726</v>
      </c>
      <c r="F38" s="696" t="s">
        <v>1234</v>
      </c>
      <c r="G38" s="696" t="s">
        <v>15</v>
      </c>
      <c r="H38" s="696" t="s">
        <v>1875</v>
      </c>
      <c r="I38" s="696" t="s">
        <v>1876</v>
      </c>
      <c r="J38" s="696" t="s">
        <v>16</v>
      </c>
      <c r="K38" s="696" t="s">
        <v>298</v>
      </c>
      <c r="L38" s="696" t="s">
        <v>1877</v>
      </c>
      <c r="M38" s="698" t="s">
        <v>1878</v>
      </c>
      <c r="N38" s="696" t="s">
        <v>17</v>
      </c>
      <c r="O38" s="696" t="s">
        <v>1879</v>
      </c>
      <c r="P38" s="696" t="s">
        <v>1879</v>
      </c>
      <c r="Q38" s="696"/>
      <c r="R38" s="696" t="s">
        <v>1871</v>
      </c>
      <c r="S38" s="700"/>
      <c r="T38" s="696" t="s">
        <v>17</v>
      </c>
      <c r="U38" s="696" t="s">
        <v>17</v>
      </c>
      <c r="V38" s="696" t="s">
        <v>17</v>
      </c>
      <c r="W38" s="696" t="s">
        <v>17</v>
      </c>
      <c r="X38" s="696" t="s">
        <v>17</v>
      </c>
      <c r="Y38" s="696" t="s">
        <v>1880</v>
      </c>
      <c r="Z38" s="696" t="s">
        <v>17</v>
      </c>
      <c r="AA38" s="696" t="s">
        <v>17</v>
      </c>
      <c r="AB38" s="696" t="s">
        <v>1881</v>
      </c>
      <c r="AC38" s="696" t="s">
        <v>19</v>
      </c>
      <c r="AD38" s="696"/>
      <c r="AE38" s="696" t="s">
        <v>1882</v>
      </c>
    </row>
    <row r="39" spans="1:31" ht="150" customHeight="1" x14ac:dyDescent="0.2">
      <c r="A39" s="696">
        <v>730899</v>
      </c>
      <c r="B39" s="696" t="s">
        <v>137</v>
      </c>
      <c r="C39" s="828" t="s">
        <v>1891</v>
      </c>
      <c r="D39" s="696" t="s">
        <v>248</v>
      </c>
      <c r="E39" s="697">
        <v>42685</v>
      </c>
      <c r="F39" s="696" t="s">
        <v>1892</v>
      </c>
      <c r="G39" s="696" t="s">
        <v>29</v>
      </c>
      <c r="H39" s="696" t="s">
        <v>1893</v>
      </c>
      <c r="I39" s="696" t="s">
        <v>1206</v>
      </c>
      <c r="J39" s="696" t="s">
        <v>16</v>
      </c>
      <c r="K39" s="696" t="s">
        <v>298</v>
      </c>
      <c r="L39" s="696" t="s">
        <v>1894</v>
      </c>
      <c r="M39" s="698" t="s">
        <v>1895</v>
      </c>
      <c r="N39" s="696" t="s">
        <v>17</v>
      </c>
      <c r="O39" s="829">
        <v>2957103439.52</v>
      </c>
      <c r="P39" s="696" t="s">
        <v>17</v>
      </c>
      <c r="Q39" s="696" t="s">
        <v>148</v>
      </c>
      <c r="R39" s="696" t="s">
        <v>17</v>
      </c>
      <c r="S39" s="707" t="s">
        <v>3763</v>
      </c>
      <c r="T39" s="696" t="s">
        <v>17</v>
      </c>
      <c r="U39" s="696" t="s">
        <v>17</v>
      </c>
      <c r="V39" s="696" t="s">
        <v>17</v>
      </c>
      <c r="W39" s="696" t="s">
        <v>17</v>
      </c>
      <c r="X39" s="696" t="s">
        <v>17</v>
      </c>
      <c r="Y39" s="696" t="s">
        <v>1896</v>
      </c>
      <c r="Z39" s="696" t="s">
        <v>17</v>
      </c>
      <c r="AA39" s="696" t="s">
        <v>17</v>
      </c>
      <c r="AB39" s="696" t="s">
        <v>877</v>
      </c>
      <c r="AC39" s="696" t="s">
        <v>19</v>
      </c>
      <c r="AD39" s="696"/>
      <c r="AE39" s="696" t="s">
        <v>1897</v>
      </c>
    </row>
    <row r="40" spans="1:31" ht="150" customHeight="1" x14ac:dyDescent="0.2">
      <c r="A40" s="696">
        <v>699873</v>
      </c>
      <c r="B40" s="696" t="s">
        <v>137</v>
      </c>
      <c r="C40" s="696" t="s">
        <v>1898</v>
      </c>
      <c r="D40" s="702" t="s">
        <v>242</v>
      </c>
      <c r="E40" s="697">
        <v>43818</v>
      </c>
      <c r="F40" s="696" t="s">
        <v>1899</v>
      </c>
      <c r="G40" s="696" t="s">
        <v>29</v>
      </c>
      <c r="H40" s="696" t="s">
        <v>1900</v>
      </c>
      <c r="I40" s="696" t="s">
        <v>296</v>
      </c>
      <c r="J40" s="696" t="s">
        <v>16</v>
      </c>
      <c r="K40" s="696" t="s">
        <v>298</v>
      </c>
      <c r="L40" s="696" t="s">
        <v>1901</v>
      </c>
      <c r="M40" s="698" t="s">
        <v>1902</v>
      </c>
      <c r="N40" s="696" t="s">
        <v>1903</v>
      </c>
      <c r="O40" s="696" t="s">
        <v>1904</v>
      </c>
      <c r="P40" s="696" t="s">
        <v>17</v>
      </c>
      <c r="Q40" s="696"/>
      <c r="R40" s="696" t="s">
        <v>17</v>
      </c>
      <c r="S40" s="696" t="s">
        <v>3747</v>
      </c>
      <c r="T40" s="696" t="s">
        <v>17</v>
      </c>
      <c r="U40" s="696" t="s">
        <v>17</v>
      </c>
      <c r="V40" s="696" t="s">
        <v>17</v>
      </c>
      <c r="W40" s="696" t="s">
        <v>17</v>
      </c>
      <c r="X40" s="696" t="s">
        <v>17</v>
      </c>
      <c r="Y40" s="696" t="s">
        <v>17</v>
      </c>
      <c r="Z40" s="696" t="s">
        <v>17</v>
      </c>
      <c r="AA40" s="696" t="s">
        <v>17</v>
      </c>
      <c r="AB40" s="696" t="s">
        <v>1905</v>
      </c>
      <c r="AC40" s="696" t="s">
        <v>19</v>
      </c>
      <c r="AD40" s="696"/>
      <c r="AE40" s="696" t="s">
        <v>1906</v>
      </c>
    </row>
    <row r="41" spans="1:31" ht="150" customHeight="1" x14ac:dyDescent="0.2">
      <c r="A41" s="696">
        <v>735826</v>
      </c>
      <c r="B41" s="696" t="s">
        <v>137</v>
      </c>
      <c r="C41" s="828" t="s">
        <v>1907</v>
      </c>
      <c r="D41" s="696" t="s">
        <v>242</v>
      </c>
      <c r="E41" s="697">
        <v>44760</v>
      </c>
      <c r="F41" s="696" t="s">
        <v>726</v>
      </c>
      <c r="G41" s="696" t="s">
        <v>29</v>
      </c>
      <c r="H41" s="696" t="s">
        <v>1908</v>
      </c>
      <c r="I41" s="696" t="s">
        <v>1206</v>
      </c>
      <c r="J41" s="696" t="s">
        <v>16</v>
      </c>
      <c r="K41" s="696" t="s">
        <v>298</v>
      </c>
      <c r="L41" s="696" t="s">
        <v>1909</v>
      </c>
      <c r="M41" s="698" t="s">
        <v>1910</v>
      </c>
      <c r="N41" s="696" t="s">
        <v>17</v>
      </c>
      <c r="O41" s="829">
        <v>17427474000</v>
      </c>
      <c r="P41" s="696" t="s">
        <v>17</v>
      </c>
      <c r="Q41" s="696" t="s">
        <v>47</v>
      </c>
      <c r="R41" s="696" t="s">
        <v>17</v>
      </c>
      <c r="S41" s="679" t="s">
        <v>38</v>
      </c>
      <c r="T41" s="696" t="s">
        <v>17</v>
      </c>
      <c r="U41" s="696" t="s">
        <v>17</v>
      </c>
      <c r="V41" s="696" t="s">
        <v>17</v>
      </c>
      <c r="W41" s="696" t="s">
        <v>17</v>
      </c>
      <c r="X41" s="696" t="s">
        <v>17</v>
      </c>
      <c r="Y41" s="696" t="s">
        <v>17</v>
      </c>
      <c r="Z41" s="696" t="s">
        <v>17</v>
      </c>
      <c r="AA41" s="696" t="s">
        <v>17</v>
      </c>
      <c r="AB41" s="696" t="s">
        <v>1911</v>
      </c>
      <c r="AC41" s="696" t="s">
        <v>19</v>
      </c>
      <c r="AD41" s="696"/>
      <c r="AE41" s="696" t="s">
        <v>787</v>
      </c>
    </row>
    <row r="42" spans="1:31" ht="150" customHeight="1" x14ac:dyDescent="0.2">
      <c r="A42" s="696">
        <v>553301</v>
      </c>
      <c r="B42" s="696" t="s">
        <v>137</v>
      </c>
      <c r="C42" s="696" t="s">
        <v>1941</v>
      </c>
      <c r="D42" s="696" t="s">
        <v>243</v>
      </c>
      <c r="E42" s="697">
        <v>42720</v>
      </c>
      <c r="F42" s="696" t="s">
        <v>1942</v>
      </c>
      <c r="G42" s="696" t="s">
        <v>29</v>
      </c>
      <c r="H42" s="696" t="s">
        <v>1943</v>
      </c>
      <c r="I42" s="696" t="s">
        <v>357</v>
      </c>
      <c r="J42" s="696" t="s">
        <v>16</v>
      </c>
      <c r="K42" s="696" t="s">
        <v>298</v>
      </c>
      <c r="L42" s="696" t="s">
        <v>1944</v>
      </c>
      <c r="M42" s="698" t="s">
        <v>1945</v>
      </c>
      <c r="N42" s="696" t="s">
        <v>17</v>
      </c>
      <c r="O42" s="679" t="s">
        <v>23</v>
      </c>
      <c r="P42" s="679" t="s">
        <v>17</v>
      </c>
      <c r="Q42" s="696"/>
      <c r="R42" s="704" t="s">
        <v>17</v>
      </c>
      <c r="S42" s="700"/>
      <c r="T42" s="682" t="s">
        <v>23</v>
      </c>
      <c r="U42" s="679" t="s">
        <v>17</v>
      </c>
      <c r="V42" s="679" t="s">
        <v>17</v>
      </c>
      <c r="W42" s="679" t="s">
        <v>23</v>
      </c>
      <c r="X42" s="679" t="s">
        <v>23</v>
      </c>
      <c r="Y42" s="679" t="s">
        <v>17</v>
      </c>
      <c r="Z42" s="679" t="s">
        <v>17</v>
      </c>
      <c r="AA42" s="679" t="s">
        <v>17</v>
      </c>
      <c r="AB42" s="679" t="s">
        <v>1946</v>
      </c>
      <c r="AC42" s="679" t="s">
        <v>19</v>
      </c>
      <c r="AD42" s="679"/>
      <c r="AE42" s="696" t="s">
        <v>302</v>
      </c>
    </row>
    <row r="43" spans="1:31" ht="150" customHeight="1" x14ac:dyDescent="0.2">
      <c r="A43" s="696">
        <v>575478</v>
      </c>
      <c r="B43" s="696" t="s">
        <v>137</v>
      </c>
      <c r="C43" s="696" t="s">
        <v>1947</v>
      </c>
      <c r="D43" s="696" t="s">
        <v>248</v>
      </c>
      <c r="E43" s="697">
        <v>43000</v>
      </c>
      <c r="F43" s="696" t="s">
        <v>1948</v>
      </c>
      <c r="G43" s="696" t="s">
        <v>29</v>
      </c>
      <c r="H43" s="696" t="s">
        <v>1949</v>
      </c>
      <c r="I43" s="696" t="s">
        <v>296</v>
      </c>
      <c r="J43" s="696" t="s">
        <v>16</v>
      </c>
      <c r="K43" s="696" t="s">
        <v>298</v>
      </c>
      <c r="L43" s="696" t="s">
        <v>1950</v>
      </c>
      <c r="M43" s="698" t="s">
        <v>1951</v>
      </c>
      <c r="N43" s="696" t="s">
        <v>17</v>
      </c>
      <c r="O43" s="679">
        <v>79478425</v>
      </c>
      <c r="P43" s="679" t="s">
        <v>17</v>
      </c>
      <c r="Q43" s="696"/>
      <c r="R43" s="722" t="s">
        <v>17</v>
      </c>
      <c r="S43" s="700"/>
      <c r="T43" s="682" t="s">
        <v>17</v>
      </c>
      <c r="U43" s="682" t="s">
        <v>17</v>
      </c>
      <c r="V43" s="682" t="s">
        <v>17</v>
      </c>
      <c r="W43" s="682" t="s">
        <v>17</v>
      </c>
      <c r="X43" s="679">
        <v>79478425</v>
      </c>
      <c r="Y43" s="830">
        <v>44369</v>
      </c>
      <c r="Z43" s="682" t="s">
        <v>17</v>
      </c>
      <c r="AA43" s="682" t="s">
        <v>17</v>
      </c>
      <c r="AB43" s="682" t="s">
        <v>1952</v>
      </c>
      <c r="AC43" s="679" t="s">
        <v>19</v>
      </c>
      <c r="AD43" s="679"/>
      <c r="AE43" s="696" t="s">
        <v>1953</v>
      </c>
    </row>
    <row r="44" spans="1:31" ht="150" customHeight="1" x14ac:dyDescent="0.2">
      <c r="A44" s="696">
        <v>601304</v>
      </c>
      <c r="B44" s="696" t="s">
        <v>137</v>
      </c>
      <c r="C44" s="696" t="s">
        <v>1954</v>
      </c>
      <c r="D44" s="696" t="s">
        <v>243</v>
      </c>
      <c r="E44" s="697">
        <v>42880</v>
      </c>
      <c r="F44" s="696" t="s">
        <v>1955</v>
      </c>
      <c r="G44" s="696" t="s">
        <v>29</v>
      </c>
      <c r="H44" s="696" t="s">
        <v>1956</v>
      </c>
      <c r="I44" s="696" t="s">
        <v>296</v>
      </c>
      <c r="J44" s="696" t="s">
        <v>16</v>
      </c>
      <c r="K44" s="696" t="s">
        <v>298</v>
      </c>
      <c r="L44" s="696" t="s">
        <v>1957</v>
      </c>
      <c r="M44" s="698" t="s">
        <v>1958</v>
      </c>
      <c r="N44" s="696" t="s">
        <v>1959</v>
      </c>
      <c r="O44" s="679" t="s">
        <v>17</v>
      </c>
      <c r="P44" s="679" t="s">
        <v>17</v>
      </c>
      <c r="Q44" s="696"/>
      <c r="R44" s="679" t="s">
        <v>17</v>
      </c>
      <c r="S44" s="700"/>
      <c r="T44" s="679" t="s">
        <v>17</v>
      </c>
      <c r="U44" s="679" t="s">
        <v>17</v>
      </c>
      <c r="V44" s="679" t="s">
        <v>17</v>
      </c>
      <c r="W44" s="679" t="s">
        <v>17</v>
      </c>
      <c r="X44" s="679" t="s">
        <v>17</v>
      </c>
      <c r="Y44" s="679" t="s">
        <v>17</v>
      </c>
      <c r="Z44" s="679" t="s">
        <v>17</v>
      </c>
      <c r="AA44" s="679" t="s">
        <v>17</v>
      </c>
      <c r="AB44" s="679" t="s">
        <v>1960</v>
      </c>
      <c r="AC44" s="679" t="s">
        <v>19</v>
      </c>
      <c r="AD44" s="679"/>
      <c r="AE44" s="696" t="s">
        <v>302</v>
      </c>
    </row>
    <row r="45" spans="1:31" ht="150" customHeight="1" x14ac:dyDescent="0.2">
      <c r="A45" s="696">
        <v>567690</v>
      </c>
      <c r="B45" s="696" t="s">
        <v>137</v>
      </c>
      <c r="C45" s="696" t="s">
        <v>1961</v>
      </c>
      <c r="D45" s="696" t="s">
        <v>243</v>
      </c>
      <c r="E45" s="697">
        <v>43059</v>
      </c>
      <c r="F45" s="696" t="s">
        <v>1962</v>
      </c>
      <c r="G45" s="696" t="s">
        <v>29</v>
      </c>
      <c r="H45" s="696" t="s">
        <v>1963</v>
      </c>
      <c r="I45" s="696" t="s">
        <v>296</v>
      </c>
      <c r="J45" s="696" t="s">
        <v>16</v>
      </c>
      <c r="K45" s="696" t="s">
        <v>298</v>
      </c>
      <c r="L45" s="696" t="s">
        <v>1964</v>
      </c>
      <c r="M45" s="698" t="s">
        <v>1965</v>
      </c>
      <c r="N45" s="696" t="s">
        <v>1966</v>
      </c>
      <c r="O45" s="679">
        <v>20637392280</v>
      </c>
      <c r="P45" s="696" t="s">
        <v>17</v>
      </c>
      <c r="Q45" s="696" t="s">
        <v>47</v>
      </c>
      <c r="R45" s="696" t="s">
        <v>17</v>
      </c>
      <c r="S45" s="700"/>
      <c r="T45" s="696">
        <v>22531.88</v>
      </c>
      <c r="U45" s="696" t="s">
        <v>17</v>
      </c>
      <c r="V45" s="696" t="s">
        <v>17</v>
      </c>
      <c r="W45" s="696">
        <v>22531.88</v>
      </c>
      <c r="X45" s="679">
        <v>20637392280</v>
      </c>
      <c r="Y45" s="696" t="s">
        <v>1967</v>
      </c>
      <c r="Z45" s="696" t="s">
        <v>17</v>
      </c>
      <c r="AA45" s="696" t="s">
        <v>17</v>
      </c>
      <c r="AB45" s="696" t="s">
        <v>1968</v>
      </c>
      <c r="AC45" s="679" t="s">
        <v>19</v>
      </c>
      <c r="AD45" s="679"/>
      <c r="AE45" s="696" t="s">
        <v>1969</v>
      </c>
    </row>
    <row r="46" spans="1:31" ht="150" customHeight="1" x14ac:dyDescent="0.2">
      <c r="A46" s="696">
        <v>581312</v>
      </c>
      <c r="B46" s="696" t="s">
        <v>137</v>
      </c>
      <c r="C46" s="696" t="s">
        <v>1970</v>
      </c>
      <c r="D46" s="702" t="s">
        <v>242</v>
      </c>
      <c r="E46" s="697">
        <v>43341</v>
      </c>
      <c r="F46" s="696" t="s">
        <v>1971</v>
      </c>
      <c r="G46" s="696" t="s">
        <v>29</v>
      </c>
      <c r="H46" s="696" t="s">
        <v>1972</v>
      </c>
      <c r="I46" s="696" t="s">
        <v>1973</v>
      </c>
      <c r="J46" s="696" t="s">
        <v>16</v>
      </c>
      <c r="K46" s="696" t="s">
        <v>298</v>
      </c>
      <c r="L46" s="696" t="s">
        <v>1974</v>
      </c>
      <c r="M46" s="698" t="s">
        <v>1975</v>
      </c>
      <c r="N46" s="696" t="s">
        <v>898</v>
      </c>
      <c r="O46" s="679" t="s">
        <v>17</v>
      </c>
      <c r="P46" s="679" t="s">
        <v>17</v>
      </c>
      <c r="Q46" s="696"/>
      <c r="R46" s="679" t="s">
        <v>17</v>
      </c>
      <c r="S46" s="679" t="s">
        <v>68</v>
      </c>
      <c r="T46" s="682" t="s">
        <v>17</v>
      </c>
      <c r="U46" s="682" t="s">
        <v>17</v>
      </c>
      <c r="V46" s="682" t="s">
        <v>17</v>
      </c>
      <c r="W46" s="682" t="s">
        <v>17</v>
      </c>
      <c r="X46" s="682">
        <v>13431216000</v>
      </c>
      <c r="Y46" s="830" t="s">
        <v>1976</v>
      </c>
      <c r="Z46" s="830" t="s">
        <v>17</v>
      </c>
      <c r="AA46" s="682" t="s">
        <v>17</v>
      </c>
      <c r="AB46" s="679" t="s">
        <v>1977</v>
      </c>
      <c r="AC46" s="679" t="s">
        <v>19</v>
      </c>
      <c r="AD46" s="679"/>
      <c r="AE46" s="696" t="s">
        <v>1978</v>
      </c>
    </row>
    <row r="47" spans="1:31" ht="150" customHeight="1" x14ac:dyDescent="0.2">
      <c r="A47" s="696">
        <v>232865</v>
      </c>
      <c r="B47" s="696" t="s">
        <v>137</v>
      </c>
      <c r="C47" s="696" t="s">
        <v>3916</v>
      </c>
      <c r="D47" s="696" t="s">
        <v>151</v>
      </c>
      <c r="E47" s="697">
        <v>38967</v>
      </c>
      <c r="F47" s="696" t="s">
        <v>616</v>
      </c>
      <c r="G47" s="696" t="s">
        <v>15</v>
      </c>
      <c r="H47" s="696" t="s">
        <v>296</v>
      </c>
      <c r="I47" s="696" t="s">
        <v>1980</v>
      </c>
      <c r="J47" s="696" t="s">
        <v>16</v>
      </c>
      <c r="K47" s="696" t="s">
        <v>298</v>
      </c>
      <c r="L47" s="696" t="s">
        <v>1981</v>
      </c>
      <c r="M47" s="698" t="s">
        <v>1981</v>
      </c>
      <c r="N47" s="696" t="s">
        <v>23</v>
      </c>
      <c r="O47" s="679">
        <v>135635985</v>
      </c>
      <c r="P47" s="679" t="s">
        <v>23</v>
      </c>
      <c r="Q47" s="696"/>
      <c r="R47" s="679" t="s">
        <v>1850</v>
      </c>
      <c r="S47" s="700"/>
      <c r="T47" s="682" t="s">
        <v>23</v>
      </c>
      <c r="U47" s="679" t="s">
        <v>23</v>
      </c>
      <c r="V47" s="679" t="s">
        <v>23</v>
      </c>
      <c r="W47" s="679" t="s">
        <v>23</v>
      </c>
      <c r="X47" s="679" t="s">
        <v>23</v>
      </c>
      <c r="Y47" s="703" t="s">
        <v>23</v>
      </c>
      <c r="Z47" s="679" t="s">
        <v>23</v>
      </c>
      <c r="AA47" s="679" t="s">
        <v>23</v>
      </c>
      <c r="AB47" s="679" t="s">
        <v>1982</v>
      </c>
      <c r="AC47" s="679" t="s">
        <v>22</v>
      </c>
      <c r="AD47" s="679"/>
      <c r="AE47" s="679" t="s">
        <v>3917</v>
      </c>
    </row>
    <row r="48" spans="1:31" ht="150" customHeight="1" x14ac:dyDescent="0.2">
      <c r="A48" s="696">
        <v>582616</v>
      </c>
      <c r="B48" s="696" t="s">
        <v>137</v>
      </c>
      <c r="C48" s="696" t="s">
        <v>2000</v>
      </c>
      <c r="D48" s="702" t="s">
        <v>242</v>
      </c>
      <c r="E48" s="697">
        <v>43360</v>
      </c>
      <c r="F48" s="696" t="s">
        <v>2001</v>
      </c>
      <c r="G48" s="696" t="s">
        <v>29</v>
      </c>
      <c r="H48" s="696" t="s">
        <v>2002</v>
      </c>
      <c r="I48" s="696" t="s">
        <v>2003</v>
      </c>
      <c r="J48" s="696" t="s">
        <v>16</v>
      </c>
      <c r="K48" s="696" t="s">
        <v>298</v>
      </c>
      <c r="L48" s="696" t="s">
        <v>2004</v>
      </c>
      <c r="M48" s="698" t="s">
        <v>2005</v>
      </c>
      <c r="N48" s="696" t="s">
        <v>2006</v>
      </c>
      <c r="O48" s="679">
        <v>6525000000</v>
      </c>
      <c r="P48" s="679" t="s">
        <v>17</v>
      </c>
      <c r="Q48" s="696"/>
      <c r="R48" s="679" t="s">
        <v>17</v>
      </c>
      <c r="S48" s="679" t="s">
        <v>59</v>
      </c>
      <c r="T48" s="679">
        <v>55000</v>
      </c>
      <c r="U48" s="679" t="s">
        <v>17</v>
      </c>
      <c r="V48" s="682" t="s">
        <v>17</v>
      </c>
      <c r="W48" s="682" t="s">
        <v>17</v>
      </c>
      <c r="X48" s="679">
        <v>6525000000</v>
      </c>
      <c r="Y48" s="682" t="s">
        <v>2007</v>
      </c>
      <c r="Z48" s="682" t="s">
        <v>17</v>
      </c>
      <c r="AA48" s="682" t="s">
        <v>17</v>
      </c>
      <c r="AB48" s="733" t="s">
        <v>2008</v>
      </c>
      <c r="AC48" s="679" t="s">
        <v>22</v>
      </c>
      <c r="AD48" s="679"/>
      <c r="AE48" s="696" t="s">
        <v>2009</v>
      </c>
    </row>
    <row r="49" spans="1:31" ht="150" customHeight="1" x14ac:dyDescent="0.2">
      <c r="A49" s="696">
        <v>644893</v>
      </c>
      <c r="B49" s="696" t="s">
        <v>137</v>
      </c>
      <c r="C49" s="696" t="s">
        <v>2017</v>
      </c>
      <c r="D49" s="696" t="s">
        <v>243</v>
      </c>
      <c r="E49" s="697">
        <v>43859</v>
      </c>
      <c r="F49" s="696" t="s">
        <v>1658</v>
      </c>
      <c r="G49" s="696" t="s">
        <v>29</v>
      </c>
      <c r="H49" s="696" t="s">
        <v>1603</v>
      </c>
      <c r="I49" s="696" t="s">
        <v>296</v>
      </c>
      <c r="J49" s="696" t="s">
        <v>16</v>
      </c>
      <c r="K49" s="696" t="s">
        <v>298</v>
      </c>
      <c r="L49" s="696" t="s">
        <v>2018</v>
      </c>
      <c r="M49" s="698" t="s">
        <v>2019</v>
      </c>
      <c r="N49" s="696" t="s">
        <v>17</v>
      </c>
      <c r="O49" s="679" t="s">
        <v>2020</v>
      </c>
      <c r="P49" s="679" t="s">
        <v>87</v>
      </c>
      <c r="Q49" s="679" t="s">
        <v>163</v>
      </c>
      <c r="R49" s="678" t="s">
        <v>17</v>
      </c>
      <c r="S49" s="679" t="s">
        <v>61</v>
      </c>
      <c r="T49" s="682" t="s">
        <v>17</v>
      </c>
      <c r="U49" s="679" t="s">
        <v>17</v>
      </c>
      <c r="V49" s="723" t="s">
        <v>17</v>
      </c>
      <c r="W49" s="682" t="s">
        <v>17</v>
      </c>
      <c r="X49" s="679" t="s">
        <v>2021</v>
      </c>
      <c r="Y49" s="703">
        <v>44751</v>
      </c>
      <c r="Z49" s="703" t="s">
        <v>17</v>
      </c>
      <c r="AA49" s="679" t="s">
        <v>87</v>
      </c>
      <c r="AB49" s="703" t="s">
        <v>1231</v>
      </c>
      <c r="AC49" s="679" t="s">
        <v>82</v>
      </c>
      <c r="AD49" s="679"/>
      <c r="AE49" s="696" t="s">
        <v>302</v>
      </c>
    </row>
    <row r="50" spans="1:31" ht="150" customHeight="1" x14ac:dyDescent="0.2">
      <c r="A50" s="696">
        <v>614301</v>
      </c>
      <c r="B50" s="696" t="s">
        <v>137</v>
      </c>
      <c r="C50" s="696" t="s">
        <v>2022</v>
      </c>
      <c r="D50" s="696" t="s">
        <v>248</v>
      </c>
      <c r="E50" s="697">
        <v>43753</v>
      </c>
      <c r="F50" s="696" t="s">
        <v>1948</v>
      </c>
      <c r="G50" s="696" t="s">
        <v>29</v>
      </c>
      <c r="H50" s="696" t="s">
        <v>2023</v>
      </c>
      <c r="I50" s="696" t="s">
        <v>296</v>
      </c>
      <c r="J50" s="696" t="s">
        <v>16</v>
      </c>
      <c r="K50" s="696" t="s">
        <v>298</v>
      </c>
      <c r="L50" s="696" t="s">
        <v>2024</v>
      </c>
      <c r="M50" s="698" t="s">
        <v>2025</v>
      </c>
      <c r="N50" s="696" t="s">
        <v>2026</v>
      </c>
      <c r="O50" s="679" t="s">
        <v>17</v>
      </c>
      <c r="P50" s="679" t="s">
        <v>17</v>
      </c>
      <c r="Q50" s="679"/>
      <c r="R50" s="678" t="s">
        <v>17</v>
      </c>
      <c r="S50" s="696" t="s">
        <v>3734</v>
      </c>
      <c r="T50" s="682" t="s">
        <v>17</v>
      </c>
      <c r="U50" s="679" t="s">
        <v>17</v>
      </c>
      <c r="V50" s="723" t="s">
        <v>17</v>
      </c>
      <c r="W50" s="682" t="s">
        <v>17</v>
      </c>
      <c r="X50" s="679">
        <v>73602451</v>
      </c>
      <c r="Y50" s="703" t="s">
        <v>2027</v>
      </c>
      <c r="Z50" s="703" t="s">
        <v>2028</v>
      </c>
      <c r="AA50" s="679" t="s">
        <v>17</v>
      </c>
      <c r="AB50" s="678" t="s">
        <v>2029</v>
      </c>
      <c r="AC50" s="679" t="s">
        <v>22</v>
      </c>
      <c r="AD50" s="679"/>
      <c r="AE50" s="696" t="s">
        <v>2030</v>
      </c>
    </row>
    <row r="51" spans="1:31" ht="150" customHeight="1" x14ac:dyDescent="0.2">
      <c r="A51" s="696">
        <v>629833</v>
      </c>
      <c r="B51" s="696" t="s">
        <v>137</v>
      </c>
      <c r="C51" s="696" t="s">
        <v>2031</v>
      </c>
      <c r="D51" s="696" t="s">
        <v>248</v>
      </c>
      <c r="E51" s="697">
        <v>43843</v>
      </c>
      <c r="F51" s="696" t="s">
        <v>1948</v>
      </c>
      <c r="G51" s="696" t="s">
        <v>29</v>
      </c>
      <c r="H51" s="696" t="s">
        <v>1603</v>
      </c>
      <c r="I51" s="696" t="s">
        <v>296</v>
      </c>
      <c r="J51" s="696" t="s">
        <v>16</v>
      </c>
      <c r="K51" s="696" t="s">
        <v>298</v>
      </c>
      <c r="L51" s="696" t="s">
        <v>2032</v>
      </c>
      <c r="M51" s="698" t="s">
        <v>2033</v>
      </c>
      <c r="N51" s="696" t="s">
        <v>17</v>
      </c>
      <c r="O51" s="679" t="s">
        <v>17</v>
      </c>
      <c r="P51" s="679" t="s">
        <v>17</v>
      </c>
      <c r="Q51" s="679"/>
      <c r="R51" s="678" t="s">
        <v>17</v>
      </c>
      <c r="S51" s="700"/>
      <c r="T51" s="682" t="s">
        <v>17</v>
      </c>
      <c r="U51" s="679" t="s">
        <v>17</v>
      </c>
      <c r="V51" s="723" t="s">
        <v>17</v>
      </c>
      <c r="W51" s="682" t="s">
        <v>17</v>
      </c>
      <c r="X51" s="679" t="s">
        <v>17</v>
      </c>
      <c r="Y51" s="703">
        <v>44929</v>
      </c>
      <c r="Z51" s="703" t="s">
        <v>17</v>
      </c>
      <c r="AA51" s="679" t="s">
        <v>17</v>
      </c>
      <c r="AB51" s="679" t="s">
        <v>2034</v>
      </c>
      <c r="AC51" s="679" t="s">
        <v>19</v>
      </c>
      <c r="AD51" s="679"/>
      <c r="AE51" s="696" t="s">
        <v>302</v>
      </c>
    </row>
    <row r="52" spans="1:31" ht="150" customHeight="1" x14ac:dyDescent="0.2">
      <c r="A52" s="696">
        <v>630271</v>
      </c>
      <c r="B52" s="696" t="s">
        <v>137</v>
      </c>
      <c r="C52" s="696" t="s">
        <v>2035</v>
      </c>
      <c r="D52" s="696" t="s">
        <v>248</v>
      </c>
      <c r="E52" s="697">
        <v>43889</v>
      </c>
      <c r="F52" s="696" t="s">
        <v>2036</v>
      </c>
      <c r="G52" s="696" t="s">
        <v>29</v>
      </c>
      <c r="H52" s="696" t="s">
        <v>2037</v>
      </c>
      <c r="I52" s="696" t="s">
        <v>2038</v>
      </c>
      <c r="J52" s="696" t="s">
        <v>16</v>
      </c>
      <c r="K52" s="696" t="s">
        <v>298</v>
      </c>
      <c r="L52" s="696" t="s">
        <v>2039</v>
      </c>
      <c r="M52" s="698" t="s">
        <v>2040</v>
      </c>
      <c r="N52" s="696" t="s">
        <v>17</v>
      </c>
      <c r="O52" s="679" t="s">
        <v>17</v>
      </c>
      <c r="P52" s="679" t="s">
        <v>17</v>
      </c>
      <c r="Q52" s="696"/>
      <c r="R52" s="678" t="s">
        <v>17</v>
      </c>
      <c r="S52" s="700"/>
      <c r="T52" s="682" t="s">
        <v>17</v>
      </c>
      <c r="U52" s="679" t="s">
        <v>17</v>
      </c>
      <c r="V52" s="723" t="s">
        <v>17</v>
      </c>
      <c r="W52" s="682" t="s">
        <v>17</v>
      </c>
      <c r="X52" s="679">
        <v>396900000</v>
      </c>
      <c r="Y52" s="703" t="s">
        <v>17</v>
      </c>
      <c r="Z52" s="703" t="s">
        <v>17</v>
      </c>
      <c r="AA52" s="679" t="s">
        <v>17</v>
      </c>
      <c r="AB52" s="679" t="s">
        <v>2041</v>
      </c>
      <c r="AC52" s="679" t="s">
        <v>19</v>
      </c>
      <c r="AD52" s="679"/>
      <c r="AE52" s="696" t="s">
        <v>2042</v>
      </c>
    </row>
    <row r="53" spans="1:31" ht="150" customHeight="1" x14ac:dyDescent="0.2">
      <c r="A53" s="696">
        <v>617292</v>
      </c>
      <c r="B53" s="696" t="s">
        <v>137</v>
      </c>
      <c r="C53" s="696" t="s">
        <v>2043</v>
      </c>
      <c r="D53" s="696" t="s">
        <v>248</v>
      </c>
      <c r="E53" s="697">
        <v>43760</v>
      </c>
      <c r="F53" s="696" t="s">
        <v>847</v>
      </c>
      <c r="G53" s="696" t="s">
        <v>29</v>
      </c>
      <c r="H53" s="696" t="s">
        <v>2044</v>
      </c>
      <c r="I53" s="696" t="s">
        <v>2045</v>
      </c>
      <c r="J53" s="696" t="s">
        <v>16</v>
      </c>
      <c r="K53" s="696" t="s">
        <v>298</v>
      </c>
      <c r="L53" s="696" t="s">
        <v>2046</v>
      </c>
      <c r="M53" s="698" t="s">
        <v>2047</v>
      </c>
      <c r="N53" s="696" t="s">
        <v>17</v>
      </c>
      <c r="O53" s="679">
        <v>875000000</v>
      </c>
      <c r="P53" s="679" t="s">
        <v>17</v>
      </c>
      <c r="Q53" s="696"/>
      <c r="R53" s="678" t="s">
        <v>17</v>
      </c>
      <c r="S53" s="700"/>
      <c r="T53" s="682" t="s">
        <v>17</v>
      </c>
      <c r="U53" s="679" t="s">
        <v>17</v>
      </c>
      <c r="V53" s="723" t="s">
        <v>17</v>
      </c>
      <c r="W53" s="682" t="s">
        <v>17</v>
      </c>
      <c r="X53" s="679" t="s">
        <v>17</v>
      </c>
      <c r="Y53" s="703" t="s">
        <v>17</v>
      </c>
      <c r="Z53" s="703" t="s">
        <v>17</v>
      </c>
      <c r="AA53" s="679" t="s">
        <v>17</v>
      </c>
      <c r="AB53" s="679" t="s">
        <v>2048</v>
      </c>
      <c r="AC53" s="679" t="s">
        <v>19</v>
      </c>
      <c r="AD53" s="679"/>
      <c r="AE53" s="696" t="s">
        <v>2049</v>
      </c>
    </row>
    <row r="54" spans="1:31" ht="150" customHeight="1" x14ac:dyDescent="0.2">
      <c r="A54" s="696">
        <v>248858</v>
      </c>
      <c r="B54" s="696" t="s">
        <v>137</v>
      </c>
      <c r="C54" s="696" t="s">
        <v>3918</v>
      </c>
      <c r="D54" s="696" t="s">
        <v>151</v>
      </c>
      <c r="E54" s="697">
        <v>39038</v>
      </c>
      <c r="F54" s="696" t="s">
        <v>410</v>
      </c>
      <c r="G54" s="696" t="s">
        <v>15</v>
      </c>
      <c r="H54" s="696" t="s">
        <v>296</v>
      </c>
      <c r="I54" s="696" t="s">
        <v>2051</v>
      </c>
      <c r="J54" s="696" t="s">
        <v>16</v>
      </c>
      <c r="K54" s="696" t="s">
        <v>298</v>
      </c>
      <c r="L54" s="696" t="s">
        <v>1981</v>
      </c>
      <c r="M54" s="698" t="s">
        <v>1981</v>
      </c>
      <c r="N54" s="696" t="s">
        <v>23</v>
      </c>
      <c r="O54" s="679">
        <v>9953856</v>
      </c>
      <c r="P54" s="679" t="s">
        <v>23</v>
      </c>
      <c r="Q54" s="696"/>
      <c r="R54" s="679" t="s">
        <v>1850</v>
      </c>
      <c r="S54" s="700"/>
      <c r="T54" s="682" t="s">
        <v>23</v>
      </c>
      <c r="U54" s="679" t="s">
        <v>23</v>
      </c>
      <c r="V54" s="679" t="s">
        <v>23</v>
      </c>
      <c r="W54" s="679" t="s">
        <v>23</v>
      </c>
      <c r="X54" s="679" t="s">
        <v>23</v>
      </c>
      <c r="Y54" s="703">
        <v>41408</v>
      </c>
      <c r="Z54" s="679" t="s">
        <v>23</v>
      </c>
      <c r="AA54" s="679" t="s">
        <v>23</v>
      </c>
      <c r="AB54" s="679" t="s">
        <v>2052</v>
      </c>
      <c r="AC54" s="679" t="s">
        <v>22</v>
      </c>
      <c r="AD54" s="679"/>
      <c r="AE54" s="679" t="s">
        <v>3919</v>
      </c>
    </row>
    <row r="55" spans="1:31" ht="150" customHeight="1" x14ac:dyDescent="0.3">
      <c r="A55" s="696">
        <v>680196</v>
      </c>
      <c r="B55" s="696" t="s">
        <v>137</v>
      </c>
      <c r="C55" s="696" t="s">
        <v>2074</v>
      </c>
      <c r="D55" s="696" t="s">
        <v>243</v>
      </c>
      <c r="E55" s="697">
        <v>44223</v>
      </c>
      <c r="F55" s="696" t="s">
        <v>450</v>
      </c>
      <c r="G55" s="696" t="s">
        <v>29</v>
      </c>
      <c r="H55" s="696" t="s">
        <v>1352</v>
      </c>
      <c r="I55" s="696" t="s">
        <v>357</v>
      </c>
      <c r="J55" s="696" t="s">
        <v>16</v>
      </c>
      <c r="K55" s="696" t="s">
        <v>298</v>
      </c>
      <c r="L55" s="720" t="s">
        <v>2075</v>
      </c>
      <c r="M55" s="745" t="s">
        <v>2075</v>
      </c>
      <c r="N55" s="696" t="s">
        <v>17</v>
      </c>
      <c r="O55" s="696" t="s">
        <v>17</v>
      </c>
      <c r="P55" s="696" t="s">
        <v>17</v>
      </c>
      <c r="Q55" s="696"/>
      <c r="R55" s="696" t="s">
        <v>17</v>
      </c>
      <c r="S55" s="679" t="s">
        <v>3737</v>
      </c>
      <c r="T55" s="696" t="s">
        <v>17</v>
      </c>
      <c r="U55" s="696" t="s">
        <v>17</v>
      </c>
      <c r="V55" s="696" t="s">
        <v>17</v>
      </c>
      <c r="W55" s="696" t="s">
        <v>17</v>
      </c>
      <c r="X55" s="696" t="s">
        <v>17</v>
      </c>
      <c r="Y55" s="696" t="s">
        <v>17</v>
      </c>
      <c r="Z55" s="696" t="s">
        <v>17</v>
      </c>
      <c r="AA55" s="696" t="s">
        <v>17</v>
      </c>
      <c r="AB55" s="696" t="s">
        <v>2076</v>
      </c>
      <c r="AC55" s="679" t="s">
        <v>22</v>
      </c>
      <c r="AD55" s="696"/>
      <c r="AE55" s="696" t="s">
        <v>2077</v>
      </c>
    </row>
    <row r="56" spans="1:31" ht="150" customHeight="1" x14ac:dyDescent="0.2">
      <c r="A56" s="696">
        <v>696183</v>
      </c>
      <c r="B56" s="696" t="s">
        <v>137</v>
      </c>
      <c r="C56" s="696" t="s">
        <v>2078</v>
      </c>
      <c r="D56" s="696" t="s">
        <v>248</v>
      </c>
      <c r="E56" s="697">
        <v>44532</v>
      </c>
      <c r="F56" s="696" t="s">
        <v>2079</v>
      </c>
      <c r="G56" s="696" t="s">
        <v>29</v>
      </c>
      <c r="H56" s="696" t="s">
        <v>2080</v>
      </c>
      <c r="I56" s="696" t="s">
        <v>2038</v>
      </c>
      <c r="J56" s="696" t="s">
        <v>16</v>
      </c>
      <c r="K56" s="696" t="s">
        <v>298</v>
      </c>
      <c r="L56" s="696" t="s">
        <v>2039</v>
      </c>
      <c r="M56" s="698" t="s">
        <v>2040</v>
      </c>
      <c r="N56" s="696" t="s">
        <v>17</v>
      </c>
      <c r="O56" s="696" t="s">
        <v>17</v>
      </c>
      <c r="P56" s="696" t="s">
        <v>17</v>
      </c>
      <c r="Q56" s="696"/>
      <c r="R56" s="696" t="s">
        <v>17</v>
      </c>
      <c r="S56" s="700"/>
      <c r="T56" s="696" t="s">
        <v>17</v>
      </c>
      <c r="U56" s="696" t="s">
        <v>17</v>
      </c>
      <c r="V56" s="696" t="s">
        <v>17</v>
      </c>
      <c r="W56" s="696" t="s">
        <v>17</v>
      </c>
      <c r="X56" s="696" t="s">
        <v>17</v>
      </c>
      <c r="Y56" s="696" t="s">
        <v>17</v>
      </c>
      <c r="Z56" s="696" t="s">
        <v>17</v>
      </c>
      <c r="AA56" s="696" t="s">
        <v>17</v>
      </c>
      <c r="AB56" s="696" t="s">
        <v>2081</v>
      </c>
      <c r="AC56" s="696" t="s">
        <v>19</v>
      </c>
      <c r="AD56" s="696"/>
      <c r="AE56" s="696" t="s">
        <v>302</v>
      </c>
    </row>
    <row r="57" spans="1:31" ht="150" customHeight="1" x14ac:dyDescent="0.3">
      <c r="A57" s="696">
        <v>678531</v>
      </c>
      <c r="B57" s="696" t="s">
        <v>137</v>
      </c>
      <c r="C57" s="696" t="s">
        <v>2082</v>
      </c>
      <c r="D57" s="702" t="s">
        <v>242</v>
      </c>
      <c r="E57" s="697">
        <v>44250</v>
      </c>
      <c r="F57" s="696" t="s">
        <v>2083</v>
      </c>
      <c r="G57" s="696" t="s">
        <v>29</v>
      </c>
      <c r="H57" s="696" t="s">
        <v>1603</v>
      </c>
      <c r="I57" s="696" t="s">
        <v>296</v>
      </c>
      <c r="J57" s="696" t="s">
        <v>16</v>
      </c>
      <c r="K57" s="696" t="s">
        <v>298</v>
      </c>
      <c r="L57" s="720" t="s">
        <v>2075</v>
      </c>
      <c r="M57" s="745" t="s">
        <v>2075</v>
      </c>
      <c r="N57" s="696" t="s">
        <v>17</v>
      </c>
      <c r="O57" s="696" t="s">
        <v>17</v>
      </c>
      <c r="P57" s="696" t="s">
        <v>17</v>
      </c>
      <c r="Q57" s="696"/>
      <c r="R57" s="696" t="s">
        <v>17</v>
      </c>
      <c r="S57" s="700"/>
      <c r="T57" s="696" t="s">
        <v>17</v>
      </c>
      <c r="U57" s="696" t="s">
        <v>17</v>
      </c>
      <c r="V57" s="696" t="s">
        <v>17</v>
      </c>
      <c r="W57" s="696" t="s">
        <v>17</v>
      </c>
      <c r="X57" s="696" t="s">
        <v>17</v>
      </c>
      <c r="Y57" s="696" t="s">
        <v>17</v>
      </c>
      <c r="Z57" s="696" t="s">
        <v>17</v>
      </c>
      <c r="AA57" s="696" t="s">
        <v>17</v>
      </c>
      <c r="AB57" s="696" t="s">
        <v>2084</v>
      </c>
      <c r="AC57" s="696" t="s">
        <v>19</v>
      </c>
      <c r="AD57" s="696"/>
      <c r="AE57" s="696" t="s">
        <v>302</v>
      </c>
    </row>
    <row r="58" spans="1:31" ht="150" customHeight="1" x14ac:dyDescent="0.2">
      <c r="A58" s="696">
        <v>675097</v>
      </c>
      <c r="B58" s="696" t="s">
        <v>137</v>
      </c>
      <c r="C58" s="696" t="s">
        <v>2085</v>
      </c>
      <c r="D58" s="696" t="s">
        <v>248</v>
      </c>
      <c r="E58" s="697">
        <v>44447</v>
      </c>
      <c r="F58" s="696" t="s">
        <v>1892</v>
      </c>
      <c r="G58" s="696" t="s">
        <v>29</v>
      </c>
      <c r="H58" s="696" t="s">
        <v>2086</v>
      </c>
      <c r="I58" s="696" t="s">
        <v>296</v>
      </c>
      <c r="J58" s="696" t="s">
        <v>16</v>
      </c>
      <c r="K58" s="696" t="s">
        <v>298</v>
      </c>
      <c r="L58" s="696" t="s">
        <v>1354</v>
      </c>
      <c r="M58" s="698" t="s">
        <v>2087</v>
      </c>
      <c r="N58" s="696" t="s">
        <v>17</v>
      </c>
      <c r="O58" s="696" t="s">
        <v>17</v>
      </c>
      <c r="P58" s="696" t="s">
        <v>17</v>
      </c>
      <c r="Q58" s="696"/>
      <c r="R58" s="696" t="s">
        <v>17</v>
      </c>
      <c r="S58" s="700"/>
      <c r="T58" s="696" t="s">
        <v>17</v>
      </c>
      <c r="U58" s="696" t="s">
        <v>17</v>
      </c>
      <c r="V58" s="696" t="s">
        <v>17</v>
      </c>
      <c r="W58" s="696" t="s">
        <v>17</v>
      </c>
      <c r="X58" s="696" t="s">
        <v>17</v>
      </c>
      <c r="Y58" s="701">
        <v>45506</v>
      </c>
      <c r="Z58" s="696" t="s">
        <v>17</v>
      </c>
      <c r="AA58" s="696" t="s">
        <v>17</v>
      </c>
      <c r="AB58" s="696" t="s">
        <v>2088</v>
      </c>
      <c r="AC58" s="696" t="s">
        <v>19</v>
      </c>
      <c r="AD58" s="696"/>
      <c r="AE58" s="696" t="s">
        <v>302</v>
      </c>
    </row>
    <row r="59" spans="1:31" ht="150" customHeight="1" x14ac:dyDescent="0.2">
      <c r="A59" s="696">
        <v>680209</v>
      </c>
      <c r="B59" s="696" t="s">
        <v>137</v>
      </c>
      <c r="C59" s="696" t="s">
        <v>2089</v>
      </c>
      <c r="D59" s="696" t="s">
        <v>248</v>
      </c>
      <c r="E59" s="697">
        <v>44302</v>
      </c>
      <c r="F59" s="696" t="s">
        <v>1892</v>
      </c>
      <c r="G59" s="696" t="s">
        <v>29</v>
      </c>
      <c r="H59" s="696" t="s">
        <v>1603</v>
      </c>
      <c r="I59" s="696" t="s">
        <v>296</v>
      </c>
      <c r="J59" s="696" t="s">
        <v>16</v>
      </c>
      <c r="K59" s="696" t="s">
        <v>298</v>
      </c>
      <c r="L59" s="696" t="s">
        <v>2032</v>
      </c>
      <c r="M59" s="698" t="s">
        <v>2087</v>
      </c>
      <c r="N59" s="696" t="s">
        <v>17</v>
      </c>
      <c r="O59" s="696" t="s">
        <v>17</v>
      </c>
      <c r="P59" s="696" t="s">
        <v>17</v>
      </c>
      <c r="Q59" s="696"/>
      <c r="R59" s="696" t="s">
        <v>17</v>
      </c>
      <c r="S59" s="700"/>
      <c r="T59" s="696" t="s">
        <v>17</v>
      </c>
      <c r="U59" s="696" t="s">
        <v>17</v>
      </c>
      <c r="V59" s="696" t="s">
        <v>17</v>
      </c>
      <c r="W59" s="696" t="s">
        <v>17</v>
      </c>
      <c r="X59" s="696" t="s">
        <v>17</v>
      </c>
      <c r="Y59" s="696" t="s">
        <v>2090</v>
      </c>
      <c r="Z59" s="696" t="s">
        <v>17</v>
      </c>
      <c r="AA59" s="696" t="s">
        <v>17</v>
      </c>
      <c r="AB59" s="696" t="s">
        <v>2091</v>
      </c>
      <c r="AC59" s="696" t="s">
        <v>19</v>
      </c>
      <c r="AD59" s="696"/>
      <c r="AE59" s="696" t="s">
        <v>302</v>
      </c>
    </row>
    <row r="60" spans="1:31" ht="150" customHeight="1" x14ac:dyDescent="0.2">
      <c r="A60" s="696">
        <v>608205</v>
      </c>
      <c r="B60" s="696" t="s">
        <v>137</v>
      </c>
      <c r="C60" s="696" t="s">
        <v>2092</v>
      </c>
      <c r="D60" s="696" t="s">
        <v>248</v>
      </c>
      <c r="E60" s="697">
        <v>44421</v>
      </c>
      <c r="F60" s="696" t="s">
        <v>2093</v>
      </c>
      <c r="G60" s="696" t="s">
        <v>29</v>
      </c>
      <c r="H60" s="696" t="s">
        <v>268</v>
      </c>
      <c r="I60" s="696" t="s">
        <v>2094</v>
      </c>
      <c r="J60" s="696" t="s">
        <v>16</v>
      </c>
      <c r="K60" s="696" t="s">
        <v>298</v>
      </c>
      <c r="L60" s="696" t="s">
        <v>2095</v>
      </c>
      <c r="M60" s="698" t="s">
        <v>2096</v>
      </c>
      <c r="N60" s="696" t="s">
        <v>17</v>
      </c>
      <c r="O60" s="696" t="s">
        <v>17</v>
      </c>
      <c r="P60" s="696" t="s">
        <v>17</v>
      </c>
      <c r="Q60" s="696"/>
      <c r="R60" s="696" t="s">
        <v>17</v>
      </c>
      <c r="S60" s="700"/>
      <c r="T60" s="696" t="s">
        <v>17</v>
      </c>
      <c r="U60" s="696" t="s">
        <v>17</v>
      </c>
      <c r="V60" s="696" t="s">
        <v>17</v>
      </c>
      <c r="W60" s="696" t="s">
        <v>17</v>
      </c>
      <c r="X60" s="696" t="s">
        <v>17</v>
      </c>
      <c r="Y60" s="696" t="s">
        <v>17</v>
      </c>
      <c r="Z60" s="696" t="s">
        <v>17</v>
      </c>
      <c r="AA60" s="696" t="s">
        <v>17</v>
      </c>
      <c r="AB60" s="696" t="s">
        <v>2084</v>
      </c>
      <c r="AC60" s="696" t="s">
        <v>19</v>
      </c>
      <c r="AD60" s="696"/>
      <c r="AE60" s="696" t="s">
        <v>2097</v>
      </c>
    </row>
    <row r="61" spans="1:31" ht="150" customHeight="1" x14ac:dyDescent="0.2">
      <c r="A61" s="696">
        <v>695252</v>
      </c>
      <c r="B61" s="696" t="s">
        <v>137</v>
      </c>
      <c r="C61" s="696" t="s">
        <v>2098</v>
      </c>
      <c r="D61" s="702" t="s">
        <v>242</v>
      </c>
      <c r="E61" s="697">
        <v>44267</v>
      </c>
      <c r="F61" s="696" t="s">
        <v>1948</v>
      </c>
      <c r="G61" s="696" t="s">
        <v>29</v>
      </c>
      <c r="H61" s="696" t="s">
        <v>2099</v>
      </c>
      <c r="I61" s="696" t="s">
        <v>296</v>
      </c>
      <c r="J61" s="696" t="s">
        <v>16</v>
      </c>
      <c r="K61" s="696" t="s">
        <v>298</v>
      </c>
      <c r="L61" s="696" t="s">
        <v>2100</v>
      </c>
      <c r="M61" s="698" t="s">
        <v>2101</v>
      </c>
      <c r="N61" s="696" t="s">
        <v>17</v>
      </c>
      <c r="O61" s="696" t="s">
        <v>17</v>
      </c>
      <c r="P61" s="696" t="s">
        <v>17</v>
      </c>
      <c r="Q61" s="696"/>
      <c r="R61" s="696" t="s">
        <v>17</v>
      </c>
      <c r="S61" s="700"/>
      <c r="T61" s="696" t="s">
        <v>17</v>
      </c>
      <c r="U61" s="696" t="s">
        <v>17</v>
      </c>
      <c r="V61" s="696" t="s">
        <v>17</v>
      </c>
      <c r="W61" s="696" t="s">
        <v>17</v>
      </c>
      <c r="X61" s="696" t="s">
        <v>17</v>
      </c>
      <c r="Y61" s="696" t="s">
        <v>2102</v>
      </c>
      <c r="Z61" s="696" t="s">
        <v>17</v>
      </c>
      <c r="AA61" s="696" t="s">
        <v>17</v>
      </c>
      <c r="AB61" s="696" t="s">
        <v>1231</v>
      </c>
      <c r="AC61" s="696" t="s">
        <v>19</v>
      </c>
      <c r="AD61" s="696"/>
      <c r="AE61" s="696" t="s">
        <v>2103</v>
      </c>
    </row>
    <row r="62" spans="1:31" ht="150" customHeight="1" x14ac:dyDescent="0.2">
      <c r="A62" s="696">
        <v>708923</v>
      </c>
      <c r="B62" s="696" t="s">
        <v>137</v>
      </c>
      <c r="C62" s="696" t="s">
        <v>2104</v>
      </c>
      <c r="D62" s="702" t="s">
        <v>242</v>
      </c>
      <c r="E62" s="697">
        <v>44481</v>
      </c>
      <c r="F62" s="696" t="s">
        <v>450</v>
      </c>
      <c r="G62" s="696" t="s">
        <v>29</v>
      </c>
      <c r="H62" s="696" t="s">
        <v>2105</v>
      </c>
      <c r="I62" s="696" t="s">
        <v>296</v>
      </c>
      <c r="J62" s="696" t="s">
        <v>16</v>
      </c>
      <c r="K62" s="696" t="s">
        <v>298</v>
      </c>
      <c r="L62" s="696" t="s">
        <v>2106</v>
      </c>
      <c r="M62" s="698" t="s">
        <v>2107</v>
      </c>
      <c r="N62" s="696" t="s">
        <v>17</v>
      </c>
      <c r="O62" s="696" t="s">
        <v>17</v>
      </c>
      <c r="P62" s="696" t="s">
        <v>17</v>
      </c>
      <c r="Q62" s="696"/>
      <c r="R62" s="696" t="s">
        <v>17</v>
      </c>
      <c r="S62" s="700"/>
      <c r="T62" s="696" t="s">
        <v>17</v>
      </c>
      <c r="U62" s="696" t="s">
        <v>17</v>
      </c>
      <c r="V62" s="696" t="s">
        <v>17</v>
      </c>
      <c r="W62" s="696" t="s">
        <v>17</v>
      </c>
      <c r="X62" s="696" t="s">
        <v>17</v>
      </c>
      <c r="Y62" s="696" t="s">
        <v>17</v>
      </c>
      <c r="Z62" s="696" t="s">
        <v>17</v>
      </c>
      <c r="AA62" s="696" t="s">
        <v>17</v>
      </c>
      <c r="AB62" s="696" t="s">
        <v>2084</v>
      </c>
      <c r="AC62" s="696" t="s">
        <v>19</v>
      </c>
      <c r="AD62" s="696"/>
      <c r="AE62" s="696" t="s">
        <v>2108</v>
      </c>
    </row>
    <row r="63" spans="1:31" ht="150" customHeight="1" x14ac:dyDescent="0.2">
      <c r="A63" s="696">
        <v>707933</v>
      </c>
      <c r="B63" s="696" t="s">
        <v>137</v>
      </c>
      <c r="C63" s="696" t="s">
        <v>2133</v>
      </c>
      <c r="D63" s="702" t="s">
        <v>242</v>
      </c>
      <c r="E63" s="697">
        <v>44678</v>
      </c>
      <c r="F63" s="696" t="s">
        <v>1948</v>
      </c>
      <c r="G63" s="696" t="s">
        <v>29</v>
      </c>
      <c r="H63" s="696" t="s">
        <v>2134</v>
      </c>
      <c r="I63" s="696" t="s">
        <v>296</v>
      </c>
      <c r="J63" s="696" t="s">
        <v>16</v>
      </c>
      <c r="K63" s="696" t="s">
        <v>298</v>
      </c>
      <c r="L63" s="696" t="s">
        <v>2135</v>
      </c>
      <c r="M63" s="698" t="s">
        <v>2136</v>
      </c>
      <c r="N63" s="696" t="s">
        <v>17</v>
      </c>
      <c r="O63" s="831">
        <v>510852000</v>
      </c>
      <c r="P63" s="696" t="s">
        <v>17</v>
      </c>
      <c r="Q63" s="696"/>
      <c r="R63" s="696" t="s">
        <v>17</v>
      </c>
      <c r="S63" s="696" t="s">
        <v>3747</v>
      </c>
      <c r="T63" s="696" t="s">
        <v>17</v>
      </c>
      <c r="U63" s="831">
        <v>420000000</v>
      </c>
      <c r="V63" s="696" t="s">
        <v>17</v>
      </c>
      <c r="W63" s="696" t="s">
        <v>17</v>
      </c>
      <c r="X63" s="696" t="s">
        <v>17</v>
      </c>
      <c r="Y63" s="696" t="s">
        <v>2137</v>
      </c>
      <c r="Z63" s="696" t="s">
        <v>17</v>
      </c>
      <c r="AA63" s="696" t="s">
        <v>17</v>
      </c>
      <c r="AB63" s="832" t="s">
        <v>2138</v>
      </c>
      <c r="AC63" s="679" t="s">
        <v>22</v>
      </c>
      <c r="AD63" s="696"/>
      <c r="AE63" s="696" t="s">
        <v>2139</v>
      </c>
    </row>
    <row r="64" spans="1:31" ht="150" customHeight="1" x14ac:dyDescent="0.2">
      <c r="A64" s="696">
        <v>563290</v>
      </c>
      <c r="B64" s="696" t="s">
        <v>137</v>
      </c>
      <c r="C64" s="696" t="s">
        <v>2168</v>
      </c>
      <c r="D64" s="696" t="s">
        <v>162</v>
      </c>
      <c r="E64" s="697">
        <v>43028</v>
      </c>
      <c r="F64" s="696" t="s">
        <v>2169</v>
      </c>
      <c r="G64" s="705" t="s">
        <v>147</v>
      </c>
      <c r="H64" s="696" t="s">
        <v>296</v>
      </c>
      <c r="I64" s="696" t="s">
        <v>2170</v>
      </c>
      <c r="J64" s="696" t="s">
        <v>16</v>
      </c>
      <c r="K64" s="696" t="s">
        <v>316</v>
      </c>
      <c r="L64" s="696" t="s">
        <v>2171</v>
      </c>
      <c r="M64" s="698" t="s">
        <v>2171</v>
      </c>
      <c r="N64" s="696" t="s">
        <v>23</v>
      </c>
      <c r="O64" s="696" t="s">
        <v>23</v>
      </c>
      <c r="P64" s="696" t="s">
        <v>23</v>
      </c>
      <c r="Q64" s="696" t="s">
        <v>148</v>
      </c>
      <c r="R64" s="696" t="s">
        <v>2172</v>
      </c>
      <c r="S64" s="679" t="s">
        <v>3757</v>
      </c>
      <c r="T64" s="696" t="s">
        <v>80</v>
      </c>
      <c r="U64" s="696" t="s">
        <v>23</v>
      </c>
      <c r="V64" s="696" t="s">
        <v>23</v>
      </c>
      <c r="W64" s="696" t="s">
        <v>23</v>
      </c>
      <c r="X64" s="696" t="s">
        <v>23</v>
      </c>
      <c r="Y64" s="701">
        <v>43895</v>
      </c>
      <c r="Z64" s="701">
        <v>44806</v>
      </c>
      <c r="AA64" s="696" t="s">
        <v>23</v>
      </c>
      <c r="AB64" s="696" t="s">
        <v>2173</v>
      </c>
      <c r="AC64" s="679" t="s">
        <v>22</v>
      </c>
      <c r="AD64" s="679"/>
      <c r="AE64" s="696" t="s">
        <v>2174</v>
      </c>
    </row>
    <row r="65" spans="1:31" ht="150" customHeight="1" x14ac:dyDescent="0.2">
      <c r="A65" s="696">
        <v>255041</v>
      </c>
      <c r="B65" s="696" t="s">
        <v>137</v>
      </c>
      <c r="C65" s="696" t="s">
        <v>2191</v>
      </c>
      <c r="D65" s="696" t="s">
        <v>151</v>
      </c>
      <c r="E65" s="697">
        <v>39210</v>
      </c>
      <c r="F65" s="696" t="s">
        <v>616</v>
      </c>
      <c r="G65" s="696" t="s">
        <v>145</v>
      </c>
      <c r="H65" s="696" t="s">
        <v>296</v>
      </c>
      <c r="I65" s="696" t="s">
        <v>2192</v>
      </c>
      <c r="J65" s="696" t="s">
        <v>16</v>
      </c>
      <c r="K65" s="696" t="s">
        <v>298</v>
      </c>
      <c r="L65" s="696" t="s">
        <v>2193</v>
      </c>
      <c r="M65" s="698" t="s">
        <v>2193</v>
      </c>
      <c r="N65" s="696" t="s">
        <v>23</v>
      </c>
      <c r="O65" s="679">
        <v>6845442</v>
      </c>
      <c r="P65" s="679" t="s">
        <v>23</v>
      </c>
      <c r="Q65" s="696" t="s">
        <v>47</v>
      </c>
      <c r="R65" s="679" t="s">
        <v>23</v>
      </c>
      <c r="S65" s="679" t="s">
        <v>57</v>
      </c>
      <c r="T65" s="682" t="s">
        <v>23</v>
      </c>
      <c r="U65" s="679" t="s">
        <v>23</v>
      </c>
      <c r="V65" s="679" t="s">
        <v>23</v>
      </c>
      <c r="W65" s="679" t="s">
        <v>23</v>
      </c>
      <c r="X65" s="679" t="s">
        <v>23</v>
      </c>
      <c r="Y65" s="703">
        <v>40820</v>
      </c>
      <c r="Z65" s="679" t="s">
        <v>23</v>
      </c>
      <c r="AA65" s="679" t="s">
        <v>23</v>
      </c>
      <c r="AB65" s="696" t="s">
        <v>2194</v>
      </c>
      <c r="AC65" s="679" t="s">
        <v>19</v>
      </c>
      <c r="AD65" s="679"/>
      <c r="AE65" s="696" t="s">
        <v>2195</v>
      </c>
    </row>
    <row r="66" spans="1:31" ht="150" customHeight="1" x14ac:dyDescent="0.2">
      <c r="A66" s="696">
        <v>418635</v>
      </c>
      <c r="B66" s="696" t="s">
        <v>137</v>
      </c>
      <c r="C66" s="696" t="s">
        <v>2200</v>
      </c>
      <c r="D66" s="696" t="s">
        <v>248</v>
      </c>
      <c r="E66" s="697">
        <v>41478</v>
      </c>
      <c r="F66" s="696" t="s">
        <v>1658</v>
      </c>
      <c r="G66" s="696" t="s">
        <v>29</v>
      </c>
      <c r="H66" s="696" t="s">
        <v>2201</v>
      </c>
      <c r="I66" s="696" t="s">
        <v>296</v>
      </c>
      <c r="J66" s="696" t="s">
        <v>16</v>
      </c>
      <c r="K66" s="696" t="s">
        <v>298</v>
      </c>
      <c r="L66" s="696" t="s">
        <v>2202</v>
      </c>
      <c r="M66" s="698" t="s">
        <v>2202</v>
      </c>
      <c r="N66" s="696" t="s">
        <v>23</v>
      </c>
      <c r="O66" s="679" t="s">
        <v>23</v>
      </c>
      <c r="P66" s="679" t="s">
        <v>23</v>
      </c>
      <c r="Q66" s="696"/>
      <c r="R66" s="679" t="s">
        <v>23</v>
      </c>
      <c r="S66" s="700"/>
      <c r="T66" s="682" t="s">
        <v>23</v>
      </c>
      <c r="U66" s="679" t="s">
        <v>23</v>
      </c>
      <c r="V66" s="679" t="s">
        <v>23</v>
      </c>
      <c r="W66" s="682" t="s">
        <v>23</v>
      </c>
      <c r="X66" s="679" t="s">
        <v>23</v>
      </c>
      <c r="Y66" s="703">
        <v>41739</v>
      </c>
      <c r="Z66" s="703" t="s">
        <v>23</v>
      </c>
      <c r="AA66" s="679" t="s">
        <v>23</v>
      </c>
      <c r="AB66" s="679" t="s">
        <v>2203</v>
      </c>
      <c r="AC66" s="679" t="s">
        <v>19</v>
      </c>
      <c r="AD66" s="679"/>
      <c r="AE66" s="679" t="s">
        <v>302</v>
      </c>
    </row>
    <row r="67" spans="1:31" ht="150" customHeight="1" x14ac:dyDescent="0.2">
      <c r="A67" s="696">
        <v>479970</v>
      </c>
      <c r="B67" s="696" t="s">
        <v>137</v>
      </c>
      <c r="C67" s="696" t="s">
        <v>2204</v>
      </c>
      <c r="D67" s="696" t="s">
        <v>243</v>
      </c>
      <c r="E67" s="697">
        <v>41974</v>
      </c>
      <c r="F67" s="696" t="s">
        <v>847</v>
      </c>
      <c r="G67" s="696" t="s">
        <v>29</v>
      </c>
      <c r="H67" s="696" t="s">
        <v>2205</v>
      </c>
      <c r="I67" s="696" t="s">
        <v>296</v>
      </c>
      <c r="J67" s="696" t="s">
        <v>16</v>
      </c>
      <c r="K67" s="696" t="s">
        <v>298</v>
      </c>
      <c r="L67" s="696" t="s">
        <v>2206</v>
      </c>
      <c r="M67" s="698" t="s">
        <v>2206</v>
      </c>
      <c r="N67" s="696" t="s">
        <v>23</v>
      </c>
      <c r="O67" s="679" t="s">
        <v>23</v>
      </c>
      <c r="P67" s="679" t="s">
        <v>23</v>
      </c>
      <c r="Q67" s="696"/>
      <c r="R67" s="679" t="s">
        <v>23</v>
      </c>
      <c r="S67" s="700"/>
      <c r="T67" s="682" t="s">
        <v>23</v>
      </c>
      <c r="U67" s="679" t="s">
        <v>23</v>
      </c>
      <c r="V67" s="679" t="s">
        <v>23</v>
      </c>
      <c r="W67" s="682" t="s">
        <v>23</v>
      </c>
      <c r="X67" s="679">
        <v>23000593</v>
      </c>
      <c r="Y67" s="703">
        <v>42222</v>
      </c>
      <c r="Z67" s="679" t="s">
        <v>23</v>
      </c>
      <c r="AA67" s="679" t="s">
        <v>23</v>
      </c>
      <c r="AB67" s="679" t="s">
        <v>2207</v>
      </c>
      <c r="AC67" s="679" t="s">
        <v>19</v>
      </c>
      <c r="AD67" s="679"/>
      <c r="AE67" s="679" t="s">
        <v>302</v>
      </c>
    </row>
    <row r="68" spans="1:31" ht="150" customHeight="1" x14ac:dyDescent="0.2">
      <c r="A68" s="696">
        <v>495681</v>
      </c>
      <c r="B68" s="696" t="s">
        <v>137</v>
      </c>
      <c r="C68" s="696" t="s">
        <v>2214</v>
      </c>
      <c r="D68" s="696" t="s">
        <v>243</v>
      </c>
      <c r="E68" s="697">
        <v>42054</v>
      </c>
      <c r="F68" s="696" t="s">
        <v>2215</v>
      </c>
      <c r="G68" s="696" t="s">
        <v>29</v>
      </c>
      <c r="H68" s="696" t="s">
        <v>2216</v>
      </c>
      <c r="I68" s="696" t="s">
        <v>296</v>
      </c>
      <c r="J68" s="696" t="s">
        <v>16</v>
      </c>
      <c r="K68" s="696" t="s">
        <v>298</v>
      </c>
      <c r="L68" s="696" t="s">
        <v>2206</v>
      </c>
      <c r="M68" s="698" t="s">
        <v>2206</v>
      </c>
      <c r="N68" s="696" t="s">
        <v>23</v>
      </c>
      <c r="O68" s="679" t="s">
        <v>23</v>
      </c>
      <c r="P68" s="679" t="s">
        <v>23</v>
      </c>
      <c r="Q68" s="696"/>
      <c r="R68" s="679" t="s">
        <v>23</v>
      </c>
      <c r="S68" s="700"/>
      <c r="T68" s="682" t="s">
        <v>23</v>
      </c>
      <c r="U68" s="679" t="s">
        <v>23</v>
      </c>
      <c r="V68" s="679" t="s">
        <v>23</v>
      </c>
      <c r="W68" s="682" t="s">
        <v>23</v>
      </c>
      <c r="X68" s="679">
        <v>50449991</v>
      </c>
      <c r="Y68" s="703">
        <v>42541</v>
      </c>
      <c r="Z68" s="703">
        <v>43062</v>
      </c>
      <c r="AA68" s="679" t="s">
        <v>23</v>
      </c>
      <c r="AB68" s="679" t="s">
        <v>2217</v>
      </c>
      <c r="AC68" s="679" t="s">
        <v>22</v>
      </c>
      <c r="AD68" s="679"/>
      <c r="AE68" s="679" t="s">
        <v>2218</v>
      </c>
    </row>
    <row r="69" spans="1:31" ht="150" customHeight="1" x14ac:dyDescent="0.2">
      <c r="A69" s="696" t="s">
        <v>260</v>
      </c>
      <c r="B69" s="696" t="s">
        <v>137</v>
      </c>
      <c r="C69" s="696" t="s">
        <v>2227</v>
      </c>
      <c r="D69" s="696" t="s">
        <v>139</v>
      </c>
      <c r="E69" s="697">
        <v>42857</v>
      </c>
      <c r="F69" s="696" t="s">
        <v>2228</v>
      </c>
      <c r="G69" s="696" t="s">
        <v>29</v>
      </c>
      <c r="H69" s="696" t="s">
        <v>2229</v>
      </c>
      <c r="I69" s="696" t="s">
        <v>2230</v>
      </c>
      <c r="J69" s="696" t="s">
        <v>16</v>
      </c>
      <c r="K69" s="696" t="s">
        <v>298</v>
      </c>
      <c r="L69" s="696" t="s">
        <v>2231</v>
      </c>
      <c r="M69" s="698" t="s">
        <v>2231</v>
      </c>
      <c r="N69" s="696" t="s">
        <v>23</v>
      </c>
      <c r="O69" s="696" t="s">
        <v>23</v>
      </c>
      <c r="P69" s="696" t="s">
        <v>23</v>
      </c>
      <c r="Q69" s="696"/>
      <c r="R69" s="696" t="s">
        <v>23</v>
      </c>
      <c r="S69" s="700"/>
      <c r="T69" s="682" t="s">
        <v>23</v>
      </c>
      <c r="U69" s="679" t="s">
        <v>23</v>
      </c>
      <c r="V69" s="723" t="s">
        <v>23</v>
      </c>
      <c r="W69" s="696" t="s">
        <v>23</v>
      </c>
      <c r="X69" s="696" t="s">
        <v>23</v>
      </c>
      <c r="Y69" s="696" t="s">
        <v>23</v>
      </c>
      <c r="Z69" s="696" t="s">
        <v>23</v>
      </c>
      <c r="AA69" s="696" t="s">
        <v>23</v>
      </c>
      <c r="AB69" s="679" t="s">
        <v>2232</v>
      </c>
      <c r="AC69" s="679" t="s">
        <v>19</v>
      </c>
      <c r="AD69" s="679"/>
      <c r="AE69" s="679" t="s">
        <v>787</v>
      </c>
    </row>
    <row r="70" spans="1:31" ht="150" customHeight="1" x14ac:dyDescent="0.2">
      <c r="A70" s="696">
        <v>595501</v>
      </c>
      <c r="B70" s="696" t="s">
        <v>137</v>
      </c>
      <c r="C70" s="696" t="s">
        <v>2233</v>
      </c>
      <c r="D70" s="696" t="s">
        <v>139</v>
      </c>
      <c r="E70" s="697">
        <v>43439</v>
      </c>
      <c r="F70" s="696" t="s">
        <v>2228</v>
      </c>
      <c r="G70" s="696" t="s">
        <v>29</v>
      </c>
      <c r="H70" s="696" t="s">
        <v>2234</v>
      </c>
      <c r="I70" s="696" t="s">
        <v>2230</v>
      </c>
      <c r="J70" s="696" t="s">
        <v>16</v>
      </c>
      <c r="K70" s="696" t="s">
        <v>298</v>
      </c>
      <c r="L70" s="696" t="s">
        <v>2231</v>
      </c>
      <c r="M70" s="698" t="s">
        <v>2235</v>
      </c>
      <c r="N70" s="696" t="s">
        <v>17</v>
      </c>
      <c r="O70" s="696" t="s">
        <v>17</v>
      </c>
      <c r="P70" s="696" t="s">
        <v>17</v>
      </c>
      <c r="Q70" s="696"/>
      <c r="R70" s="696" t="s">
        <v>23</v>
      </c>
      <c r="S70" s="700"/>
      <c r="T70" s="682" t="s">
        <v>17</v>
      </c>
      <c r="U70" s="679" t="s">
        <v>17</v>
      </c>
      <c r="V70" s="723" t="s">
        <v>17</v>
      </c>
      <c r="W70" s="696" t="s">
        <v>17</v>
      </c>
      <c r="X70" s="696" t="s">
        <v>17</v>
      </c>
      <c r="Y70" s="696" t="s">
        <v>17</v>
      </c>
      <c r="Z70" s="696" t="s">
        <v>17</v>
      </c>
      <c r="AA70" s="696" t="s">
        <v>17</v>
      </c>
      <c r="AB70" s="679" t="s">
        <v>2236</v>
      </c>
      <c r="AC70" s="679" t="s">
        <v>19</v>
      </c>
      <c r="AD70" s="679"/>
      <c r="AE70" s="679" t="s">
        <v>2237</v>
      </c>
    </row>
    <row r="71" spans="1:31" ht="150" customHeight="1" x14ac:dyDescent="0.2">
      <c r="A71" s="696">
        <v>461971</v>
      </c>
      <c r="B71" s="696" t="s">
        <v>137</v>
      </c>
      <c r="C71" s="696" t="s">
        <v>3920</v>
      </c>
      <c r="D71" s="696" t="s">
        <v>151</v>
      </c>
      <c r="E71" s="697">
        <v>41836</v>
      </c>
      <c r="F71" s="696" t="s">
        <v>450</v>
      </c>
      <c r="G71" s="696" t="s">
        <v>15</v>
      </c>
      <c r="H71" s="696" t="s">
        <v>296</v>
      </c>
      <c r="I71" s="696" t="s">
        <v>2431</v>
      </c>
      <c r="J71" s="696" t="s">
        <v>16</v>
      </c>
      <c r="K71" s="696" t="s">
        <v>298</v>
      </c>
      <c r="L71" s="696" t="s">
        <v>2432</v>
      </c>
      <c r="M71" s="698" t="s">
        <v>2432</v>
      </c>
      <c r="N71" s="696" t="s">
        <v>23</v>
      </c>
      <c r="O71" s="679">
        <v>23000000</v>
      </c>
      <c r="P71" s="679" t="s">
        <v>23</v>
      </c>
      <c r="Q71" s="696" t="s">
        <v>47</v>
      </c>
      <c r="R71" s="679" t="s">
        <v>2433</v>
      </c>
      <c r="S71" s="679" t="s">
        <v>57</v>
      </c>
      <c r="T71" s="682" t="s">
        <v>23</v>
      </c>
      <c r="U71" s="679" t="s">
        <v>23</v>
      </c>
      <c r="V71" s="679" t="s">
        <v>23</v>
      </c>
      <c r="W71" s="679" t="s">
        <v>23</v>
      </c>
      <c r="X71" s="679" t="s">
        <v>23</v>
      </c>
      <c r="Y71" s="703" t="s">
        <v>23</v>
      </c>
      <c r="Z71" s="679" t="s">
        <v>23</v>
      </c>
      <c r="AA71" s="679" t="s">
        <v>23</v>
      </c>
      <c r="AB71" s="679" t="s">
        <v>2434</v>
      </c>
      <c r="AC71" s="679" t="s">
        <v>22</v>
      </c>
      <c r="AD71" s="679"/>
      <c r="AE71" s="679" t="s">
        <v>3921</v>
      </c>
    </row>
    <row r="72" spans="1:31" ht="150" customHeight="1" x14ac:dyDescent="0.2">
      <c r="A72" s="814">
        <v>773537</v>
      </c>
      <c r="B72" s="696" t="s">
        <v>137</v>
      </c>
      <c r="C72" s="696" t="s">
        <v>2476</v>
      </c>
      <c r="D72" s="696" t="s">
        <v>242</v>
      </c>
      <c r="E72" s="697">
        <v>44689</v>
      </c>
      <c r="F72" s="696" t="s">
        <v>847</v>
      </c>
      <c r="G72" s="696" t="s">
        <v>29</v>
      </c>
      <c r="H72" s="814" t="s">
        <v>2477</v>
      </c>
      <c r="I72" s="814" t="s">
        <v>296</v>
      </c>
      <c r="J72" s="696" t="s">
        <v>16</v>
      </c>
      <c r="K72" s="696" t="s">
        <v>298</v>
      </c>
      <c r="L72" s="698" t="s">
        <v>2478</v>
      </c>
      <c r="M72" s="698" t="s">
        <v>2479</v>
      </c>
      <c r="N72" s="814" t="s">
        <v>17</v>
      </c>
      <c r="O72" s="833">
        <v>702260129033</v>
      </c>
      <c r="P72" s="814" t="s">
        <v>17</v>
      </c>
      <c r="Q72" s="696"/>
      <c r="R72" s="814" t="s">
        <v>17</v>
      </c>
      <c r="S72" s="700"/>
      <c r="T72" s="814" t="s">
        <v>17</v>
      </c>
      <c r="U72" s="814" t="s">
        <v>17</v>
      </c>
      <c r="V72" s="814" t="s">
        <v>17</v>
      </c>
      <c r="W72" s="814" t="s">
        <v>17</v>
      </c>
      <c r="X72" s="814" t="s">
        <v>17</v>
      </c>
      <c r="Y72" s="814" t="s">
        <v>17</v>
      </c>
      <c r="Z72" s="814" t="s">
        <v>17</v>
      </c>
      <c r="AA72" s="814" t="s">
        <v>17</v>
      </c>
      <c r="AB72" s="696" t="s">
        <v>2480</v>
      </c>
      <c r="AC72" s="814" t="s">
        <v>19</v>
      </c>
      <c r="AD72" s="814"/>
      <c r="AE72" s="814" t="s">
        <v>2481</v>
      </c>
    </row>
    <row r="73" spans="1:31" ht="150" customHeight="1" x14ac:dyDescent="0.2">
      <c r="A73" s="696">
        <v>749993</v>
      </c>
      <c r="B73" s="696" t="s">
        <v>137</v>
      </c>
      <c r="C73" s="696" t="s">
        <v>2482</v>
      </c>
      <c r="D73" s="696" t="s">
        <v>242</v>
      </c>
      <c r="E73" s="697">
        <v>45111</v>
      </c>
      <c r="F73" s="696" t="s">
        <v>2483</v>
      </c>
      <c r="G73" s="696" t="s">
        <v>29</v>
      </c>
      <c r="H73" s="696" t="s">
        <v>2484</v>
      </c>
      <c r="I73" s="696" t="s">
        <v>296</v>
      </c>
      <c r="J73" s="696" t="s">
        <v>16</v>
      </c>
      <c r="K73" s="696" t="s">
        <v>298</v>
      </c>
      <c r="L73" s="696" t="s">
        <v>2478</v>
      </c>
      <c r="M73" s="698" t="s">
        <v>2485</v>
      </c>
      <c r="N73" s="696" t="s">
        <v>17</v>
      </c>
      <c r="O73" s="699">
        <v>1482090584</v>
      </c>
      <c r="P73" s="696" t="s">
        <v>17</v>
      </c>
      <c r="Q73" s="696"/>
      <c r="R73" s="696" t="s">
        <v>17</v>
      </c>
      <c r="S73" s="700"/>
      <c r="T73" s="696" t="s">
        <v>17</v>
      </c>
      <c r="U73" s="696" t="s">
        <v>17</v>
      </c>
      <c r="V73" s="696" t="s">
        <v>17</v>
      </c>
      <c r="W73" s="696" t="s">
        <v>17</v>
      </c>
      <c r="X73" s="696" t="s">
        <v>17</v>
      </c>
      <c r="Y73" s="696" t="s">
        <v>17</v>
      </c>
      <c r="Z73" s="696" t="s">
        <v>17</v>
      </c>
      <c r="AA73" s="696" t="s">
        <v>17</v>
      </c>
      <c r="AB73" s="696" t="s">
        <v>3922</v>
      </c>
      <c r="AC73" s="696" t="s">
        <v>22</v>
      </c>
      <c r="AD73" s="696"/>
      <c r="AE73" s="696" t="s">
        <v>3923</v>
      </c>
    </row>
    <row r="74" spans="1:31" ht="150" customHeight="1" x14ac:dyDescent="0.2">
      <c r="A74" s="696">
        <v>795544</v>
      </c>
      <c r="B74" s="696" t="s">
        <v>137</v>
      </c>
      <c r="C74" s="696" t="s">
        <v>2487</v>
      </c>
      <c r="D74" s="696" t="s">
        <v>248</v>
      </c>
      <c r="E74" s="697">
        <v>45278</v>
      </c>
      <c r="F74" s="696" t="s">
        <v>2488</v>
      </c>
      <c r="G74" s="696" t="s">
        <v>29</v>
      </c>
      <c r="H74" s="696" t="s">
        <v>2489</v>
      </c>
      <c r="I74" s="696" t="s">
        <v>296</v>
      </c>
      <c r="J74" s="696" t="s">
        <v>16</v>
      </c>
      <c r="K74" s="696" t="s">
        <v>298</v>
      </c>
      <c r="L74" s="696" t="s">
        <v>2490</v>
      </c>
      <c r="M74" s="698" t="s">
        <v>2491</v>
      </c>
      <c r="N74" s="696" t="s">
        <v>17</v>
      </c>
      <c r="O74" s="696" t="s">
        <v>17</v>
      </c>
      <c r="P74" s="696" t="s">
        <v>17</v>
      </c>
      <c r="Q74" s="696"/>
      <c r="R74" s="696" t="s">
        <v>17</v>
      </c>
      <c r="S74" s="696" t="s">
        <v>3734</v>
      </c>
      <c r="T74" s="696" t="s">
        <v>17</v>
      </c>
      <c r="U74" s="696" t="s">
        <v>17</v>
      </c>
      <c r="V74" s="696" t="s">
        <v>17</v>
      </c>
      <c r="W74" s="696" t="s">
        <v>17</v>
      </c>
      <c r="X74" s="696" t="s">
        <v>17</v>
      </c>
      <c r="Y74" s="696" t="s">
        <v>17</v>
      </c>
      <c r="Z74" s="696" t="s">
        <v>17</v>
      </c>
      <c r="AA74" s="696" t="s">
        <v>17</v>
      </c>
      <c r="AB74" s="696" t="s">
        <v>2492</v>
      </c>
      <c r="AC74" s="696" t="s">
        <v>19</v>
      </c>
      <c r="AD74" s="696"/>
      <c r="AE74" s="696" t="s">
        <v>2493</v>
      </c>
    </row>
    <row r="75" spans="1:31" ht="150" customHeight="1" x14ac:dyDescent="0.2">
      <c r="A75" s="696">
        <v>617292</v>
      </c>
      <c r="B75" s="696" t="s">
        <v>137</v>
      </c>
      <c r="C75" s="696" t="s">
        <v>2494</v>
      </c>
      <c r="D75" s="696" t="s">
        <v>248</v>
      </c>
      <c r="E75" s="697">
        <v>45026</v>
      </c>
      <c r="F75" s="696" t="s">
        <v>2495</v>
      </c>
      <c r="G75" s="696" t="s">
        <v>29</v>
      </c>
      <c r="H75" s="696" t="s">
        <v>2496</v>
      </c>
      <c r="I75" s="696" t="s">
        <v>296</v>
      </c>
      <c r="J75" s="696" t="s">
        <v>16</v>
      </c>
      <c r="K75" s="696" t="s">
        <v>298</v>
      </c>
      <c r="L75" s="696" t="s">
        <v>2497</v>
      </c>
      <c r="M75" s="698" t="s">
        <v>2498</v>
      </c>
      <c r="N75" s="696" t="s">
        <v>17</v>
      </c>
      <c r="O75" s="696" t="s">
        <v>17</v>
      </c>
      <c r="P75" s="696" t="s">
        <v>17</v>
      </c>
      <c r="Q75" s="696"/>
      <c r="R75" s="696" t="s">
        <v>17</v>
      </c>
      <c r="S75" s="700"/>
      <c r="T75" s="696" t="s">
        <v>17</v>
      </c>
      <c r="U75" s="696" t="s">
        <v>17</v>
      </c>
      <c r="V75" s="696" t="s">
        <v>17</v>
      </c>
      <c r="W75" s="696" t="s">
        <v>17</v>
      </c>
      <c r="X75" s="696" t="s">
        <v>17</v>
      </c>
      <c r="Y75" s="696" t="s">
        <v>17</v>
      </c>
      <c r="Z75" s="696" t="s">
        <v>17</v>
      </c>
      <c r="AA75" s="696" t="s">
        <v>17</v>
      </c>
      <c r="AB75" s="696" t="s">
        <v>2499</v>
      </c>
      <c r="AC75" s="696" t="s">
        <v>19</v>
      </c>
      <c r="AD75" s="696"/>
      <c r="AE75" s="696" t="s">
        <v>2500</v>
      </c>
    </row>
    <row r="76" spans="1:31" ht="150" customHeight="1" x14ac:dyDescent="0.2">
      <c r="A76" s="696">
        <v>793372</v>
      </c>
      <c r="B76" s="696" t="s">
        <v>137</v>
      </c>
      <c r="C76" s="696" t="s">
        <v>2501</v>
      </c>
      <c r="D76" s="696" t="s">
        <v>248</v>
      </c>
      <c r="E76" s="697">
        <v>45195</v>
      </c>
      <c r="F76" s="696" t="s">
        <v>847</v>
      </c>
      <c r="G76" s="696" t="s">
        <v>29</v>
      </c>
      <c r="H76" s="696" t="s">
        <v>2502</v>
      </c>
      <c r="I76" s="696" t="s">
        <v>296</v>
      </c>
      <c r="J76" s="696" t="s">
        <v>16</v>
      </c>
      <c r="K76" s="696" t="s">
        <v>298</v>
      </c>
      <c r="L76" s="696" t="s">
        <v>2503</v>
      </c>
      <c r="M76" s="698" t="s">
        <v>2504</v>
      </c>
      <c r="N76" s="696" t="s">
        <v>17</v>
      </c>
      <c r="O76" s="696" t="s">
        <v>17</v>
      </c>
      <c r="P76" s="696" t="s">
        <v>17</v>
      </c>
      <c r="Q76" s="696"/>
      <c r="R76" s="696" t="s">
        <v>17</v>
      </c>
      <c r="S76" s="700"/>
      <c r="T76" s="696" t="s">
        <v>17</v>
      </c>
      <c r="U76" s="696" t="s">
        <v>17</v>
      </c>
      <c r="V76" s="696" t="s">
        <v>17</v>
      </c>
      <c r="W76" s="696" t="s">
        <v>17</v>
      </c>
      <c r="X76" s="696" t="s">
        <v>17</v>
      </c>
      <c r="Y76" s="696" t="s">
        <v>17</v>
      </c>
      <c r="Z76" s="696" t="s">
        <v>17</v>
      </c>
      <c r="AA76" s="696" t="s">
        <v>17</v>
      </c>
      <c r="AB76" s="696" t="s">
        <v>2505</v>
      </c>
      <c r="AC76" s="696" t="s">
        <v>19</v>
      </c>
      <c r="AD76" s="696"/>
      <c r="AE76" s="696" t="s">
        <v>787</v>
      </c>
    </row>
    <row r="77" spans="1:31" ht="150" customHeight="1" x14ac:dyDescent="0.2">
      <c r="A77" s="696">
        <v>788867</v>
      </c>
      <c r="B77" s="696" t="s">
        <v>137</v>
      </c>
      <c r="C77" s="696" t="s">
        <v>2506</v>
      </c>
      <c r="D77" s="696" t="s">
        <v>242</v>
      </c>
      <c r="E77" s="697">
        <v>45588</v>
      </c>
      <c r="F77" s="696" t="s">
        <v>847</v>
      </c>
      <c r="G77" s="696" t="s">
        <v>29</v>
      </c>
      <c r="H77" s="696" t="s">
        <v>2507</v>
      </c>
      <c r="I77" s="696" t="s">
        <v>296</v>
      </c>
      <c r="J77" s="696" t="s">
        <v>16</v>
      </c>
      <c r="K77" s="696" t="s">
        <v>298</v>
      </c>
      <c r="L77" s="696" t="s">
        <v>2508</v>
      </c>
      <c r="M77" s="698"/>
      <c r="N77" s="696" t="s">
        <v>17</v>
      </c>
      <c r="O77" s="699">
        <v>1638126250</v>
      </c>
      <c r="P77" s="696" t="s">
        <v>17</v>
      </c>
      <c r="Q77" s="696"/>
      <c r="R77" s="696" t="s">
        <v>17</v>
      </c>
      <c r="S77" s="700"/>
      <c r="T77" s="696" t="s">
        <v>17</v>
      </c>
      <c r="U77" s="696" t="s">
        <v>17</v>
      </c>
      <c r="V77" s="696" t="s">
        <v>17</v>
      </c>
      <c r="W77" s="696" t="s">
        <v>17</v>
      </c>
      <c r="X77" s="696" t="s">
        <v>17</v>
      </c>
      <c r="Y77" s="696" t="s">
        <v>17</v>
      </c>
      <c r="Z77" s="696" t="s">
        <v>17</v>
      </c>
      <c r="AA77" s="696" t="s">
        <v>17</v>
      </c>
      <c r="AB77" s="696" t="s">
        <v>2509</v>
      </c>
      <c r="AC77" s="696" t="s">
        <v>19</v>
      </c>
      <c r="AD77" s="696"/>
      <c r="AE77" s="696" t="s">
        <v>2510</v>
      </c>
    </row>
    <row r="78" spans="1:31" ht="150" customHeight="1" x14ac:dyDescent="0.2">
      <c r="A78" s="696">
        <v>816781</v>
      </c>
      <c r="B78" s="696" t="s">
        <v>137</v>
      </c>
      <c r="C78" s="696" t="s">
        <v>2511</v>
      </c>
      <c r="D78" s="696" t="s">
        <v>248</v>
      </c>
      <c r="E78" s="697">
        <v>45561</v>
      </c>
      <c r="F78" s="696" t="s">
        <v>2512</v>
      </c>
      <c r="G78" s="696" t="s">
        <v>29</v>
      </c>
      <c r="H78" s="696" t="s">
        <v>296</v>
      </c>
      <c r="I78" s="696" t="s">
        <v>2513</v>
      </c>
      <c r="J78" s="696" t="s">
        <v>16</v>
      </c>
      <c r="K78" s="696" t="s">
        <v>298</v>
      </c>
      <c r="L78" s="696" t="s">
        <v>2490</v>
      </c>
      <c r="M78" s="698" t="s">
        <v>2491</v>
      </c>
      <c r="N78" s="696" t="s">
        <v>17</v>
      </c>
      <c r="O78" s="699"/>
      <c r="P78" s="696" t="s">
        <v>17</v>
      </c>
      <c r="Q78" s="696"/>
      <c r="R78" s="696" t="s">
        <v>17</v>
      </c>
      <c r="S78" s="700"/>
      <c r="T78" s="696" t="s">
        <v>17</v>
      </c>
      <c r="U78" s="696" t="s">
        <v>17</v>
      </c>
      <c r="V78" s="696" t="s">
        <v>2514</v>
      </c>
      <c r="W78" s="696" t="s">
        <v>17</v>
      </c>
      <c r="X78" s="696" t="s">
        <v>17</v>
      </c>
      <c r="Y78" s="696" t="s">
        <v>17</v>
      </c>
      <c r="Z78" s="696" t="s">
        <v>17</v>
      </c>
      <c r="AA78" s="696" t="s">
        <v>17</v>
      </c>
      <c r="AB78" s="696" t="s">
        <v>2515</v>
      </c>
      <c r="AC78" s="696" t="s">
        <v>19</v>
      </c>
      <c r="AD78" s="696"/>
      <c r="AE78" s="696" t="s">
        <v>2516</v>
      </c>
    </row>
    <row r="79" spans="1:31" ht="150" customHeight="1" x14ac:dyDescent="0.2">
      <c r="A79" s="816" t="s">
        <v>136</v>
      </c>
      <c r="B79" s="696" t="s">
        <v>137</v>
      </c>
      <c r="C79" s="698" t="s">
        <v>3066</v>
      </c>
      <c r="D79" s="696" t="s">
        <v>138</v>
      </c>
      <c r="E79" s="701">
        <v>44147</v>
      </c>
      <c r="F79" s="696" t="s">
        <v>3067</v>
      </c>
      <c r="G79" s="696" t="s">
        <v>29</v>
      </c>
      <c r="H79" s="696" t="s">
        <v>3068</v>
      </c>
      <c r="I79" s="696" t="s">
        <v>3069</v>
      </c>
      <c r="J79" s="696" t="s">
        <v>34</v>
      </c>
      <c r="K79" s="696" t="s">
        <v>298</v>
      </c>
      <c r="L79" s="696" t="s">
        <v>3070</v>
      </c>
      <c r="M79" s="696" t="s">
        <v>23</v>
      </c>
      <c r="N79" s="757" t="s">
        <v>87</v>
      </c>
      <c r="O79" s="757" t="s">
        <v>87</v>
      </c>
      <c r="P79" s="757" t="s">
        <v>65</v>
      </c>
      <c r="Q79" s="698"/>
      <c r="R79" s="696" t="s">
        <v>23</v>
      </c>
      <c r="S79" s="760"/>
      <c r="T79" s="757" t="s">
        <v>65</v>
      </c>
      <c r="U79" s="757" t="s">
        <v>65</v>
      </c>
      <c r="V79" s="757" t="s">
        <v>65</v>
      </c>
      <c r="W79" s="757" t="s">
        <v>65</v>
      </c>
      <c r="X79" s="757" t="s">
        <v>65</v>
      </c>
      <c r="Y79" s="757" t="s">
        <v>65</v>
      </c>
      <c r="Z79" s="698" t="s">
        <v>3110</v>
      </c>
      <c r="AA79" s="698" t="s">
        <v>3072</v>
      </c>
      <c r="AB79" s="757" t="s">
        <v>82</v>
      </c>
      <c r="AC79" s="757"/>
      <c r="AD79" s="696"/>
    </row>
    <row r="80" spans="1:31" ht="150" customHeight="1" x14ac:dyDescent="0.2">
      <c r="A80" s="696">
        <v>626104</v>
      </c>
      <c r="B80" s="696" t="s">
        <v>137</v>
      </c>
      <c r="C80" s="696" t="s">
        <v>3318</v>
      </c>
      <c r="D80" s="696" t="s">
        <v>139</v>
      </c>
      <c r="E80" s="701">
        <v>44014</v>
      </c>
      <c r="F80" s="696" t="s">
        <v>3319</v>
      </c>
      <c r="G80" s="696" t="s">
        <v>29</v>
      </c>
      <c r="H80" s="696" t="s">
        <v>3320</v>
      </c>
      <c r="I80" s="696" t="s">
        <v>3321</v>
      </c>
      <c r="J80" s="696" t="s">
        <v>34</v>
      </c>
      <c r="K80" s="696" t="s">
        <v>298</v>
      </c>
      <c r="L80" s="696" t="s">
        <v>3322</v>
      </c>
      <c r="M80" s="696" t="s">
        <v>17</v>
      </c>
      <c r="N80" s="757" t="s">
        <v>140</v>
      </c>
      <c r="O80" s="757" t="s">
        <v>140</v>
      </c>
      <c r="P80" s="757" t="s">
        <v>140</v>
      </c>
      <c r="Q80" s="698"/>
      <c r="R80" s="696" t="s">
        <v>23</v>
      </c>
      <c r="S80" s="757"/>
      <c r="T80" s="757" t="s">
        <v>140</v>
      </c>
      <c r="U80" s="757" t="s">
        <v>140</v>
      </c>
      <c r="V80" s="757" t="s">
        <v>140</v>
      </c>
      <c r="W80" s="757" t="s">
        <v>140</v>
      </c>
      <c r="X80" s="757" t="s">
        <v>140</v>
      </c>
      <c r="Y80" s="757" t="s">
        <v>140</v>
      </c>
      <c r="Z80" s="698" t="s">
        <v>3110</v>
      </c>
      <c r="AA80" s="698" t="s">
        <v>3324</v>
      </c>
      <c r="AB80" s="757" t="s">
        <v>141</v>
      </c>
      <c r="AC80" s="757"/>
      <c r="AD80" s="696"/>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EA416CE2-707F-4520-B431-F81F43CCC0E2}">
          <x14:formula1>
            <xm:f>Tablas!$N$3:$N$10</xm:f>
          </x14:formula1>
          <xm:sqref>G1:G1048576</xm:sqref>
        </x14:dataValidation>
        <x14:dataValidation type="list" allowBlank="1" showInputMessage="1" showErrorMessage="1" xr:uid="{F00F2786-D15F-4A95-B6B5-796E887B0581}">
          <x14:formula1>
            <xm:f>Tablas!$N$47:$N$51</xm:f>
          </x14:formula1>
          <xm:sqref>D1:D1048576</xm:sqref>
        </x14:dataValidation>
        <x14:dataValidation type="list" allowBlank="1" showInputMessage="1" showErrorMessage="1" xr:uid="{9A94BD5B-A56E-4C3E-9231-7239C3D41678}">
          <x14:formula1>
            <xm:f>Tablas!$E$5</xm:f>
          </x14:formula1>
          <xm:sqref>B1:B1048576</xm:sqref>
        </x14:dataValidation>
        <x14:dataValidation type="list" allowBlank="1" showInputMessage="1" showErrorMessage="1" xr:uid="{17182ECC-07AE-49D4-A72C-251AAB5723F7}">
          <x14:formula1>
            <xm:f>Tablas!$O$42:$O$44</xm:f>
          </x14:formula1>
          <xm:sqref>Q1:Q1048576</xm:sqref>
        </x14:dataValidation>
        <x14:dataValidation type="list" allowBlank="1" showInputMessage="1" showErrorMessage="1" xr:uid="{BCA06F94-5564-49C1-A551-AA01B6D0327E}">
          <x14:formula1>
            <xm:f>Tablas!$Q$19:$Q$38</xm:f>
          </x14:formula1>
          <xm:sqref>S1:S1048576</xm:sqref>
        </x14:dataValidation>
        <x14:dataValidation type="list" allowBlank="1" showInputMessage="1" showErrorMessage="1" xr:uid="{05A0A2E4-1978-47B4-BA2E-6DFA8F7DDFD3}">
          <x14:formula1>
            <xm:f>Tablas!$Q$41:$Q$42</xm:f>
          </x14:formula1>
          <xm:sqref>AC1:AC1048576</xm:sqref>
        </x14:dataValidation>
        <x14:dataValidation type="list" allowBlank="1" showInputMessage="1" showErrorMessage="1" xr:uid="{1DDCD531-4F33-4FC1-B7FC-7FB891B520DB}">
          <x14:formula1>
            <xm:f>Tablas!$Q$9:$Q$10</xm:f>
          </x14:formula1>
          <xm:sqref>J1:J1048576</xm:sqref>
        </x14:dataValidation>
        <x14:dataValidation type="list" allowBlank="1" showInputMessage="1" showErrorMessage="1" xr:uid="{4C2BEF61-17AD-4C07-82FC-9245E7FF591C}">
          <x14:formula1>
            <xm:f>Tablas!$Q$13:$Q$17</xm:f>
          </x14:formula1>
          <xm:sqref>K1:K1048576</xm:sqref>
        </x14:dataValidation>
        <x14:dataValidation type="list" allowBlank="1" showInputMessage="1" showErrorMessage="1" xr:uid="{11F7E093-A87D-4315-A7DC-DF43E010AE0A}">
          <x14:formula1>
            <xm:f>Tablas!$Q$45:$Q$47</xm:f>
          </x14:formula1>
          <xm:sqref>AD1:AD1048576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E3658-23EF-4413-8789-708D75CF4C4E}">
  <dimension ref="A1:AE12"/>
  <sheetViews>
    <sheetView topLeftCell="R1" workbookViewId="0">
      <selection activeCell="I2" sqref="I2"/>
    </sheetView>
  </sheetViews>
  <sheetFormatPr baseColWidth="10" defaultColWidth="9.140625" defaultRowHeight="12.75" x14ac:dyDescent="0.2"/>
  <cols>
    <col min="2" max="2" width="25" customWidth="1"/>
    <col min="3" max="3" width="24.5703125" customWidth="1"/>
    <col min="4" max="4" width="23.28515625" customWidth="1"/>
    <col min="5" max="5" width="17.28515625" customWidth="1"/>
    <col min="6" max="6" width="20.5703125" customWidth="1"/>
    <col min="7" max="7" width="22" customWidth="1"/>
    <col min="8" max="8" width="22.5703125" customWidth="1"/>
    <col min="9" max="9" width="21.42578125" customWidth="1"/>
    <col min="10" max="10" width="28.5703125" customWidth="1"/>
    <col min="11" max="11" width="15.5703125" customWidth="1"/>
    <col min="12" max="12" width="21.28515625" customWidth="1"/>
    <col min="13" max="13" width="23.28515625" customWidth="1"/>
    <col min="14" max="14" width="26" customWidth="1"/>
    <col min="15" max="15" width="28" customWidth="1"/>
    <col min="16" max="16" width="34" customWidth="1"/>
    <col min="17" max="17" width="28.5703125" customWidth="1"/>
    <col min="19" max="19" width="22.85546875" customWidth="1"/>
    <col min="20" max="20" width="29.140625" customWidth="1"/>
    <col min="21" max="21" width="26" customWidth="1"/>
    <col min="22" max="22" width="22.5703125" customWidth="1"/>
    <col min="23" max="23" width="29.28515625" customWidth="1"/>
    <col min="24" max="24" width="20.140625" customWidth="1"/>
    <col min="25" max="25" width="15.28515625" customWidth="1"/>
    <col min="26" max="26" width="20.140625" customWidth="1"/>
    <col min="27" max="27" width="18.140625" customWidth="1"/>
    <col min="28" max="28" width="17.42578125" customWidth="1"/>
    <col min="29" max="29" width="20.5703125" customWidth="1"/>
    <col min="30" max="30" width="16.7109375" customWidth="1"/>
    <col min="31" max="31" width="19.42578125" customWidth="1"/>
  </cols>
  <sheetData>
    <row r="1" spans="1:31" ht="105" x14ac:dyDescent="0.2">
      <c r="A1" s="846" t="s">
        <v>261</v>
      </c>
      <c r="B1" s="846" t="s">
        <v>262</v>
      </c>
      <c r="C1" s="846" t="s">
        <v>263</v>
      </c>
      <c r="D1" s="846" t="s">
        <v>264</v>
      </c>
      <c r="E1" s="846" t="s">
        <v>265</v>
      </c>
      <c r="F1" s="846" t="s">
        <v>266</v>
      </c>
      <c r="G1" s="846" t="s">
        <v>267</v>
      </c>
      <c r="H1" s="846" t="s">
        <v>268</v>
      </c>
      <c r="I1" s="846" t="s">
        <v>269</v>
      </c>
      <c r="J1" s="846" t="s">
        <v>270</v>
      </c>
      <c r="K1" s="846" t="s">
        <v>271</v>
      </c>
      <c r="L1" s="846" t="s">
        <v>272</v>
      </c>
      <c r="M1" s="847" t="s">
        <v>274</v>
      </c>
      <c r="N1" s="846" t="s">
        <v>275</v>
      </c>
      <c r="O1" s="848" t="s">
        <v>276</v>
      </c>
      <c r="P1" s="848" t="s">
        <v>277</v>
      </c>
      <c r="Q1" s="848" t="s">
        <v>278</v>
      </c>
      <c r="R1" s="849" t="s">
        <v>279</v>
      </c>
      <c r="S1" s="848" t="s">
        <v>280</v>
      </c>
      <c r="T1" s="850" t="s">
        <v>281</v>
      </c>
      <c r="U1" s="848" t="s">
        <v>282</v>
      </c>
      <c r="V1" s="851" t="s">
        <v>283</v>
      </c>
      <c r="W1" s="850" t="s">
        <v>284</v>
      </c>
      <c r="X1" s="848" t="s">
        <v>285</v>
      </c>
      <c r="Y1" s="852" t="s">
        <v>286</v>
      </c>
      <c r="Z1" s="852" t="s">
        <v>287</v>
      </c>
      <c r="AA1" s="848" t="s">
        <v>288</v>
      </c>
      <c r="AB1" s="848" t="s">
        <v>289</v>
      </c>
      <c r="AC1" s="848" t="s">
        <v>290</v>
      </c>
      <c r="AD1" s="848" t="s">
        <v>291</v>
      </c>
      <c r="AE1" s="846" t="s">
        <v>292</v>
      </c>
    </row>
    <row r="2" spans="1:31" ht="409.5" x14ac:dyDescent="0.2">
      <c r="A2" s="853">
        <v>606071</v>
      </c>
      <c r="B2" s="853" t="s">
        <v>31</v>
      </c>
      <c r="C2" s="853" t="s">
        <v>486</v>
      </c>
      <c r="D2" s="853" t="s">
        <v>36</v>
      </c>
      <c r="E2" s="854">
        <v>43664</v>
      </c>
      <c r="F2" s="853" t="s">
        <v>487</v>
      </c>
      <c r="G2" s="853" t="s">
        <v>33</v>
      </c>
      <c r="H2" s="853" t="s">
        <v>296</v>
      </c>
      <c r="I2" s="853" t="s">
        <v>488</v>
      </c>
      <c r="J2" s="853" t="s">
        <v>16</v>
      </c>
      <c r="K2" s="853" t="s">
        <v>298</v>
      </c>
      <c r="L2" s="853" t="s">
        <v>2909</v>
      </c>
      <c r="M2" s="855" t="s">
        <v>489</v>
      </c>
      <c r="N2" s="853" t="s">
        <v>490</v>
      </c>
      <c r="O2" s="856" t="s">
        <v>17</v>
      </c>
      <c r="P2" s="856" t="s">
        <v>17</v>
      </c>
      <c r="Q2" s="853"/>
      <c r="R2" s="857" t="s">
        <v>491</v>
      </c>
      <c r="S2" s="856" t="s">
        <v>38</v>
      </c>
      <c r="T2" s="858" t="s">
        <v>118</v>
      </c>
      <c r="U2" s="856" t="s">
        <v>17</v>
      </c>
      <c r="V2" s="859" t="s">
        <v>17</v>
      </c>
      <c r="W2" s="858" t="s">
        <v>17</v>
      </c>
      <c r="X2" s="856" t="s">
        <v>17</v>
      </c>
      <c r="Y2" s="860" t="s">
        <v>17</v>
      </c>
      <c r="Z2" s="860" t="s">
        <v>17</v>
      </c>
      <c r="AA2" s="857" t="s">
        <v>3110</v>
      </c>
      <c r="AB2" s="853" t="s">
        <v>492</v>
      </c>
      <c r="AC2" s="856" t="s">
        <v>22</v>
      </c>
      <c r="AD2" s="856" t="s">
        <v>439</v>
      </c>
      <c r="AE2" s="853" t="s">
        <v>493</v>
      </c>
    </row>
    <row r="3" spans="1:31" ht="409.5" x14ac:dyDescent="0.2">
      <c r="A3" s="853">
        <v>334762</v>
      </c>
      <c r="B3" s="853" t="s">
        <v>31</v>
      </c>
      <c r="C3" s="853" t="s">
        <v>1004</v>
      </c>
      <c r="D3" s="853" t="s">
        <v>36</v>
      </c>
      <c r="E3" s="854">
        <v>40165</v>
      </c>
      <c r="F3" s="853" t="s">
        <v>1005</v>
      </c>
      <c r="G3" s="853" t="s">
        <v>33</v>
      </c>
      <c r="H3" s="853" t="s">
        <v>296</v>
      </c>
      <c r="I3" s="853" t="s">
        <v>1006</v>
      </c>
      <c r="J3" s="853" t="s">
        <v>16</v>
      </c>
      <c r="K3" s="853" t="s">
        <v>298</v>
      </c>
      <c r="L3" s="853" t="s">
        <v>2909</v>
      </c>
      <c r="M3" s="855" t="s">
        <v>1008</v>
      </c>
      <c r="N3" s="853" t="s">
        <v>1009</v>
      </c>
      <c r="O3" s="856" t="s">
        <v>23</v>
      </c>
      <c r="P3" s="856" t="s">
        <v>23</v>
      </c>
      <c r="Q3" s="853"/>
      <c r="R3" s="861">
        <v>3711</v>
      </c>
      <c r="S3" s="856" t="s">
        <v>64</v>
      </c>
      <c r="T3" s="858">
        <v>1711.49</v>
      </c>
      <c r="U3" s="856" t="s">
        <v>23</v>
      </c>
      <c r="V3" s="856" t="s">
        <v>23</v>
      </c>
      <c r="W3" s="856" t="s">
        <v>23</v>
      </c>
      <c r="X3" s="856" t="s">
        <v>23</v>
      </c>
      <c r="Y3" s="860">
        <v>42849</v>
      </c>
      <c r="Z3" s="860" t="s">
        <v>23</v>
      </c>
      <c r="AA3" s="856" t="s">
        <v>795</v>
      </c>
      <c r="AB3" s="857" t="s">
        <v>1011</v>
      </c>
      <c r="AC3" s="856" t="s">
        <v>22</v>
      </c>
      <c r="AD3" s="856" t="s">
        <v>439</v>
      </c>
      <c r="AE3" s="853" t="s">
        <v>493</v>
      </c>
    </row>
    <row r="4" spans="1:31" ht="409.5" x14ac:dyDescent="0.2">
      <c r="A4" s="853">
        <v>419787</v>
      </c>
      <c r="B4" s="853" t="s">
        <v>31</v>
      </c>
      <c r="C4" s="853" t="s">
        <v>677</v>
      </c>
      <c r="D4" s="853" t="s">
        <v>36</v>
      </c>
      <c r="E4" s="854">
        <v>41527</v>
      </c>
      <c r="F4" s="853" t="s">
        <v>678</v>
      </c>
      <c r="G4" s="853" t="s">
        <v>33</v>
      </c>
      <c r="H4" s="853" t="s">
        <v>296</v>
      </c>
      <c r="I4" s="853" t="s">
        <v>679</v>
      </c>
      <c r="J4" s="853" t="s">
        <v>16</v>
      </c>
      <c r="K4" s="853" t="s">
        <v>298</v>
      </c>
      <c r="L4" s="853" t="s">
        <v>2909</v>
      </c>
      <c r="M4" s="855" t="s">
        <v>680</v>
      </c>
      <c r="N4" s="853" t="s">
        <v>681</v>
      </c>
      <c r="O4" s="856" t="s">
        <v>23</v>
      </c>
      <c r="P4" s="856" t="s">
        <v>23</v>
      </c>
      <c r="Q4" s="853"/>
      <c r="R4" s="861">
        <v>1553</v>
      </c>
      <c r="S4" s="856" t="s">
        <v>68</v>
      </c>
      <c r="T4" s="858">
        <v>8981</v>
      </c>
      <c r="U4" s="856" t="s">
        <v>23</v>
      </c>
      <c r="V4" s="856" t="s">
        <v>23</v>
      </c>
      <c r="W4" s="856" t="s">
        <v>23</v>
      </c>
      <c r="X4" s="856" t="s">
        <v>23</v>
      </c>
      <c r="Y4" s="856" t="s">
        <v>23</v>
      </c>
      <c r="Z4" s="856" t="s">
        <v>23</v>
      </c>
      <c r="AA4" s="857" t="s">
        <v>3110</v>
      </c>
      <c r="AB4" s="857" t="s">
        <v>682</v>
      </c>
      <c r="AC4" s="856" t="s">
        <v>22</v>
      </c>
      <c r="AD4" s="856" t="s">
        <v>439</v>
      </c>
      <c r="AE4" s="853" t="s">
        <v>546</v>
      </c>
    </row>
    <row r="5" spans="1:31" ht="409.5" x14ac:dyDescent="0.2">
      <c r="A5" s="853">
        <v>430013</v>
      </c>
      <c r="B5" s="853" t="s">
        <v>31</v>
      </c>
      <c r="C5" s="853" t="s">
        <v>2921</v>
      </c>
      <c r="D5" s="853" t="s">
        <v>36</v>
      </c>
      <c r="E5" s="854">
        <v>41572</v>
      </c>
      <c r="F5" s="853" t="s">
        <v>2922</v>
      </c>
      <c r="G5" s="853" t="s">
        <v>33</v>
      </c>
      <c r="H5" s="853" t="s">
        <v>2923</v>
      </c>
      <c r="I5" s="853" t="s">
        <v>2924</v>
      </c>
      <c r="J5" s="853" t="s">
        <v>34</v>
      </c>
      <c r="K5" s="853" t="s">
        <v>327</v>
      </c>
      <c r="L5" s="853" t="s">
        <v>2925</v>
      </c>
      <c r="M5" s="853" t="s">
        <v>2926</v>
      </c>
      <c r="N5" s="853" t="s">
        <v>2927</v>
      </c>
      <c r="O5" s="856" t="s">
        <v>23</v>
      </c>
      <c r="P5" s="856" t="s">
        <v>23</v>
      </c>
      <c r="Q5" s="856"/>
      <c r="R5" s="861">
        <v>386</v>
      </c>
      <c r="S5" s="856" t="s">
        <v>21</v>
      </c>
      <c r="T5" s="858">
        <v>880</v>
      </c>
      <c r="U5" s="856" t="s">
        <v>23</v>
      </c>
      <c r="V5" s="856" t="s">
        <v>23</v>
      </c>
      <c r="W5" s="856" t="s">
        <v>23</v>
      </c>
      <c r="X5" s="856" t="s">
        <v>23</v>
      </c>
      <c r="Y5" s="860" t="s">
        <v>23</v>
      </c>
      <c r="Z5" s="860" t="s">
        <v>23</v>
      </c>
      <c r="AA5" s="857" t="s">
        <v>3110</v>
      </c>
      <c r="AB5" s="857" t="s">
        <v>2928</v>
      </c>
      <c r="AC5" s="856" t="s">
        <v>22</v>
      </c>
      <c r="AD5" s="856" t="s">
        <v>439</v>
      </c>
      <c r="AE5" s="853" t="s">
        <v>493</v>
      </c>
    </row>
    <row r="6" spans="1:31" ht="409.5" x14ac:dyDescent="0.2">
      <c r="A6" s="853">
        <v>417192</v>
      </c>
      <c r="B6" s="853" t="s">
        <v>31</v>
      </c>
      <c r="C6" s="853" t="s">
        <v>2929</v>
      </c>
      <c r="D6" s="853" t="s">
        <v>36</v>
      </c>
      <c r="E6" s="854">
        <v>41337</v>
      </c>
      <c r="F6" s="853" t="s">
        <v>2930</v>
      </c>
      <c r="G6" s="853" t="s">
        <v>33</v>
      </c>
      <c r="H6" s="853" t="s">
        <v>2931</v>
      </c>
      <c r="I6" s="853" t="s">
        <v>2932</v>
      </c>
      <c r="J6" s="853" t="s">
        <v>34</v>
      </c>
      <c r="K6" s="853" t="s">
        <v>298</v>
      </c>
      <c r="L6" s="853" t="s">
        <v>2933</v>
      </c>
      <c r="M6" s="853" t="s">
        <v>2934</v>
      </c>
      <c r="N6" s="853" t="s">
        <v>300</v>
      </c>
      <c r="O6" s="856" t="s">
        <v>23</v>
      </c>
      <c r="P6" s="856" t="s">
        <v>23</v>
      </c>
      <c r="Q6" s="856"/>
      <c r="R6" s="861" t="s">
        <v>1577</v>
      </c>
      <c r="S6" s="856" t="s">
        <v>21</v>
      </c>
      <c r="T6" s="858">
        <v>8061</v>
      </c>
      <c r="U6" s="856" t="s">
        <v>23</v>
      </c>
      <c r="V6" s="856" t="s">
        <v>23</v>
      </c>
      <c r="W6" s="856" t="s">
        <v>23</v>
      </c>
      <c r="X6" s="853" t="s">
        <v>23</v>
      </c>
      <c r="Y6" s="853" t="s">
        <v>2935</v>
      </c>
      <c r="Z6" s="853" t="s">
        <v>87</v>
      </c>
      <c r="AA6" s="857" t="s">
        <v>3110</v>
      </c>
      <c r="AB6" s="855" t="s">
        <v>2936</v>
      </c>
      <c r="AC6" s="853" t="s">
        <v>22</v>
      </c>
      <c r="AD6" s="853" t="s">
        <v>17</v>
      </c>
      <c r="AE6" s="853" t="s">
        <v>2937</v>
      </c>
    </row>
    <row r="7" spans="1:31" ht="103.5" x14ac:dyDescent="0.2">
      <c r="A7" s="853">
        <v>524062</v>
      </c>
      <c r="B7" s="853" t="s">
        <v>31</v>
      </c>
      <c r="C7" s="853" t="s">
        <v>2995</v>
      </c>
      <c r="D7" s="853" t="s">
        <v>36</v>
      </c>
      <c r="E7" s="854">
        <v>42412</v>
      </c>
      <c r="F7" s="853" t="s">
        <v>495</v>
      </c>
      <c r="G7" s="853" t="s">
        <v>3733</v>
      </c>
      <c r="H7" s="853" t="s">
        <v>2996</v>
      </c>
      <c r="I7" s="853" t="s">
        <v>2997</v>
      </c>
      <c r="J7" s="853" t="s">
        <v>34</v>
      </c>
      <c r="K7" s="853" t="s">
        <v>298</v>
      </c>
      <c r="L7" s="853" t="s">
        <v>2998</v>
      </c>
      <c r="M7" s="853" t="s">
        <v>2998</v>
      </c>
      <c r="N7" s="853" t="s">
        <v>2999</v>
      </c>
      <c r="O7" s="856" t="s">
        <v>23</v>
      </c>
      <c r="P7" s="856" t="s">
        <v>23</v>
      </c>
      <c r="Q7" s="856"/>
      <c r="R7" s="861" t="s">
        <v>3000</v>
      </c>
      <c r="S7" s="856" t="s">
        <v>51</v>
      </c>
      <c r="T7" s="858" t="s">
        <v>23</v>
      </c>
      <c r="U7" s="856" t="s">
        <v>23</v>
      </c>
      <c r="V7" s="856" t="s">
        <v>23</v>
      </c>
      <c r="W7" s="858" t="s">
        <v>23</v>
      </c>
      <c r="X7" s="856" t="s">
        <v>23</v>
      </c>
      <c r="Y7" s="860" t="s">
        <v>23</v>
      </c>
      <c r="Z7" s="856" t="s">
        <v>23</v>
      </c>
      <c r="AA7" s="857" t="s">
        <v>3110</v>
      </c>
      <c r="AB7" s="857" t="s">
        <v>3001</v>
      </c>
      <c r="AC7" s="856" t="s">
        <v>19</v>
      </c>
      <c r="AD7" s="856" t="s">
        <v>439</v>
      </c>
      <c r="AE7" s="853" t="s">
        <v>3002</v>
      </c>
    </row>
    <row r="8" spans="1:31" ht="86.25" x14ac:dyDescent="0.2">
      <c r="A8" s="853">
        <v>545764</v>
      </c>
      <c r="B8" s="853" t="s">
        <v>31</v>
      </c>
      <c r="C8" s="853" t="s">
        <v>3017</v>
      </c>
      <c r="D8" s="853" t="s">
        <v>36</v>
      </c>
      <c r="E8" s="854">
        <v>42768</v>
      </c>
      <c r="F8" s="853" t="s">
        <v>3018</v>
      </c>
      <c r="G8" s="853" t="s">
        <v>3733</v>
      </c>
      <c r="H8" s="853" t="s">
        <v>3019</v>
      </c>
      <c r="I8" s="853" t="s">
        <v>3020</v>
      </c>
      <c r="J8" s="853" t="s">
        <v>71</v>
      </c>
      <c r="K8" s="853" t="s">
        <v>2710</v>
      </c>
      <c r="L8" s="853" t="s">
        <v>3021</v>
      </c>
      <c r="M8" s="853" t="s">
        <v>3021</v>
      </c>
      <c r="N8" s="853" t="s">
        <v>23</v>
      </c>
      <c r="O8" s="853" t="s">
        <v>23</v>
      </c>
      <c r="P8" s="853" t="s">
        <v>23</v>
      </c>
      <c r="Q8" s="853"/>
      <c r="R8" s="853" t="s">
        <v>23</v>
      </c>
      <c r="S8" s="856" t="s">
        <v>75</v>
      </c>
      <c r="T8" s="858" t="s">
        <v>23</v>
      </c>
      <c r="U8" s="858" t="s">
        <v>23</v>
      </c>
      <c r="V8" s="858" t="s">
        <v>23</v>
      </c>
      <c r="W8" s="858" t="s">
        <v>23</v>
      </c>
      <c r="X8" s="858" t="s">
        <v>23</v>
      </c>
      <c r="Y8" s="858" t="s">
        <v>23</v>
      </c>
      <c r="Z8" s="858" t="s">
        <v>23</v>
      </c>
      <c r="AA8" s="857" t="s">
        <v>3110</v>
      </c>
      <c r="AB8" s="857" t="s">
        <v>3022</v>
      </c>
      <c r="AC8" s="856" t="s">
        <v>19</v>
      </c>
      <c r="AD8" s="856" t="s">
        <v>17</v>
      </c>
      <c r="AE8" s="853" t="s">
        <v>3023</v>
      </c>
    </row>
    <row r="9" spans="1:31" ht="396.75" x14ac:dyDescent="0.2">
      <c r="A9" s="853">
        <v>595786</v>
      </c>
      <c r="B9" s="853" t="s">
        <v>31</v>
      </c>
      <c r="C9" s="853" t="s">
        <v>3159</v>
      </c>
      <c r="D9" s="853" t="s">
        <v>36</v>
      </c>
      <c r="E9" s="854">
        <v>43528</v>
      </c>
      <c r="F9" s="853" t="s">
        <v>3160</v>
      </c>
      <c r="G9" s="853" t="s">
        <v>3733</v>
      </c>
      <c r="H9" s="853" t="s">
        <v>3161</v>
      </c>
      <c r="I9" s="853" t="s">
        <v>3162</v>
      </c>
      <c r="J9" s="853" t="s">
        <v>34</v>
      </c>
      <c r="K9" s="853" t="s">
        <v>298</v>
      </c>
      <c r="L9" s="853" t="s">
        <v>3163</v>
      </c>
      <c r="M9" s="853" t="s">
        <v>3163</v>
      </c>
      <c r="N9" s="853"/>
      <c r="O9" s="853" t="s">
        <v>87</v>
      </c>
      <c r="P9" s="853" t="s">
        <v>87</v>
      </c>
      <c r="Q9" s="853"/>
      <c r="R9" s="853" t="s">
        <v>87</v>
      </c>
      <c r="S9" s="853" t="s">
        <v>3749</v>
      </c>
      <c r="T9" s="853" t="s">
        <v>87</v>
      </c>
      <c r="U9" s="853" t="s">
        <v>87</v>
      </c>
      <c r="V9" s="853" t="s">
        <v>17</v>
      </c>
      <c r="W9" s="853" t="s">
        <v>87</v>
      </c>
      <c r="X9" s="853" t="s">
        <v>87</v>
      </c>
      <c r="Y9" s="853" t="s">
        <v>17</v>
      </c>
      <c r="Z9" s="853" t="s">
        <v>17</v>
      </c>
      <c r="AA9" s="857" t="s">
        <v>3110</v>
      </c>
      <c r="AB9" s="855" t="s">
        <v>3164</v>
      </c>
      <c r="AC9" s="853" t="s">
        <v>82</v>
      </c>
      <c r="AD9" s="853"/>
      <c r="AE9" s="853" t="s">
        <v>3165</v>
      </c>
    </row>
    <row r="10" spans="1:31" ht="409.5" x14ac:dyDescent="0.3">
      <c r="A10" s="862">
        <v>708755</v>
      </c>
      <c r="B10" s="853" t="s">
        <v>31</v>
      </c>
      <c r="C10" s="853" t="s">
        <v>3395</v>
      </c>
      <c r="D10" s="853" t="s">
        <v>36</v>
      </c>
      <c r="E10" s="854">
        <v>44736</v>
      </c>
      <c r="F10" s="853" t="s">
        <v>3397</v>
      </c>
      <c r="G10" s="853" t="s">
        <v>3729</v>
      </c>
      <c r="H10" s="853" t="s">
        <v>3398</v>
      </c>
      <c r="I10" s="853" t="s">
        <v>3399</v>
      </c>
      <c r="J10" s="853" t="s">
        <v>34</v>
      </c>
      <c r="K10" s="853" t="s">
        <v>298</v>
      </c>
      <c r="L10" s="853" t="s">
        <v>3276</v>
      </c>
      <c r="M10" s="863" t="s">
        <v>3400</v>
      </c>
      <c r="N10" s="853" t="s">
        <v>3401</v>
      </c>
      <c r="O10" s="853" t="s">
        <v>17</v>
      </c>
      <c r="P10" s="853" t="s">
        <v>17</v>
      </c>
      <c r="Q10" s="853"/>
      <c r="R10" s="853" t="s">
        <v>17</v>
      </c>
      <c r="S10" s="853" t="s">
        <v>41</v>
      </c>
      <c r="T10" s="853" t="s">
        <v>17</v>
      </c>
      <c r="U10" s="853" t="s">
        <v>17</v>
      </c>
      <c r="V10" s="853" t="s">
        <v>17</v>
      </c>
      <c r="W10" s="853" t="s">
        <v>17</v>
      </c>
      <c r="X10" s="853" t="s">
        <v>17</v>
      </c>
      <c r="Y10" s="853" t="s">
        <v>3402</v>
      </c>
      <c r="Z10" s="854">
        <v>45293</v>
      </c>
      <c r="AA10" s="857" t="s">
        <v>3848</v>
      </c>
      <c r="AB10" s="864" t="s">
        <v>3404</v>
      </c>
      <c r="AC10" s="853" t="s">
        <v>101</v>
      </c>
      <c r="AD10" s="853" t="s">
        <v>439</v>
      </c>
      <c r="AE10" s="853" t="s">
        <v>3317</v>
      </c>
    </row>
    <row r="11" spans="1:31" ht="409.5" x14ac:dyDescent="0.3">
      <c r="A11" s="853">
        <v>744883</v>
      </c>
      <c r="B11" s="853" t="s">
        <v>31</v>
      </c>
      <c r="C11" s="855" t="s">
        <v>3492</v>
      </c>
      <c r="D11" s="853" t="s">
        <v>36</v>
      </c>
      <c r="E11" s="854">
        <v>45076</v>
      </c>
      <c r="F11" s="853" t="s">
        <v>3494</v>
      </c>
      <c r="G11" s="853" t="s">
        <v>39</v>
      </c>
      <c r="H11" s="853" t="s">
        <v>3495</v>
      </c>
      <c r="I11" s="853" t="s">
        <v>3496</v>
      </c>
      <c r="J11" s="864" t="s">
        <v>34</v>
      </c>
      <c r="K11" s="853" t="s">
        <v>2710</v>
      </c>
      <c r="L11" s="864" t="s">
        <v>3438</v>
      </c>
      <c r="M11" s="864" t="s">
        <v>3497</v>
      </c>
      <c r="N11" s="865" t="s">
        <v>17</v>
      </c>
      <c r="O11" s="853" t="s">
        <v>17</v>
      </c>
      <c r="P11" s="853" t="s">
        <v>17</v>
      </c>
      <c r="Q11" s="853"/>
      <c r="R11" s="853" t="s">
        <v>17</v>
      </c>
      <c r="S11" s="853" t="s">
        <v>55</v>
      </c>
      <c r="T11" s="853" t="s">
        <v>17</v>
      </c>
      <c r="U11" s="853" t="s">
        <v>17</v>
      </c>
      <c r="V11" s="853" t="s">
        <v>17</v>
      </c>
      <c r="W11" s="853" t="s">
        <v>17</v>
      </c>
      <c r="X11" s="853" t="s">
        <v>17</v>
      </c>
      <c r="Y11" s="853" t="s">
        <v>17</v>
      </c>
      <c r="Z11" s="853" t="s">
        <v>17</v>
      </c>
      <c r="AA11" s="857" t="s">
        <v>3110</v>
      </c>
      <c r="AB11" s="855" t="s">
        <v>3498</v>
      </c>
      <c r="AC11" s="855" t="s">
        <v>24</v>
      </c>
      <c r="AD11" s="853" t="s">
        <v>17</v>
      </c>
      <c r="AE11" s="853" t="s">
        <v>3499</v>
      </c>
    </row>
    <row r="12" spans="1:31" ht="409.5" x14ac:dyDescent="0.2">
      <c r="A12" s="866">
        <v>804413</v>
      </c>
      <c r="B12" s="853" t="s">
        <v>31</v>
      </c>
      <c r="C12" s="866" t="s">
        <v>3556</v>
      </c>
      <c r="D12" s="866" t="s">
        <v>36</v>
      </c>
      <c r="E12" s="867">
        <v>45462</v>
      </c>
      <c r="F12" s="866" t="s">
        <v>3273</v>
      </c>
      <c r="G12" s="853" t="s">
        <v>3729</v>
      </c>
      <c r="H12" s="866" t="s">
        <v>3558</v>
      </c>
      <c r="I12" s="866" t="s">
        <v>3559</v>
      </c>
      <c r="J12" s="866" t="s">
        <v>34</v>
      </c>
      <c r="K12" s="853" t="s">
        <v>298</v>
      </c>
      <c r="L12" s="866" t="s">
        <v>3560</v>
      </c>
      <c r="M12" s="866" t="s">
        <v>3560</v>
      </c>
      <c r="N12" s="866" t="s">
        <v>17</v>
      </c>
      <c r="O12" s="868" t="s">
        <v>17</v>
      </c>
      <c r="P12" s="866" t="s">
        <v>17</v>
      </c>
      <c r="Q12" s="866"/>
      <c r="R12" s="866" t="s">
        <v>17</v>
      </c>
      <c r="S12" s="866" t="s">
        <v>41</v>
      </c>
      <c r="T12" s="866" t="s">
        <v>17</v>
      </c>
      <c r="U12" s="866" t="s">
        <v>17</v>
      </c>
      <c r="V12" s="866" t="s">
        <v>17</v>
      </c>
      <c r="W12" s="866" t="s">
        <v>17</v>
      </c>
      <c r="X12" s="866" t="s">
        <v>17</v>
      </c>
      <c r="Y12" s="869" t="s">
        <v>17</v>
      </c>
      <c r="Z12" s="869" t="s">
        <v>17</v>
      </c>
      <c r="AA12" s="857" t="s">
        <v>3110</v>
      </c>
      <c r="AB12" s="866" t="s">
        <v>3561</v>
      </c>
      <c r="AC12" s="856" t="s">
        <v>19</v>
      </c>
      <c r="AD12" s="856" t="s">
        <v>341</v>
      </c>
      <c r="AE12" s="853" t="s">
        <v>3562</v>
      </c>
    </row>
  </sheetData>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CBDAC32B-C508-4B10-96BF-78EA539008BD}">
          <x14:formula1>
            <xm:f>Tablas!$Q$45:$Q$47</xm:f>
          </x14:formula1>
          <xm:sqref>AD1:AD12</xm:sqref>
        </x14:dataValidation>
        <x14:dataValidation type="list" allowBlank="1" showInputMessage="1" showErrorMessage="1" xr:uid="{6AB9147C-19F9-4155-9DBF-D4D76F1BCD0A}">
          <x14:formula1>
            <xm:f>Tablas!$Q$41:$Q$42</xm:f>
          </x14:formula1>
          <xm:sqref>AC1:AC12</xm:sqref>
        </x14:dataValidation>
        <x14:dataValidation type="list" allowBlank="1" showInputMessage="1" showErrorMessage="1" xr:uid="{0EDE5950-2B49-4385-8F45-A7595637B79B}">
          <x14:formula1>
            <xm:f>Tablas!$Q$19:$Q$38</xm:f>
          </x14:formula1>
          <xm:sqref>S1:S12</xm:sqref>
        </x14:dataValidation>
        <x14:dataValidation type="list" allowBlank="1" showInputMessage="1" showErrorMessage="1" xr:uid="{3B755C0A-58FD-45D0-9142-FF3A6E90422C}">
          <x14:formula1>
            <xm:f>Tablas!$Q$13:$Q$17</xm:f>
          </x14:formula1>
          <xm:sqref>K1:K12</xm:sqref>
        </x14:dataValidation>
        <x14:dataValidation type="list" allowBlank="1" showInputMessage="1" showErrorMessage="1" xr:uid="{AF41B69D-ADD8-4098-9210-65FB554FBA2F}">
          <x14:formula1>
            <xm:f>Tablas!$Q$9:$Q$10</xm:f>
          </x14:formula1>
          <xm:sqref>J1:J12</xm:sqref>
        </x14:dataValidation>
        <x14:dataValidation type="list" allowBlank="1" showInputMessage="1" showErrorMessage="1" xr:uid="{255272AF-350F-4C7B-8DE8-EE3F51760D74}">
          <x14:formula1>
            <xm:f>Tablas!$N$15:$N$19</xm:f>
          </x14:formula1>
          <xm:sqref>G2:G12</xm:sqref>
        </x14:dataValidation>
        <x14:dataValidation type="list" allowBlank="1" showInputMessage="1" showErrorMessage="1" xr:uid="{E8047270-E23E-4274-8080-D586A9A45207}">
          <x14:formula1>
            <xm:f>Tablas!$O$42:$O$44</xm:f>
          </x14:formula1>
          <xm:sqref>Q1:Q12</xm:sqref>
        </x14:dataValidation>
        <x14:dataValidation type="list" allowBlank="1" showInputMessage="1" showErrorMessage="1" xr:uid="{D35DC2D4-497D-40B5-91D8-FE4947688741}">
          <x14:formula1>
            <xm:f>Tablas!$E$5</xm:f>
          </x14:formula1>
          <xm:sqref>B1</xm:sqref>
        </x14:dataValidation>
        <x14:dataValidation type="list" allowBlank="1" showInputMessage="1" showErrorMessage="1" xr:uid="{41DB1208-7B39-4A19-BDFE-35D3A62A73B0}">
          <x14:formula1>
            <xm:f>Tablas!$N$47:$N$51</xm:f>
          </x14:formula1>
          <xm:sqref>D1</xm:sqref>
        </x14:dataValidation>
        <x14:dataValidation type="list" allowBlank="1" showInputMessage="1" showErrorMessage="1" xr:uid="{7D1AB799-ED3A-4707-99DC-CE7360E44264}">
          <x14:formula1>
            <xm:f>Tablas!$N$3:$N$10</xm:f>
          </x14:formula1>
          <xm:sqref>G1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9A59-6AA2-4322-A58E-6D9D4FF98DD3}">
  <sheetPr codeName="Hoja12"/>
  <dimension ref="A1:L9"/>
  <sheetViews>
    <sheetView workbookViewId="0">
      <pane ySplit="1" topLeftCell="A5" activePane="bottomLeft" state="frozen"/>
      <selection pane="bottomLeft" activeCell="M9" sqref="M9"/>
    </sheetView>
  </sheetViews>
  <sheetFormatPr baseColWidth="10" defaultColWidth="11.42578125" defaultRowHeight="12.75" x14ac:dyDescent="0.2"/>
  <cols>
    <col min="1" max="1" width="15.5703125" customWidth="1"/>
    <col min="2" max="2" width="37.42578125" bestFit="1" customWidth="1"/>
    <col min="3" max="7" width="15.5703125" customWidth="1"/>
    <col min="8" max="8" width="18.42578125" customWidth="1"/>
    <col min="9" max="10" width="15.5703125" customWidth="1"/>
    <col min="11" max="11" width="37.28515625" customWidth="1"/>
    <col min="12" max="12" width="17.85546875" customWidth="1"/>
  </cols>
  <sheetData>
    <row r="1" spans="1:12" s="671" customFormat="1" ht="25.5" x14ac:dyDescent="0.2">
      <c r="A1" s="672" t="s">
        <v>261</v>
      </c>
      <c r="B1" s="672" t="s">
        <v>3924</v>
      </c>
      <c r="C1" s="672" t="s">
        <v>3925</v>
      </c>
      <c r="D1" s="672" t="s">
        <v>3926</v>
      </c>
      <c r="E1" s="672" t="s">
        <v>3927</v>
      </c>
      <c r="F1" s="672" t="s">
        <v>3928</v>
      </c>
      <c r="G1" s="672" t="s">
        <v>3929</v>
      </c>
      <c r="H1" s="672" t="s">
        <v>3930</v>
      </c>
      <c r="I1" s="672" t="s">
        <v>3931</v>
      </c>
      <c r="J1" s="672" t="s">
        <v>3932</v>
      </c>
      <c r="K1" s="672" t="s">
        <v>3933</v>
      </c>
      <c r="L1" s="672" t="s">
        <v>3934</v>
      </c>
    </row>
    <row r="2" spans="1:12" x14ac:dyDescent="0.2">
      <c r="A2" s="673">
        <v>432213</v>
      </c>
      <c r="B2" s="675" t="s">
        <v>29</v>
      </c>
      <c r="C2" s="674">
        <v>45701</v>
      </c>
      <c r="D2" s="676">
        <v>1</v>
      </c>
      <c r="E2" s="676"/>
      <c r="F2" s="676">
        <v>1</v>
      </c>
      <c r="G2" s="676"/>
      <c r="H2" s="676">
        <v>1</v>
      </c>
      <c r="I2" s="676"/>
      <c r="J2" s="676">
        <v>1</v>
      </c>
      <c r="K2" s="676">
        <v>1</v>
      </c>
      <c r="L2" s="676">
        <f>SUM(Control[[#This Row],[AUDIENCIAS]:[REQUERIMIENTOS Y/ O SOLICIITUDES DE OTRAS DEPENCIAS]])</f>
        <v>5</v>
      </c>
    </row>
    <row r="3" spans="1:12" x14ac:dyDescent="0.2">
      <c r="A3" s="673">
        <v>164816</v>
      </c>
      <c r="B3" s="675" t="s">
        <v>145</v>
      </c>
      <c r="C3" s="674">
        <v>45701</v>
      </c>
      <c r="D3" s="676"/>
      <c r="E3" s="676">
        <v>1</v>
      </c>
      <c r="F3" s="676"/>
      <c r="G3" s="676">
        <v>1</v>
      </c>
      <c r="H3" s="676"/>
      <c r="I3" s="676">
        <v>1</v>
      </c>
      <c r="J3" s="676"/>
      <c r="K3" s="676"/>
      <c r="L3" s="676">
        <f>SUM(Control[[#This Row],[AUDIENCIAS]:[REQUERIMIENTOS Y/ O SOLICIITUDES DE OTRAS DEPENCIAS]])</f>
        <v>3</v>
      </c>
    </row>
    <row r="4" spans="1:12" x14ac:dyDescent="0.2">
      <c r="A4" s="673">
        <v>715785</v>
      </c>
      <c r="B4" s="675" t="s">
        <v>229</v>
      </c>
      <c r="C4" s="674">
        <v>45701</v>
      </c>
      <c r="D4" s="676">
        <v>1</v>
      </c>
      <c r="E4" s="676">
        <v>1</v>
      </c>
      <c r="F4" s="676"/>
      <c r="G4" s="676">
        <v>1</v>
      </c>
      <c r="H4" s="676"/>
      <c r="I4" s="676">
        <v>1</v>
      </c>
      <c r="J4" s="676">
        <v>1</v>
      </c>
      <c r="K4" s="676">
        <v>1</v>
      </c>
      <c r="L4" s="676">
        <f>SUM(Control[[#This Row],[AUDIENCIAS]:[REQUERIMIENTOS Y/ O SOLICIITUDES DE OTRAS DEPENCIAS]])</f>
        <v>6</v>
      </c>
    </row>
    <row r="5" spans="1:12" x14ac:dyDescent="0.2">
      <c r="A5" s="673">
        <v>164016</v>
      </c>
      <c r="B5" s="675" t="s">
        <v>147</v>
      </c>
      <c r="C5" s="674">
        <v>45701</v>
      </c>
      <c r="D5" s="676"/>
      <c r="E5" s="676">
        <v>1</v>
      </c>
      <c r="F5" s="676"/>
      <c r="G5" s="676"/>
      <c r="H5" s="676">
        <v>1</v>
      </c>
      <c r="I5" s="676"/>
      <c r="J5" s="676"/>
      <c r="K5" s="676"/>
      <c r="L5" s="676">
        <f>SUM(Control[[#This Row],[AUDIENCIAS]:[REQUERIMIENTOS Y/ O SOLICIITUDES DE OTRAS DEPENCIAS]])</f>
        <v>2</v>
      </c>
    </row>
    <row r="6" spans="1:12" x14ac:dyDescent="0.2">
      <c r="A6" s="673">
        <v>574069</v>
      </c>
      <c r="B6" s="675" t="s">
        <v>39</v>
      </c>
      <c r="C6" s="674">
        <v>45701</v>
      </c>
      <c r="D6" s="676"/>
      <c r="E6" s="676"/>
      <c r="F6" s="676"/>
      <c r="G6" s="676"/>
      <c r="H6" s="676"/>
      <c r="I6" s="676"/>
      <c r="J6" s="676"/>
      <c r="K6" s="676">
        <v>1</v>
      </c>
      <c r="L6" s="676">
        <f>SUM(Control[[#This Row],[AUDIENCIAS]:[REQUERIMIENTOS Y/ O SOLICIITUDES DE OTRAS DEPENCIAS]])</f>
        <v>1</v>
      </c>
    </row>
    <row r="7" spans="1:12" x14ac:dyDescent="0.2">
      <c r="A7" s="673">
        <v>597584</v>
      </c>
      <c r="B7" s="675" t="s">
        <v>15</v>
      </c>
      <c r="C7" s="674">
        <v>45701</v>
      </c>
      <c r="D7" s="676"/>
      <c r="E7" s="676">
        <v>1</v>
      </c>
      <c r="F7" s="676"/>
      <c r="G7" s="676">
        <v>1</v>
      </c>
      <c r="H7" s="676"/>
      <c r="I7" s="676"/>
      <c r="J7" s="676"/>
      <c r="K7" s="676"/>
      <c r="L7" s="676">
        <f>SUM(Control[[#This Row],[AUDIENCIAS]:[REQUERIMIENTOS Y/ O SOLICIITUDES DE OTRAS DEPENCIAS]])</f>
        <v>2</v>
      </c>
    </row>
    <row r="8" spans="1:12" x14ac:dyDescent="0.2">
      <c r="A8" s="673">
        <v>617610</v>
      </c>
      <c r="B8" s="675" t="s">
        <v>52</v>
      </c>
      <c r="C8" s="674">
        <v>45701</v>
      </c>
      <c r="D8" s="676"/>
      <c r="E8" s="676">
        <v>1</v>
      </c>
      <c r="F8" s="676"/>
      <c r="G8" s="676"/>
      <c r="H8" s="676"/>
      <c r="I8" s="676">
        <v>1</v>
      </c>
      <c r="J8" s="676">
        <v>1</v>
      </c>
      <c r="K8" s="676">
        <v>1</v>
      </c>
      <c r="L8" s="676">
        <f>SUM(Control[[#This Row],[AUDIENCIAS]:[REQUERIMIENTOS Y/ O SOLICIITUDES DE OTRAS DEPENCIAS]])</f>
        <v>4</v>
      </c>
    </row>
    <row r="9" spans="1:12" x14ac:dyDescent="0.2">
      <c r="A9" s="673">
        <v>672915</v>
      </c>
      <c r="B9" s="675" t="s">
        <v>33</v>
      </c>
      <c r="C9" s="674">
        <v>45701</v>
      </c>
      <c r="D9" s="676"/>
      <c r="E9" s="676">
        <v>1</v>
      </c>
      <c r="F9" s="676"/>
      <c r="G9" s="676"/>
      <c r="H9" s="676">
        <v>1</v>
      </c>
      <c r="I9" s="676"/>
      <c r="J9" s="676"/>
      <c r="K9" s="676">
        <v>1</v>
      </c>
      <c r="L9" s="676">
        <f>SUM(Control[[#This Row],[AUDIENCIAS]:[REQUERIMIENTOS Y/ O SOLICIITUDES DE OTRAS DEPENCIAS]])</f>
        <v>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F91D-7B49-4581-A041-34F3AB42B9DA}">
  <dimension ref="A1:AG8"/>
  <sheetViews>
    <sheetView tabSelected="1" workbookViewId="0">
      <pane xSplit="1" topLeftCell="B1" activePane="topRight" state="frozen"/>
      <selection pane="topRight" activeCell="C9" sqref="C9"/>
    </sheetView>
  </sheetViews>
  <sheetFormatPr baseColWidth="10" defaultRowHeight="12.75" x14ac:dyDescent="0.2"/>
  <cols>
    <col min="1" max="1" width="30.7109375" bestFit="1" customWidth="1"/>
    <col min="2" max="2" width="21.85546875" bestFit="1" customWidth="1"/>
    <col min="3" max="3" width="33.5703125" bestFit="1" customWidth="1"/>
    <col min="4" max="4" width="10.85546875" bestFit="1" customWidth="1"/>
    <col min="5" max="5" width="18.28515625" bestFit="1" customWidth="1"/>
    <col min="6" max="6" width="39.140625" bestFit="1" customWidth="1"/>
    <col min="7" max="7" width="52.5703125" bestFit="1" customWidth="1"/>
    <col min="8" max="8" width="20.28515625" bestFit="1" customWidth="1"/>
    <col min="9" max="9" width="29" bestFit="1" customWidth="1"/>
    <col min="10" max="10" width="52.5703125" bestFit="1" customWidth="1"/>
    <col min="11" max="11" width="48.5703125" bestFit="1" customWidth="1"/>
    <col min="12" max="12" width="57.28515625" bestFit="1" customWidth="1"/>
    <col min="13" max="13" width="16.140625" bestFit="1" customWidth="1"/>
    <col min="14" max="14" width="13.5703125" bestFit="1" customWidth="1"/>
    <col min="15" max="15" width="29.7109375" bestFit="1" customWidth="1"/>
    <col min="16" max="16" width="29.7109375" customWidth="1"/>
    <col min="17" max="17" width="5.28515625" bestFit="1" customWidth="1"/>
    <col min="18" max="18" width="11.28515625" bestFit="1" customWidth="1"/>
    <col min="19" max="19" width="21.42578125" bestFit="1" customWidth="1"/>
    <col min="20" max="20" width="40.7109375" bestFit="1" customWidth="1"/>
    <col min="21" max="21" width="44.5703125" bestFit="1" customWidth="1"/>
    <col min="22" max="22" width="46.5703125" bestFit="1" customWidth="1"/>
    <col min="23" max="23" width="18" bestFit="1" customWidth="1"/>
    <col min="24" max="24" width="45.42578125" bestFit="1" customWidth="1"/>
    <col min="25" max="25" width="20.140625" bestFit="1" customWidth="1"/>
    <col min="26" max="26" width="23.140625" bestFit="1" customWidth="1"/>
    <col min="27" max="27" width="40" bestFit="1" customWidth="1"/>
    <col min="28" max="28" width="46.5703125" customWidth="1"/>
    <col min="29" max="29" width="95.85546875" bestFit="1" customWidth="1"/>
    <col min="30" max="30" width="82.28515625" bestFit="1" customWidth="1"/>
    <col min="31" max="31" width="67" bestFit="1" customWidth="1"/>
    <col min="32" max="32" width="30.28515625" bestFit="1" customWidth="1"/>
    <col min="33" max="33" width="63.5703125" bestFit="1" customWidth="1"/>
    <col min="34" max="34" width="20.140625" bestFit="1" customWidth="1"/>
    <col min="35" max="35" width="23.140625" bestFit="1" customWidth="1"/>
    <col min="36" max="36" width="40" bestFit="1" customWidth="1"/>
    <col min="37" max="37" width="67" bestFit="1" customWidth="1"/>
    <col min="38" max="38" width="18" bestFit="1" customWidth="1"/>
    <col min="39" max="39" width="67" bestFit="1" customWidth="1"/>
    <col min="40" max="40" width="30.28515625" bestFit="1" customWidth="1"/>
  </cols>
  <sheetData>
    <row r="1" spans="1:33" x14ac:dyDescent="0.2">
      <c r="A1" s="882" t="s">
        <v>13</v>
      </c>
      <c r="B1" s="884" t="s">
        <v>261</v>
      </c>
      <c r="C1" s="885" t="s">
        <v>262</v>
      </c>
      <c r="D1" s="885" t="s">
        <v>263</v>
      </c>
      <c r="E1" s="885" t="s">
        <v>264</v>
      </c>
      <c r="F1" s="885" t="s">
        <v>265</v>
      </c>
      <c r="G1" s="885" t="s">
        <v>266</v>
      </c>
      <c r="H1" s="885" t="s">
        <v>267</v>
      </c>
      <c r="I1" s="885" t="s">
        <v>268</v>
      </c>
      <c r="J1" s="885" t="s">
        <v>269</v>
      </c>
      <c r="K1" s="885" t="s">
        <v>270</v>
      </c>
      <c r="L1" s="885" t="s">
        <v>271</v>
      </c>
      <c r="M1" s="885" t="s">
        <v>272</v>
      </c>
      <c r="N1" s="885" t="s">
        <v>274</v>
      </c>
      <c r="O1" s="885" t="s">
        <v>275</v>
      </c>
      <c r="P1" s="885" t="s">
        <v>278</v>
      </c>
      <c r="Q1" s="885" t="s">
        <v>279</v>
      </c>
      <c r="R1" s="885" t="s">
        <v>280</v>
      </c>
      <c r="S1" s="885" t="s">
        <v>281</v>
      </c>
      <c r="T1" s="885" t="s">
        <v>282</v>
      </c>
      <c r="U1" s="885" t="s">
        <v>286</v>
      </c>
      <c r="V1" s="885" t="s">
        <v>287</v>
      </c>
      <c r="W1" s="885" t="s">
        <v>292</v>
      </c>
      <c r="X1" s="885" t="s">
        <v>288</v>
      </c>
      <c r="Y1" s="885" t="s">
        <v>289</v>
      </c>
      <c r="Z1" s="885" t="s">
        <v>290</v>
      </c>
      <c r="AA1" s="885" t="s">
        <v>291</v>
      </c>
      <c r="AB1" s="885" t="s">
        <v>283</v>
      </c>
      <c r="AC1" s="885" t="s">
        <v>284</v>
      </c>
      <c r="AD1" s="885" t="s">
        <v>285</v>
      </c>
      <c r="AE1" s="885" t="s">
        <v>276</v>
      </c>
      <c r="AF1" s="891"/>
      <c r="AG1" s="885" t="s">
        <v>277</v>
      </c>
    </row>
    <row r="2" spans="1:33" x14ac:dyDescent="0.2">
      <c r="A2" s="882" t="s">
        <v>27</v>
      </c>
      <c r="B2" s="886" t="s">
        <v>261</v>
      </c>
      <c r="C2" s="883" t="s">
        <v>262</v>
      </c>
      <c r="D2" s="883" t="s">
        <v>263</v>
      </c>
      <c r="E2" s="883" t="s">
        <v>264</v>
      </c>
      <c r="F2" s="883" t="s">
        <v>265</v>
      </c>
      <c r="G2" s="883" t="s">
        <v>266</v>
      </c>
      <c r="H2" s="883" t="s">
        <v>267</v>
      </c>
      <c r="I2" s="883" t="s">
        <v>268</v>
      </c>
      <c r="J2" s="883" t="s">
        <v>269</v>
      </c>
      <c r="K2" s="883" t="s">
        <v>270</v>
      </c>
      <c r="L2" s="883" t="s">
        <v>271</v>
      </c>
      <c r="M2" s="883" t="s">
        <v>272</v>
      </c>
      <c r="N2" s="883" t="s">
        <v>274</v>
      </c>
      <c r="O2" s="883" t="s">
        <v>275</v>
      </c>
      <c r="P2" s="883" t="s">
        <v>278</v>
      </c>
      <c r="Q2" s="883" t="s">
        <v>279</v>
      </c>
      <c r="R2" s="883" t="s">
        <v>280</v>
      </c>
      <c r="S2" s="883" t="s">
        <v>281</v>
      </c>
      <c r="T2" s="883" t="s">
        <v>282</v>
      </c>
      <c r="U2" s="883" t="s">
        <v>286</v>
      </c>
      <c r="V2" s="883" t="s">
        <v>287</v>
      </c>
      <c r="W2" s="883" t="s">
        <v>292</v>
      </c>
      <c r="X2" s="883" t="s">
        <v>288</v>
      </c>
      <c r="Y2" s="883" t="s">
        <v>289</v>
      </c>
      <c r="Z2" s="883" t="s">
        <v>290</v>
      </c>
      <c r="AA2" s="883" t="s">
        <v>291</v>
      </c>
      <c r="AB2" s="883" t="s">
        <v>283</v>
      </c>
      <c r="AC2" s="883" t="s">
        <v>284</v>
      </c>
      <c r="AD2" s="883" t="s">
        <v>285</v>
      </c>
      <c r="AE2" s="883" t="s">
        <v>276</v>
      </c>
      <c r="AF2" s="889"/>
      <c r="AG2" s="883" t="s">
        <v>277</v>
      </c>
    </row>
    <row r="3" spans="1:33" x14ac:dyDescent="0.2">
      <c r="A3" s="882" t="s">
        <v>143</v>
      </c>
      <c r="B3" s="886" t="s">
        <v>261</v>
      </c>
      <c r="C3" s="883" t="s">
        <v>262</v>
      </c>
      <c r="D3" s="883" t="s">
        <v>263</v>
      </c>
      <c r="E3" s="883" t="s">
        <v>264</v>
      </c>
      <c r="F3" s="883" t="s">
        <v>265</v>
      </c>
      <c r="G3" s="883" t="s">
        <v>266</v>
      </c>
      <c r="H3" s="883" t="s">
        <v>267</v>
      </c>
      <c r="I3" s="883" t="s">
        <v>268</v>
      </c>
      <c r="J3" s="883" t="s">
        <v>269</v>
      </c>
      <c r="K3" s="883" t="s">
        <v>270</v>
      </c>
      <c r="L3" s="883" t="s">
        <v>271</v>
      </c>
      <c r="M3" s="883" t="s">
        <v>272</v>
      </c>
      <c r="N3" s="883" t="s">
        <v>274</v>
      </c>
      <c r="O3" s="883" t="s">
        <v>275</v>
      </c>
      <c r="P3" s="883" t="s">
        <v>278</v>
      </c>
      <c r="Q3" s="883" t="s">
        <v>279</v>
      </c>
      <c r="R3" s="883" t="s">
        <v>280</v>
      </c>
      <c r="S3" s="883" t="s">
        <v>281</v>
      </c>
      <c r="T3" s="883" t="s">
        <v>282</v>
      </c>
      <c r="U3" s="883" t="s">
        <v>286</v>
      </c>
      <c r="V3" s="883" t="s">
        <v>287</v>
      </c>
      <c r="W3" s="883" t="s">
        <v>292</v>
      </c>
      <c r="X3" s="883" t="s">
        <v>288</v>
      </c>
      <c r="Y3" s="883" t="s">
        <v>289</v>
      </c>
      <c r="Z3" s="883" t="s">
        <v>290</v>
      </c>
      <c r="AA3" s="883" t="s">
        <v>291</v>
      </c>
      <c r="AB3" s="883" t="s">
        <v>283</v>
      </c>
      <c r="AC3" s="883" t="s">
        <v>284</v>
      </c>
      <c r="AD3" s="883" t="s">
        <v>285</v>
      </c>
      <c r="AE3" s="883" t="s">
        <v>276</v>
      </c>
      <c r="AF3" s="889"/>
      <c r="AG3" s="883" t="s">
        <v>277</v>
      </c>
    </row>
    <row r="4" spans="1:33" x14ac:dyDescent="0.2">
      <c r="A4" s="882" t="s">
        <v>228</v>
      </c>
      <c r="B4" s="886" t="s">
        <v>261</v>
      </c>
      <c r="C4" s="883" t="s">
        <v>262</v>
      </c>
      <c r="D4" s="883" t="s">
        <v>263</v>
      </c>
      <c r="E4" s="883" t="s">
        <v>264</v>
      </c>
      <c r="F4" s="883" t="s">
        <v>265</v>
      </c>
      <c r="G4" s="883" t="s">
        <v>266</v>
      </c>
      <c r="H4" s="883" t="s">
        <v>267</v>
      </c>
      <c r="I4" s="883" t="s">
        <v>268</v>
      </c>
      <c r="J4" s="883" t="s">
        <v>269</v>
      </c>
      <c r="K4" s="883" t="s">
        <v>270</v>
      </c>
      <c r="L4" s="883" t="s">
        <v>271</v>
      </c>
      <c r="M4" s="883" t="s">
        <v>272</v>
      </c>
      <c r="N4" s="883" t="s">
        <v>274</v>
      </c>
      <c r="O4" s="883" t="s">
        <v>275</v>
      </c>
      <c r="P4" s="883" t="s">
        <v>278</v>
      </c>
      <c r="Q4" s="883" t="s">
        <v>279</v>
      </c>
      <c r="R4" s="883" t="s">
        <v>280</v>
      </c>
      <c r="S4" s="883" t="s">
        <v>281</v>
      </c>
      <c r="T4" s="883" t="s">
        <v>282</v>
      </c>
      <c r="U4" s="883" t="s">
        <v>286</v>
      </c>
      <c r="V4" s="883" t="s">
        <v>287</v>
      </c>
      <c r="W4" s="883" t="s">
        <v>292</v>
      </c>
      <c r="X4" s="883" t="s">
        <v>288</v>
      </c>
      <c r="Y4" s="883" t="s">
        <v>289</v>
      </c>
      <c r="Z4" s="883" t="s">
        <v>290</v>
      </c>
      <c r="AA4" s="883" t="s">
        <v>291</v>
      </c>
      <c r="AB4" s="889"/>
      <c r="AC4" s="889"/>
      <c r="AD4" s="889"/>
      <c r="AE4" s="889"/>
      <c r="AF4" s="883" t="s">
        <v>273</v>
      </c>
      <c r="AG4" s="889"/>
    </row>
    <row r="5" spans="1:33" x14ac:dyDescent="0.2">
      <c r="A5" s="882" t="s">
        <v>31</v>
      </c>
      <c r="B5" s="886" t="s">
        <v>261</v>
      </c>
      <c r="C5" s="883" t="s">
        <v>262</v>
      </c>
      <c r="D5" s="883" t="s">
        <v>3679</v>
      </c>
      <c r="E5" s="883" t="s">
        <v>264</v>
      </c>
      <c r="F5" s="883" t="s">
        <v>265</v>
      </c>
      <c r="G5" s="883" t="s">
        <v>266</v>
      </c>
      <c r="H5" s="883" t="s">
        <v>267</v>
      </c>
      <c r="I5" s="883" t="s">
        <v>268</v>
      </c>
      <c r="J5" s="883" t="s">
        <v>269</v>
      </c>
      <c r="K5" s="883" t="s">
        <v>270</v>
      </c>
      <c r="L5" s="883" t="s">
        <v>271</v>
      </c>
      <c r="M5" s="883" t="s">
        <v>272</v>
      </c>
      <c r="N5" s="883" t="s">
        <v>274</v>
      </c>
      <c r="O5" s="883" t="s">
        <v>275</v>
      </c>
      <c r="P5" s="883" t="s">
        <v>3945</v>
      </c>
      <c r="Q5" s="883" t="s">
        <v>279</v>
      </c>
      <c r="R5" s="883" t="s">
        <v>280</v>
      </c>
      <c r="S5" s="883" t="s">
        <v>281</v>
      </c>
      <c r="T5" s="883" t="s">
        <v>282</v>
      </c>
      <c r="U5" s="883" t="s">
        <v>286</v>
      </c>
      <c r="V5" s="883" t="s">
        <v>287</v>
      </c>
      <c r="W5" s="883" t="s">
        <v>292</v>
      </c>
      <c r="X5" s="883" t="s">
        <v>288</v>
      </c>
      <c r="Y5" s="883" t="s">
        <v>289</v>
      </c>
      <c r="Z5" s="883" t="s">
        <v>290</v>
      </c>
      <c r="AA5" s="883" t="s">
        <v>291</v>
      </c>
      <c r="AB5" s="883" t="s">
        <v>283</v>
      </c>
      <c r="AC5" s="883" t="s">
        <v>284</v>
      </c>
      <c r="AD5" s="883" t="s">
        <v>285</v>
      </c>
      <c r="AE5" s="883" t="s">
        <v>276</v>
      </c>
      <c r="AF5" s="889"/>
      <c r="AG5" s="883" t="s">
        <v>277</v>
      </c>
    </row>
    <row r="6" spans="1:33" x14ac:dyDescent="0.2">
      <c r="A6" s="882" t="s">
        <v>3943</v>
      </c>
      <c r="B6" s="886" t="s">
        <v>261</v>
      </c>
      <c r="C6" s="883" t="s">
        <v>262</v>
      </c>
      <c r="D6" s="883" t="s">
        <v>263</v>
      </c>
      <c r="E6" s="883" t="s">
        <v>264</v>
      </c>
      <c r="F6" s="883" t="s">
        <v>265</v>
      </c>
      <c r="G6" s="883" t="s">
        <v>266</v>
      </c>
      <c r="H6" s="883" t="s">
        <v>267</v>
      </c>
      <c r="I6" s="883" t="s">
        <v>268</v>
      </c>
      <c r="J6" s="883" t="s">
        <v>269</v>
      </c>
      <c r="K6" s="883" t="s">
        <v>270</v>
      </c>
      <c r="L6" s="883" t="s">
        <v>271</v>
      </c>
      <c r="M6" s="883" t="s">
        <v>272</v>
      </c>
      <c r="N6" s="883" t="s">
        <v>274</v>
      </c>
      <c r="O6" s="883" t="s">
        <v>275</v>
      </c>
      <c r="P6" s="883" t="s">
        <v>278</v>
      </c>
      <c r="Q6" s="883" t="s">
        <v>279</v>
      </c>
      <c r="R6" s="883" t="s">
        <v>280</v>
      </c>
      <c r="S6" s="883" t="s">
        <v>281</v>
      </c>
      <c r="T6" s="883" t="s">
        <v>282</v>
      </c>
      <c r="U6" s="883" t="s">
        <v>286</v>
      </c>
      <c r="V6" s="883" t="s">
        <v>287</v>
      </c>
      <c r="W6" s="883" t="s">
        <v>292</v>
      </c>
      <c r="X6" s="883" t="s">
        <v>288</v>
      </c>
      <c r="Y6" s="883" t="s">
        <v>289</v>
      </c>
      <c r="Z6" s="883" t="s">
        <v>290</v>
      </c>
      <c r="AA6" s="883" t="s">
        <v>291</v>
      </c>
      <c r="AB6" s="883" t="s">
        <v>283</v>
      </c>
      <c r="AC6" s="883" t="s">
        <v>284</v>
      </c>
      <c r="AD6" s="883" t="s">
        <v>285</v>
      </c>
      <c r="AE6" s="883" t="s">
        <v>276</v>
      </c>
      <c r="AF6" s="889"/>
      <c r="AG6" s="883" t="s">
        <v>277</v>
      </c>
    </row>
    <row r="7" spans="1:33" ht="13.5" thickBot="1" x14ac:dyDescent="0.25">
      <c r="A7" s="882" t="s">
        <v>3944</v>
      </c>
      <c r="B7" s="887" t="s">
        <v>261</v>
      </c>
      <c r="C7" s="888" t="s">
        <v>262</v>
      </c>
      <c r="D7" s="888" t="s">
        <v>263</v>
      </c>
      <c r="E7" s="888" t="s">
        <v>264</v>
      </c>
      <c r="F7" s="888" t="s">
        <v>265</v>
      </c>
      <c r="G7" s="888" t="s">
        <v>266</v>
      </c>
      <c r="H7" s="888" t="s">
        <v>267</v>
      </c>
      <c r="I7" s="888" t="s">
        <v>268</v>
      </c>
      <c r="J7" s="888" t="s">
        <v>269</v>
      </c>
      <c r="K7" s="888" t="s">
        <v>270</v>
      </c>
      <c r="L7" s="888" t="s">
        <v>271</v>
      </c>
      <c r="M7" s="888" t="s">
        <v>272</v>
      </c>
      <c r="N7" s="888" t="s">
        <v>274</v>
      </c>
      <c r="O7" s="888" t="s">
        <v>275</v>
      </c>
      <c r="P7" s="888" t="s">
        <v>278</v>
      </c>
      <c r="Q7" s="888" t="s">
        <v>279</v>
      </c>
      <c r="R7" s="888" t="s">
        <v>280</v>
      </c>
      <c r="S7" s="888" t="s">
        <v>281</v>
      </c>
      <c r="T7" s="888" t="s">
        <v>282</v>
      </c>
      <c r="U7" s="888" t="s">
        <v>286</v>
      </c>
      <c r="V7" s="888" t="s">
        <v>287</v>
      </c>
      <c r="W7" s="888" t="s">
        <v>292</v>
      </c>
      <c r="X7" s="888" t="s">
        <v>288</v>
      </c>
      <c r="Y7" s="888" t="s">
        <v>289</v>
      </c>
      <c r="Z7" s="888" t="s">
        <v>290</v>
      </c>
      <c r="AA7" s="888" t="s">
        <v>291</v>
      </c>
      <c r="AB7" s="888" t="s">
        <v>283</v>
      </c>
      <c r="AC7" s="888" t="s">
        <v>284</v>
      </c>
      <c r="AD7" s="888" t="s">
        <v>285</v>
      </c>
      <c r="AE7" s="888" t="s">
        <v>276</v>
      </c>
      <c r="AF7" s="890"/>
      <c r="AG7" s="888" t="s">
        <v>277</v>
      </c>
    </row>
    <row r="8" spans="1:33" x14ac:dyDescent="0.2">
      <c r="B8" s="892" t="s">
        <v>3946</v>
      </c>
      <c r="C8" s="893" t="s">
        <v>3947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84D73D-54DF-4DBD-A4B9-C66C830B63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vt:i4>
      </vt:variant>
    </vt:vector>
  </HeadingPairs>
  <TitlesOfParts>
    <vt:vector size="16" baseType="lpstr">
      <vt:lpstr>INFORME</vt:lpstr>
      <vt:lpstr>Consolidado</vt:lpstr>
      <vt:lpstr>REPRESENTACIÓN JUDICIAL DADEP</vt:lpstr>
      <vt:lpstr>REPRESENTACIÓN JUDICIAL SJD</vt:lpstr>
      <vt:lpstr>Tablas</vt:lpstr>
      <vt:lpstr>Laboral</vt:lpstr>
      <vt:lpstr>Hoja2</vt:lpstr>
      <vt:lpstr>MASC</vt:lpstr>
      <vt:lpstr>Civil</vt:lpstr>
      <vt:lpstr>Penal</vt:lpstr>
      <vt:lpstr>Constitucional</vt:lpstr>
      <vt:lpstr>Administrativo contencioso</vt:lpstr>
      <vt:lpstr>Terminados</vt:lpstr>
      <vt:lpstr>Control</vt:lpstr>
      <vt:lpstr>MERGE</vt:lpstr>
      <vt:lpstr>_Hlk91669107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Fernando Gonzalez Nino</dc:creator>
  <cp:keywords/>
  <dc:description/>
  <cp:lastModifiedBy>Maicol Jacobo Aristizabal Obando</cp:lastModifiedBy>
  <cp:revision/>
  <dcterms:created xsi:type="dcterms:W3CDTF">2018-12-17T15:54:55Z</dcterms:created>
  <dcterms:modified xsi:type="dcterms:W3CDTF">2025-03-06T20:57:11Z</dcterms:modified>
  <cp:category/>
  <cp:contentStatus/>
</cp:coreProperties>
</file>